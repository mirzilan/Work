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V" sheetId="1" state="visible" r:id="rId1"/>
    <sheet name="IN" sheetId="2" state="visible" r:id="rId2"/>
    <sheet name="TM" sheetId="3" state="visible" r:id="rId3"/>
    <sheet name="CX" sheetId="4" state="visible" r:id="rId4"/>
    <sheet name="PR" sheetId="5" state="visible" r:id="rId5"/>
    <sheet name="OP" sheetId="6" state="visible" r:id="rId6"/>
    <sheet name="WC" sheetId="7" state="visible" r:id="rId7"/>
    <sheet name="TX" sheetId="8" state="visible" r:id="rId8"/>
    <sheet name="CF" sheetId="9" state="visible" r:id="rId9"/>
    <sheet name="DB" sheetId="10" state="visible" r:id="rId10"/>
    <sheet name="DS" sheetId="11" state="visible" r:id="rId11"/>
    <sheet name="WF" sheetId="12" state="visible" r:id="rId12"/>
    <sheet name="CR" sheetId="13" state="visible" r:id="rId13"/>
    <sheet name="FS" sheetId="14" state="visible" r:id="rId14"/>
    <sheet name="RT" sheetId="15" state="visible" r:id="rId15"/>
    <sheet name="LC" sheetId="16" state="visible" r:id="rId16"/>
    <sheet name="CK" sheetId="17" state="visible" r:id="rId17"/>
    <sheet name="OUT" sheetId="18" state="visible" r:id="rId18"/>
  </sheets>
  <definedNames>
    <definedName name="ModelStartDate">'IN'!$E$4</definedName>
    <definedName name="PeriodsPerYear">'IN'!$E$5</definedName>
    <definedName name="PeriodYears">'IN'!$E$6</definedName>
    <definedName name="ConstructionPeriods">'IN'!$E$7</definedName>
    <definedName name="OperationsPeriods">'IN'!$E$8</definedName>
    <definedName name="DebtTenorPeriods">'IN'!$E$9</definedName>
    <definedName name="CapacityMW">'IN'!$E$11</definedName>
    <definedName name="Efficiency">'IN'!$E$12</definedName>
    <definedName name="CapacityFactor">'IN'!$E$13</definedName>
    <definedName name="Availability">'IN'!$E$14</definedName>
    <definedName name="Degradation">'IN'!$E$15</definedName>
    <definedName name="OfftakePrice">'IN'!$E$17</definedName>
    <definedName name="PriceEscalation">'IN'!$E$18</definedName>
    <definedName name="PowerPrice">'IN'!$E$20</definedName>
    <definedName name="WaterCostPerKg">'IN'!$E$21</definedName>
    <definedName name="FixedOMAnnual">'IN'!$E$22</definedName>
    <definedName name="VarOMPerKg">'IN'!$E$23</definedName>
    <definedName name="InsuranceAnnual">'IN'!$E$24</definedName>
    <definedName name="StackCost">'IN'!$E$25</definedName>
    <definedName name="StackIntervalYears">'IN'!$E$26</definedName>
    <definedName name="OpexEscalation">'IN'!$E$27</definedName>
    <definedName name="TotalCapex">'IN'!$E$29</definedName>
    <definedName name="ConstructionGearing">'IN'!$E$30</definedName>
    <definedName name="WACC">'IN'!$E$32</definedName>
    <definedName name="CostOfEquity">'IN'!$E$33</definedName>
    <definedName name="CostOfDebt">'IN'!$E$34</definedName>
    <definedName name="Inflation">'IN'!$E$35</definedName>
    <definedName name="IDC_CashFundedPct_f">'IN'!$E$36</definedName>
    <definedName name="CovenantDSCR">'IN'!$E$38</definedName>
    <definedName name="MaxGearing">'IN'!$E$39</definedName>
    <definedName name="DSRA_Months">'IN'!$E$41</definedName>
    <definedName name="TaxRate">'IN'!$E$43</definedName>
    <definedName name="TaxDepLifeYears">'IN'!$E$44</definedName>
    <definedName name="DebtorDays">'IN'!$E$46</definedName>
    <definedName name="CreditorDays">'IN'!$E$47</definedName>
    <definedName name="TargetDSCR_Input">'IN'!$E$49</definedName>
    <definedName name="GearingFactor">'IN'!$E$50</definedName>
    <definedName name="ConvergenceStatus">'IN'!$E$51</definedName>
    <definedName name="IterationsUsed">'IN'!$E$52</definedName>
    <definedName name="Tolerance">'IN'!$E$53</definedName>
    <definedName name="MaxIterations">'IN'!$E$54</definedName>
    <definedName name="DebtAtCOD">'CX'!$I$10</definedName>
    <definedName name="TotalEquityConstruction">'CX'!$BG$5</definedName>
    <definedName name="CFADS_Row">'CF'!$F$7:$BG$7</definedName>
    <definedName name="EndingBalanceResidual">'DB'!$AM$7</definedName>
    <definedName name="DSCR_Row">'DB'!$J$8:$AM$8</definedName>
    <definedName name="EquityIRR">'RT'!$E$6</definedName>
    <definedName name="ProjectIRR">'RT'!$E$7</definedName>
    <definedName name="LCOH_Nominal">'LC'!$E$25</definedName>
    <definedName name="LCOH_Real">'LC'!$E$26</definedName>
    <definedName name="MasterCheck">'CK'!$E$12</definedName>
    <definedName name="SensFirstRow">'OUT'!$A$20</definedName>
    <definedName name="SensLastRow">'OUT'!$A$28</definedName>
  </definedNames>
  <calcPr calcId="124519" calcMode="auto" fullCalcOnLoad="1" iterate="0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#,##0.####"/>
    <numFmt numFmtId="166" formatCode="0.0%"/>
    <numFmt numFmtId="167" formatCode="0.0000"/>
    <numFmt numFmtId="168" formatCode="yyyy-mm"/>
    <numFmt numFmtId="169" formatCode="0.0"/>
    <numFmt numFmtId="170" formatCode="0.000"/>
    <numFmt numFmtId="171" formatCode="0.000%"/>
    <numFmt numFmtId="172" formatCode="#,##0.000"/>
  </numFmts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0"/>
    </font>
    <font>
      <i val="1"/>
      <color rgb="00808080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172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4" fontId="0" fillId="4" borderId="0" pivotButton="0" quotePrefix="0" xfId="0"/>
    <xf numFmtId="10" fontId="0" fillId="4" borderId="0" pivotButton="0" quotePrefix="0" xfId="0"/>
    <xf numFmtId="2" fontId="0" fillId="4" borderId="0" pivotButton="0" quotePrefix="0" xfId="0"/>
    <xf numFmtId="167" fontId="0" fillId="4" borderId="0" pivotButton="0" quotePrefix="0" xfId="0"/>
    <xf numFmtId="3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5" fillId="0" borderId="0" pivotButton="0" quotePrefix="0" xfId="0"/>
    <xf numFmtId="172" fontId="0" fillId="5" borderId="0" pivotButton="0" quotePrefix="0" xfId="0"/>
    <xf numFmtId="1" fontId="0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2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GREEN HYDROGEN — LCOH PROJECT-FINANCE MODEL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2">
      <c r="A2" t="inlineStr"/>
    </row>
    <row r="3">
      <c r="A3" s="3" t="inlineStr">
        <is>
          <t>Built to FAST / F1F9 project-finance conventions.</t>
        </is>
      </c>
    </row>
    <row r="4">
      <c r="A4" t="inlineStr"/>
    </row>
    <row r="5">
      <c r="A5" s="4" t="inlineStr">
        <is>
          <t>Conventions</t>
        </is>
      </c>
    </row>
    <row r="6">
      <c r="A6" t="inlineStr">
        <is>
          <t xml:space="preserve">  Blue cells = hardcoded inputs (Inputs sheet only). Black = formula. Green links = cross-sheet.</t>
        </is>
      </c>
    </row>
    <row r="7">
      <c r="A7" t="inlineStr">
        <is>
          <t xml:space="preserve">  Time runs across columns; one line item per row; a single formula copies unbroken across each row.</t>
        </is>
      </c>
    </row>
    <row r="8">
      <c r="A8" t="inlineStr">
        <is>
          <t xml:space="preserve">  Timing is driven by flag &amp; counter rows on the Time (TM) sheet — never by branching a formula per column.</t>
        </is>
      </c>
    </row>
    <row r="9">
      <c r="A9" t="inlineStr">
        <is>
          <t xml:space="preserve">  A period-0 column holds opening balances, so every corkscrew (opening = prior closing) is one formula.</t>
        </is>
      </c>
    </row>
    <row r="10">
      <c r="A10" t="inlineStr">
        <is>
          <t xml:space="preserve">  Iterative calculation is OFF and must stay off — nothing here needs it. A circular warning means a real bug.</t>
        </is>
      </c>
    </row>
    <row r="11">
      <c r="A11" t="inlineStr"/>
    </row>
    <row r="12">
      <c r="A12" s="4" t="inlineStr">
        <is>
          <t>Circularity handling</t>
        </is>
      </c>
    </row>
    <row r="13">
      <c r="A13" t="inlineStr">
        <is>
          <t xml:space="preserve">  IDC during construction is solved in closed form (CX sheet) — no iteration.</t>
        </is>
      </c>
    </row>
    <row r="14">
      <c r="A14" t="inlineStr">
        <is>
          <t xml:space="preserve">  All interest accrues on opening balances; tax is paid one period in arrears; DSRA interest on opening balance.</t>
        </is>
      </c>
    </row>
    <row r="15">
      <c r="A15" t="inlineStr">
        <is>
          <t xml:space="preserve">  Debt is sculpted to a flat target DSCR; the single scalar GearingFactor is solved by the RunDebtSizing macro</t>
        </is>
      </c>
    </row>
    <row r="16">
      <c r="A16" t="inlineStr">
        <is>
          <t xml:space="preserve">  (or native Goal Seek: set EndingBalanceResidual to 0 by changing GearingFactor).</t>
        </is>
      </c>
    </row>
    <row r="17">
      <c r="A17" t="inlineStr"/>
    </row>
    <row r="18">
      <c r="A18" s="4" t="inlineStr">
        <is>
          <t>Sheet index</t>
        </is>
      </c>
    </row>
    <row r="19">
      <c r="A19" t="inlineStr">
        <is>
          <t xml:space="preserve">  CV Cover · IN Inputs · TM Time · CX Construction/Capex · PR Production/Revenue · OP Opex · WC Working capital</t>
        </is>
      </c>
    </row>
    <row r="20">
      <c r="A20" t="inlineStr">
        <is>
          <t xml:space="preserve">  TX Tax · CF CFADS · DB Debt · DS DSRA · WF Waterfall · CR Cover ratios · FS Financial statements</t>
        </is>
      </c>
    </row>
    <row r="21">
      <c r="A21" t="inlineStr">
        <is>
          <t xml:space="preserve">  RT Returns · LC LCOH · CK Checks · OUT Dashboard</t>
        </is>
      </c>
    </row>
    <row r="22">
      <c r="A22" t="inlineStr"/>
    </row>
    <row r="23">
      <c r="A23" s="4" t="inlineStr">
        <is>
          <t>Key outputs</t>
        </is>
      </c>
    </row>
    <row r="24">
      <c r="A24" s="3" t="inlineStr">
        <is>
          <t xml:space="preserve">  LCOH — nominal ($/kg)</t>
        </is>
      </c>
      <c r="D24" s="5">
        <f>LCOH_Nominal</f>
        <v/>
      </c>
    </row>
    <row r="25">
      <c r="A25" s="3" t="inlineStr">
        <is>
          <t xml:space="preserve">  LCOH — real ($/kg)</t>
        </is>
      </c>
      <c r="D25" s="5">
        <f>LCOH_Real</f>
        <v/>
      </c>
    </row>
    <row r="26">
      <c r="A26" s="3" t="inlineStr">
        <is>
          <t xml:space="preserve">  Equity IRR</t>
        </is>
      </c>
      <c r="D26" s="6">
        <f>EquityIRR</f>
        <v/>
      </c>
    </row>
    <row r="27">
      <c r="A27" s="3" t="inlineStr">
        <is>
          <t xml:space="preserve">  Master check (1 = all pass)</t>
        </is>
      </c>
      <c r="D27" s="7">
        <f>MasterCheck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5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INPUTS  —  green hydrogen LCOH model (all blue cells are hardcoded assumptions)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s="8" t="inlineStr">
        <is>
          <t>Model dates &amp; timing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9" t="n"/>
      <c r="BE3" s="9" t="n"/>
      <c r="BF3" s="9" t="n"/>
      <c r="BG3" s="9" t="n"/>
    </row>
    <row r="4">
      <c r="A4" t="inlineStr">
        <is>
          <t>Financial close date</t>
        </is>
      </c>
      <c r="C4" s="10" t="inlineStr">
        <is>
          <t>date</t>
        </is>
      </c>
      <c r="E4" s="11">
        <f>DATE(2026,1,1)</f>
        <v/>
      </c>
    </row>
    <row r="5">
      <c r="A5" t="inlineStr">
        <is>
          <t>Periods per year</t>
        </is>
      </c>
      <c r="C5" s="10" t="inlineStr">
        <is>
          <t>#</t>
        </is>
      </c>
      <c r="E5" s="12" t="n">
        <v>2</v>
      </c>
    </row>
    <row r="6">
      <c r="A6" t="inlineStr">
        <is>
          <t>Years per period</t>
        </is>
      </c>
      <c r="C6" s="10" t="inlineStr">
        <is>
          <t>yrs</t>
        </is>
      </c>
      <c r="E6" s="12" t="n">
        <v>0.5</v>
      </c>
    </row>
    <row r="7">
      <c r="A7" t="inlineStr">
        <is>
          <t>Construction periods</t>
        </is>
      </c>
      <c r="C7" s="10" t="inlineStr">
        <is>
          <t>#</t>
        </is>
      </c>
      <c r="E7" s="12" t="n">
        <v>4</v>
      </c>
    </row>
    <row r="8">
      <c r="A8" t="inlineStr">
        <is>
          <t>Operations periods</t>
        </is>
      </c>
      <c r="C8" s="10" t="inlineStr">
        <is>
          <t>#</t>
        </is>
      </c>
      <c r="E8" s="12" t="n">
        <v>50</v>
      </c>
    </row>
    <row r="9">
      <c r="A9" t="inlineStr">
        <is>
          <t>Debt tenor (periods, post-COD)</t>
        </is>
      </c>
      <c r="C9" s="10" t="inlineStr">
        <is>
          <t>#</t>
        </is>
      </c>
      <c r="E9" s="12" t="n">
        <v>30</v>
      </c>
    </row>
    <row r="10">
      <c r="A10" s="8" t="inlineStr">
        <is>
          <t>Technical &amp; production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</row>
    <row r="11">
      <c r="A11" t="inlineStr">
        <is>
          <t>Electrolyser capacity</t>
        </is>
      </c>
      <c r="C11" s="10" t="inlineStr">
        <is>
          <t>MW</t>
        </is>
      </c>
      <c r="E11" s="12" t="n">
        <v>100</v>
      </c>
    </row>
    <row r="12">
      <c r="A12" t="inlineStr">
        <is>
          <t>Electrolyser efficiency</t>
        </is>
      </c>
      <c r="C12" s="10" t="inlineStr">
        <is>
          <t>kWh/kg</t>
        </is>
      </c>
      <c r="E12" s="12" t="n">
        <v>50</v>
      </c>
    </row>
    <row r="13">
      <c r="A13" t="inlineStr">
        <is>
          <t>Capacity factor</t>
        </is>
      </c>
      <c r="C13" s="10" t="inlineStr">
        <is>
          <t>%</t>
        </is>
      </c>
      <c r="E13" s="13" t="n">
        <v>0.9</v>
      </c>
    </row>
    <row r="14">
      <c r="A14" t="inlineStr">
        <is>
          <t>Availability</t>
        </is>
      </c>
      <c r="C14" s="10" t="inlineStr">
        <is>
          <t>%</t>
        </is>
      </c>
      <c r="E14" s="13" t="n">
        <v>0.97</v>
      </c>
    </row>
    <row r="15">
      <c r="A15" t="inlineStr">
        <is>
          <t>Annual degradation</t>
        </is>
      </c>
      <c r="C15" s="10" t="inlineStr">
        <is>
          <t>%/yr</t>
        </is>
      </c>
      <c r="E15" s="13" t="n">
        <v>0.01</v>
      </c>
    </row>
    <row r="16">
      <c r="A16" s="8" t="inlineStr">
        <is>
          <t>Revenue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  <c r="BC16" s="9" t="n"/>
      <c r="BD16" s="9" t="n"/>
      <c r="BE16" s="9" t="n"/>
      <c r="BF16" s="9" t="n"/>
      <c r="BG16" s="9" t="n"/>
    </row>
    <row r="17">
      <c r="A17" t="inlineStr">
        <is>
          <t>H2 offtake price (base)</t>
        </is>
      </c>
      <c r="C17" s="10" t="inlineStr">
        <is>
          <t>$/kg</t>
        </is>
      </c>
      <c r="E17" s="14" t="n">
        <v>7</v>
      </c>
    </row>
    <row r="18">
      <c r="A18" t="inlineStr">
        <is>
          <t>Offtake price escalation</t>
        </is>
      </c>
      <c r="C18" s="10" t="inlineStr">
        <is>
          <t>%/yr</t>
        </is>
      </c>
      <c r="E18" s="13" t="n">
        <v>0.02</v>
      </c>
    </row>
    <row r="19">
      <c r="A19" s="8" t="inlineStr">
        <is>
          <t>Operating costs (base, real)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  <c r="BC19" s="9" t="n"/>
      <c r="BD19" s="9" t="n"/>
      <c r="BE19" s="9" t="n"/>
      <c r="BF19" s="9" t="n"/>
      <c r="BG19" s="9" t="n"/>
    </row>
    <row r="20">
      <c r="A20" t="inlineStr">
        <is>
          <t>Power price</t>
        </is>
      </c>
      <c r="C20" s="10" t="inlineStr">
        <is>
          <t>$/MWh</t>
        </is>
      </c>
      <c r="E20" s="12" t="n">
        <v>35</v>
      </c>
    </row>
    <row r="21">
      <c r="A21" t="inlineStr">
        <is>
          <t>Water cost</t>
        </is>
      </c>
      <c r="C21" s="10" t="inlineStr">
        <is>
          <t>$/kg</t>
        </is>
      </c>
      <c r="E21" s="14" t="n">
        <v>0.03</v>
      </c>
    </row>
    <row r="22">
      <c r="A22" t="inlineStr">
        <is>
          <t>Fixed O&amp;M</t>
        </is>
      </c>
      <c r="C22" s="10" t="inlineStr">
        <is>
          <t>$/yr</t>
        </is>
      </c>
      <c r="E22" s="12" t="n">
        <v>6000000</v>
      </c>
    </row>
    <row r="23">
      <c r="A23" t="inlineStr">
        <is>
          <t>Variable O&amp;M</t>
        </is>
      </c>
      <c r="C23" s="10" t="inlineStr">
        <is>
          <t>$/kg</t>
        </is>
      </c>
      <c r="E23" s="14" t="n">
        <v>0.15</v>
      </c>
    </row>
    <row r="24">
      <c r="A24" t="inlineStr">
        <is>
          <t>Insurance</t>
        </is>
      </c>
      <c r="C24" s="10" t="inlineStr">
        <is>
          <t>$/yr</t>
        </is>
      </c>
      <c r="E24" s="12" t="n">
        <v>2500000</v>
      </c>
    </row>
    <row r="25">
      <c r="A25" t="inlineStr">
        <is>
          <t>Stack replacement cost</t>
        </is>
      </c>
      <c r="C25" s="10" t="inlineStr">
        <is>
          <t>$</t>
        </is>
      </c>
      <c r="E25" s="12" t="n">
        <v>30000000</v>
      </c>
    </row>
    <row r="26">
      <c r="A26" t="inlineStr">
        <is>
          <t>Stack replacement interval</t>
        </is>
      </c>
      <c r="C26" s="10" t="inlineStr">
        <is>
          <t>yrs</t>
        </is>
      </c>
      <c r="E26" s="12" t="n">
        <v>8</v>
      </c>
    </row>
    <row r="27">
      <c r="A27" t="inlineStr">
        <is>
          <t>Opex escalation (inflation)</t>
        </is>
      </c>
      <c r="C27" s="10" t="inlineStr">
        <is>
          <t>%/yr</t>
        </is>
      </c>
      <c r="E27" s="13" t="n">
        <v>0.02</v>
      </c>
    </row>
    <row r="28">
      <c r="A28" s="8" t="inlineStr">
        <is>
          <t>Capex &amp; construction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  <c r="AO28" s="9" t="n"/>
      <c r="AP28" s="9" t="n"/>
      <c r="AQ28" s="9" t="n"/>
      <c r="AR28" s="9" t="n"/>
      <c r="AS28" s="9" t="n"/>
      <c r="AT28" s="9" t="n"/>
      <c r="AU28" s="9" t="n"/>
      <c r="AV28" s="9" t="n"/>
      <c r="AW28" s="9" t="n"/>
      <c r="AX28" s="9" t="n"/>
      <c r="AY28" s="9" t="n"/>
      <c r="AZ28" s="9" t="n"/>
      <c r="BA28" s="9" t="n"/>
      <c r="BB28" s="9" t="n"/>
      <c r="BC28" s="9" t="n"/>
      <c r="BD28" s="9" t="n"/>
      <c r="BE28" s="9" t="n"/>
      <c r="BF28" s="9" t="n"/>
      <c r="BG28" s="9" t="n"/>
    </row>
    <row r="29">
      <c r="A29" t="inlineStr">
        <is>
          <t>Total capex (EPC+BoP+owner's)</t>
        </is>
      </c>
      <c r="C29" s="10" t="inlineStr">
        <is>
          <t>$</t>
        </is>
      </c>
      <c r="E29" s="12" t="n">
        <v>400000000</v>
      </c>
    </row>
    <row r="30">
      <c r="A30" t="inlineStr">
        <is>
          <t>Debt-funded share of capex</t>
        </is>
      </c>
      <c r="C30" s="10" t="inlineStr">
        <is>
          <t>%</t>
        </is>
      </c>
      <c r="E30" s="13" t="n">
        <v>0.7</v>
      </c>
    </row>
    <row r="31">
      <c r="A31" s="8" t="inlineStr">
        <is>
          <t>Financing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  <c r="BC31" s="9" t="n"/>
      <c r="BD31" s="9" t="n"/>
      <c r="BE31" s="9" t="n"/>
      <c r="BF31" s="9" t="n"/>
      <c r="BG31" s="9" t="n"/>
    </row>
    <row r="32">
      <c r="A32" t="inlineStr">
        <is>
          <t>WACC (nominal)</t>
        </is>
      </c>
      <c r="C32" s="10" t="inlineStr">
        <is>
          <t>%</t>
        </is>
      </c>
      <c r="E32" s="15" t="n">
        <v>0.08</v>
      </c>
    </row>
    <row r="33">
      <c r="A33" t="inlineStr">
        <is>
          <t>Cost of equity (nominal)</t>
        </is>
      </c>
      <c r="C33" s="10" t="inlineStr">
        <is>
          <t>%</t>
        </is>
      </c>
      <c r="E33" s="15" t="n">
        <v>0.12</v>
      </c>
    </row>
    <row r="34">
      <c r="A34" t="inlineStr">
        <is>
          <t>Cost of debt (nominal)</t>
        </is>
      </c>
      <c r="C34" s="10" t="inlineStr">
        <is>
          <t>%</t>
        </is>
      </c>
      <c r="E34" s="15" t="n">
        <v>0.06</v>
      </c>
    </row>
    <row r="35">
      <c r="A35" t="inlineStr">
        <is>
          <t>Long-run inflation</t>
        </is>
      </c>
      <c r="C35" s="10" t="inlineStr">
        <is>
          <t>%/yr</t>
        </is>
      </c>
      <c r="E35" s="15" t="n">
        <v>0.02</v>
      </c>
    </row>
    <row r="36">
      <c r="A36" t="inlineStr">
        <is>
          <t>IDC cash-funded fraction (f)</t>
        </is>
      </c>
      <c r="C36" s="10" t="inlineStr">
        <is>
          <t>0..1</t>
        </is>
      </c>
      <c r="E36" s="13" t="n">
        <v>0.3</v>
      </c>
      <c r="G36" s="10" t="inlineStr">
        <is>
          <t>0 = fully capitalised, 1 = fully cash-funded</t>
        </is>
      </c>
    </row>
    <row r="37">
      <c r="A37" s="8" t="inlineStr">
        <is>
          <t>Debt sizing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  <c r="BC37" s="9" t="n"/>
      <c r="BD37" s="9" t="n"/>
      <c r="BE37" s="9" t="n"/>
      <c r="BF37" s="9" t="n"/>
      <c r="BG37" s="9" t="n"/>
    </row>
    <row r="38">
      <c r="A38" t="inlineStr">
        <is>
          <t>Lender covenant DSCR (minimum)</t>
        </is>
      </c>
      <c r="C38" s="10" t="inlineStr">
        <is>
          <t>x</t>
        </is>
      </c>
      <c r="E38" s="16" t="n">
        <v>1.3</v>
      </c>
    </row>
    <row r="39">
      <c r="A39" t="inlineStr">
        <is>
          <t>Max gearing (debt / capex)</t>
        </is>
      </c>
      <c r="C39" s="10" t="inlineStr">
        <is>
          <t>%</t>
        </is>
      </c>
      <c r="E39" s="13" t="n">
        <v>0.75</v>
      </c>
    </row>
    <row r="40">
      <c r="A40" s="8" t="inlineStr">
        <is>
          <t>DSRA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9" t="n"/>
      <c r="AM40" s="9" t="n"/>
      <c r="AN40" s="9" t="n"/>
      <c r="AO40" s="9" t="n"/>
      <c r="AP40" s="9" t="n"/>
      <c r="AQ40" s="9" t="n"/>
      <c r="AR40" s="9" t="n"/>
      <c r="AS40" s="9" t="n"/>
      <c r="AT40" s="9" t="n"/>
      <c r="AU40" s="9" t="n"/>
      <c r="AV40" s="9" t="n"/>
      <c r="AW40" s="9" t="n"/>
      <c r="AX40" s="9" t="n"/>
      <c r="AY40" s="9" t="n"/>
      <c r="AZ40" s="9" t="n"/>
      <c r="BA40" s="9" t="n"/>
      <c r="BB40" s="9" t="n"/>
      <c r="BC40" s="9" t="n"/>
      <c r="BD40" s="9" t="n"/>
      <c r="BE40" s="9" t="n"/>
      <c r="BF40" s="9" t="n"/>
      <c r="BG40" s="9" t="n"/>
    </row>
    <row r="41">
      <c r="A41" t="inlineStr">
        <is>
          <t>DSRA cover</t>
        </is>
      </c>
      <c r="C41" s="10" t="inlineStr">
        <is>
          <t>months</t>
        </is>
      </c>
      <c r="E41" s="12" t="n">
        <v>6</v>
      </c>
    </row>
    <row r="42">
      <c r="A42" s="8" t="inlineStr">
        <is>
          <t>Tax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  <c r="BC42" s="9" t="n"/>
      <c r="BD42" s="9" t="n"/>
      <c r="BE42" s="9" t="n"/>
      <c r="BF42" s="9" t="n"/>
      <c r="BG42" s="9" t="n"/>
    </row>
    <row r="43">
      <c r="A43" t="inlineStr">
        <is>
          <t>Corporate tax rate</t>
        </is>
      </c>
      <c r="C43" s="10" t="inlineStr">
        <is>
          <t>%</t>
        </is>
      </c>
      <c r="E43" s="13" t="n">
        <v>0.25</v>
      </c>
    </row>
    <row r="44">
      <c r="A44" t="inlineStr">
        <is>
          <t>Tax depreciation life (SL)</t>
        </is>
      </c>
      <c r="C44" s="10" t="inlineStr">
        <is>
          <t>yrs</t>
        </is>
      </c>
      <c r="E44" s="12" t="n">
        <v>20</v>
      </c>
    </row>
    <row r="45">
      <c r="A45" s="8" t="inlineStr">
        <is>
          <t>Working capital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  <c r="BA45" s="9" t="n"/>
      <c r="BB45" s="9" t="n"/>
      <c r="BC45" s="9" t="n"/>
      <c r="BD45" s="9" t="n"/>
      <c r="BE45" s="9" t="n"/>
      <c r="BF45" s="9" t="n"/>
      <c r="BG45" s="9" t="n"/>
    </row>
    <row r="46">
      <c r="A46" t="inlineStr">
        <is>
          <t>Debtor days</t>
        </is>
      </c>
      <c r="C46" s="10" t="inlineStr">
        <is>
          <t>days</t>
        </is>
      </c>
      <c r="E46" s="12" t="n">
        <v>45</v>
      </c>
    </row>
    <row r="47">
      <c r="A47" t="inlineStr">
        <is>
          <t>Creditor days</t>
        </is>
      </c>
      <c r="C47" s="10" t="inlineStr">
        <is>
          <t>days</t>
        </is>
      </c>
      <c r="E47" s="12" t="n">
        <v>30</v>
      </c>
    </row>
    <row r="48">
      <c r="A48" s="8" t="inlineStr">
        <is>
          <t>Solver control (set by RunDebtSizing macro or Goal Seek)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9" t="n"/>
      <c r="AM48" s="9" t="n"/>
      <c r="AN48" s="9" t="n"/>
      <c r="AO48" s="9" t="n"/>
      <c r="AP48" s="9" t="n"/>
      <c r="AQ48" s="9" t="n"/>
      <c r="AR48" s="9" t="n"/>
      <c r="AS48" s="9" t="n"/>
      <c r="AT48" s="9" t="n"/>
      <c r="AU48" s="9" t="n"/>
      <c r="AV48" s="9" t="n"/>
      <c r="AW48" s="9" t="n"/>
      <c r="AX48" s="9" t="n"/>
      <c r="AY48" s="9" t="n"/>
      <c r="AZ48" s="9" t="n"/>
      <c r="BA48" s="9" t="n"/>
      <c r="BB48" s="9" t="n"/>
      <c r="BC48" s="9" t="n"/>
      <c r="BD48" s="9" t="n"/>
      <c r="BE48" s="9" t="n"/>
      <c r="BF48" s="9" t="n"/>
      <c r="BG48" s="9" t="n"/>
    </row>
    <row r="49">
      <c r="A49" t="inlineStr">
        <is>
          <t>Sculpting DSCR (solved)</t>
        </is>
      </c>
      <c r="C49" s="10" t="inlineStr">
        <is>
          <t>x</t>
        </is>
      </c>
      <c r="E49" s="17" t="n">
        <v>2.196165</v>
      </c>
    </row>
    <row r="50">
      <c r="A50" t="inlineStr">
        <is>
          <t>Gearing factor (term/construction debt)</t>
        </is>
      </c>
      <c r="C50" s="10" t="inlineStr">
        <is>
          <t>x</t>
        </is>
      </c>
      <c r="E50" s="17" t="n">
        <v>1</v>
      </c>
    </row>
    <row r="51">
      <c r="A51" t="inlineStr">
        <is>
          <t>Convergence status</t>
        </is>
      </c>
      <c r="E51" t="inlineStr">
        <is>
          <t>Not run</t>
        </is>
      </c>
    </row>
    <row r="52">
      <c r="A52" t="inlineStr">
        <is>
          <t>Iterations used</t>
        </is>
      </c>
      <c r="E52" t="n">
        <v>0</v>
      </c>
    </row>
    <row r="53">
      <c r="A53" t="inlineStr">
        <is>
          <t>Sizing tolerance ($)</t>
        </is>
      </c>
      <c r="E53" t="n">
        <v>1000</v>
      </c>
    </row>
    <row r="54">
      <c r="A54" t="inlineStr">
        <is>
          <t>Max iterations</t>
        </is>
      </c>
      <c r="E54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TIME  —  master timeline, flags, counters, indices, discount factors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Period number</t>
        </is>
      </c>
      <c r="C3" s="10" t="inlineStr">
        <is>
          <t>#</t>
        </is>
      </c>
      <c r="E3" s="18" t="n">
        <v>0</v>
      </c>
      <c r="F3" s="18" t="n">
        <v>1</v>
      </c>
      <c r="G3" s="18" t="n">
        <v>2</v>
      </c>
      <c r="H3" s="18" t="n">
        <v>3</v>
      </c>
      <c r="I3" s="18" t="n">
        <v>4</v>
      </c>
      <c r="J3" s="18" t="n">
        <v>5</v>
      </c>
      <c r="K3" s="18" t="n">
        <v>6</v>
      </c>
      <c r="L3" s="18" t="n">
        <v>7</v>
      </c>
      <c r="M3" s="18" t="n">
        <v>8</v>
      </c>
      <c r="N3" s="18" t="n">
        <v>9</v>
      </c>
      <c r="O3" s="18" t="n">
        <v>10</v>
      </c>
      <c r="P3" s="18" t="n">
        <v>11</v>
      </c>
      <c r="Q3" s="18" t="n">
        <v>12</v>
      </c>
      <c r="R3" s="18" t="n">
        <v>13</v>
      </c>
      <c r="S3" s="18" t="n">
        <v>14</v>
      </c>
      <c r="T3" s="18" t="n">
        <v>15</v>
      </c>
      <c r="U3" s="18" t="n">
        <v>16</v>
      </c>
      <c r="V3" s="18" t="n">
        <v>17</v>
      </c>
      <c r="W3" s="18" t="n">
        <v>18</v>
      </c>
      <c r="X3" s="18" t="n">
        <v>19</v>
      </c>
      <c r="Y3" s="18" t="n">
        <v>20</v>
      </c>
      <c r="Z3" s="18" t="n">
        <v>21</v>
      </c>
      <c r="AA3" s="18" t="n">
        <v>22</v>
      </c>
      <c r="AB3" s="18" t="n">
        <v>23</v>
      </c>
      <c r="AC3" s="18" t="n">
        <v>24</v>
      </c>
      <c r="AD3" s="18" t="n">
        <v>25</v>
      </c>
      <c r="AE3" s="18" t="n">
        <v>26</v>
      </c>
      <c r="AF3" s="18" t="n">
        <v>27</v>
      </c>
      <c r="AG3" s="18" t="n">
        <v>28</v>
      </c>
      <c r="AH3" s="18" t="n">
        <v>29</v>
      </c>
      <c r="AI3" s="18" t="n">
        <v>30</v>
      </c>
      <c r="AJ3" s="18" t="n">
        <v>31</v>
      </c>
      <c r="AK3" s="18" t="n">
        <v>32</v>
      </c>
      <c r="AL3" s="18" t="n">
        <v>33</v>
      </c>
      <c r="AM3" s="18" t="n">
        <v>34</v>
      </c>
      <c r="AN3" s="18" t="n">
        <v>35</v>
      </c>
      <c r="AO3" s="18" t="n">
        <v>36</v>
      </c>
      <c r="AP3" s="18" t="n">
        <v>37</v>
      </c>
      <c r="AQ3" s="18" t="n">
        <v>38</v>
      </c>
      <c r="AR3" s="18" t="n">
        <v>39</v>
      </c>
      <c r="AS3" s="18" t="n">
        <v>40</v>
      </c>
      <c r="AT3" s="18" t="n">
        <v>41</v>
      </c>
      <c r="AU3" s="18" t="n">
        <v>42</v>
      </c>
      <c r="AV3" s="18" t="n">
        <v>43</v>
      </c>
      <c r="AW3" s="18" t="n">
        <v>44</v>
      </c>
      <c r="AX3" s="18" t="n">
        <v>45</v>
      </c>
      <c r="AY3" s="18" t="n">
        <v>46</v>
      </c>
      <c r="AZ3" s="18" t="n">
        <v>47</v>
      </c>
      <c r="BA3" s="18" t="n">
        <v>48</v>
      </c>
      <c r="BB3" s="18" t="n">
        <v>49</v>
      </c>
      <c r="BC3" s="18" t="n">
        <v>50</v>
      </c>
      <c r="BD3" s="18" t="n">
        <v>51</v>
      </c>
      <c r="BE3" s="18" t="n">
        <v>52</v>
      </c>
      <c r="BF3" s="18" t="n">
        <v>53</v>
      </c>
      <c r="BG3" s="18" t="n">
        <v>54</v>
      </c>
    </row>
    <row r="4">
      <c r="A4" t="inlineStr">
        <is>
          <t>Period start</t>
        </is>
      </c>
      <c r="C4" s="10" t="inlineStr">
        <is>
          <t>date</t>
        </is>
      </c>
      <c r="E4" s="19">
        <f>ModelStartDate</f>
        <v/>
      </c>
      <c r="F4" s="19">
        <f>EDATE(ModelStartDate,(F3-1)*12/PeriodsPerYear)</f>
        <v/>
      </c>
      <c r="G4" s="19">
        <f>EDATE(ModelStartDate,(G3-1)*12/PeriodsPerYear)</f>
        <v/>
      </c>
      <c r="H4" s="19">
        <f>EDATE(ModelStartDate,(H3-1)*12/PeriodsPerYear)</f>
        <v/>
      </c>
      <c r="I4" s="19">
        <f>EDATE(ModelStartDate,(I3-1)*12/PeriodsPerYear)</f>
        <v/>
      </c>
      <c r="J4" s="19">
        <f>EDATE(ModelStartDate,(J3-1)*12/PeriodsPerYear)</f>
        <v/>
      </c>
      <c r="K4" s="19">
        <f>EDATE(ModelStartDate,(K3-1)*12/PeriodsPerYear)</f>
        <v/>
      </c>
      <c r="L4" s="19">
        <f>EDATE(ModelStartDate,(L3-1)*12/PeriodsPerYear)</f>
        <v/>
      </c>
      <c r="M4" s="19">
        <f>EDATE(ModelStartDate,(M3-1)*12/PeriodsPerYear)</f>
        <v/>
      </c>
      <c r="N4" s="19">
        <f>EDATE(ModelStartDate,(N3-1)*12/PeriodsPerYear)</f>
        <v/>
      </c>
      <c r="O4" s="19">
        <f>EDATE(ModelStartDate,(O3-1)*12/PeriodsPerYear)</f>
        <v/>
      </c>
      <c r="P4" s="19">
        <f>EDATE(ModelStartDate,(P3-1)*12/PeriodsPerYear)</f>
        <v/>
      </c>
      <c r="Q4" s="19">
        <f>EDATE(ModelStartDate,(Q3-1)*12/PeriodsPerYear)</f>
        <v/>
      </c>
      <c r="R4" s="19">
        <f>EDATE(ModelStartDate,(R3-1)*12/PeriodsPerYear)</f>
        <v/>
      </c>
      <c r="S4" s="19">
        <f>EDATE(ModelStartDate,(S3-1)*12/PeriodsPerYear)</f>
        <v/>
      </c>
      <c r="T4" s="19">
        <f>EDATE(ModelStartDate,(T3-1)*12/PeriodsPerYear)</f>
        <v/>
      </c>
      <c r="U4" s="19">
        <f>EDATE(ModelStartDate,(U3-1)*12/PeriodsPerYear)</f>
        <v/>
      </c>
      <c r="V4" s="19">
        <f>EDATE(ModelStartDate,(V3-1)*12/PeriodsPerYear)</f>
        <v/>
      </c>
      <c r="W4" s="19">
        <f>EDATE(ModelStartDate,(W3-1)*12/PeriodsPerYear)</f>
        <v/>
      </c>
      <c r="X4" s="19">
        <f>EDATE(ModelStartDate,(X3-1)*12/PeriodsPerYear)</f>
        <v/>
      </c>
      <c r="Y4" s="19">
        <f>EDATE(ModelStartDate,(Y3-1)*12/PeriodsPerYear)</f>
        <v/>
      </c>
      <c r="Z4" s="19">
        <f>EDATE(ModelStartDate,(Z3-1)*12/PeriodsPerYear)</f>
        <v/>
      </c>
      <c r="AA4" s="19">
        <f>EDATE(ModelStartDate,(AA3-1)*12/PeriodsPerYear)</f>
        <v/>
      </c>
      <c r="AB4" s="19">
        <f>EDATE(ModelStartDate,(AB3-1)*12/PeriodsPerYear)</f>
        <v/>
      </c>
      <c r="AC4" s="19">
        <f>EDATE(ModelStartDate,(AC3-1)*12/PeriodsPerYear)</f>
        <v/>
      </c>
      <c r="AD4" s="19">
        <f>EDATE(ModelStartDate,(AD3-1)*12/PeriodsPerYear)</f>
        <v/>
      </c>
      <c r="AE4" s="19">
        <f>EDATE(ModelStartDate,(AE3-1)*12/PeriodsPerYear)</f>
        <v/>
      </c>
      <c r="AF4" s="19">
        <f>EDATE(ModelStartDate,(AF3-1)*12/PeriodsPerYear)</f>
        <v/>
      </c>
      <c r="AG4" s="19">
        <f>EDATE(ModelStartDate,(AG3-1)*12/PeriodsPerYear)</f>
        <v/>
      </c>
      <c r="AH4" s="19">
        <f>EDATE(ModelStartDate,(AH3-1)*12/PeriodsPerYear)</f>
        <v/>
      </c>
      <c r="AI4" s="19">
        <f>EDATE(ModelStartDate,(AI3-1)*12/PeriodsPerYear)</f>
        <v/>
      </c>
      <c r="AJ4" s="19">
        <f>EDATE(ModelStartDate,(AJ3-1)*12/PeriodsPerYear)</f>
        <v/>
      </c>
      <c r="AK4" s="19">
        <f>EDATE(ModelStartDate,(AK3-1)*12/PeriodsPerYear)</f>
        <v/>
      </c>
      <c r="AL4" s="19">
        <f>EDATE(ModelStartDate,(AL3-1)*12/PeriodsPerYear)</f>
        <v/>
      </c>
      <c r="AM4" s="19">
        <f>EDATE(ModelStartDate,(AM3-1)*12/PeriodsPerYear)</f>
        <v/>
      </c>
      <c r="AN4" s="19">
        <f>EDATE(ModelStartDate,(AN3-1)*12/PeriodsPerYear)</f>
        <v/>
      </c>
      <c r="AO4" s="19">
        <f>EDATE(ModelStartDate,(AO3-1)*12/PeriodsPerYear)</f>
        <v/>
      </c>
      <c r="AP4" s="19">
        <f>EDATE(ModelStartDate,(AP3-1)*12/PeriodsPerYear)</f>
        <v/>
      </c>
      <c r="AQ4" s="19">
        <f>EDATE(ModelStartDate,(AQ3-1)*12/PeriodsPerYear)</f>
        <v/>
      </c>
      <c r="AR4" s="19">
        <f>EDATE(ModelStartDate,(AR3-1)*12/PeriodsPerYear)</f>
        <v/>
      </c>
      <c r="AS4" s="19">
        <f>EDATE(ModelStartDate,(AS3-1)*12/PeriodsPerYear)</f>
        <v/>
      </c>
      <c r="AT4" s="19">
        <f>EDATE(ModelStartDate,(AT3-1)*12/PeriodsPerYear)</f>
        <v/>
      </c>
      <c r="AU4" s="19">
        <f>EDATE(ModelStartDate,(AU3-1)*12/PeriodsPerYear)</f>
        <v/>
      </c>
      <c r="AV4" s="19">
        <f>EDATE(ModelStartDate,(AV3-1)*12/PeriodsPerYear)</f>
        <v/>
      </c>
      <c r="AW4" s="19">
        <f>EDATE(ModelStartDate,(AW3-1)*12/PeriodsPerYear)</f>
        <v/>
      </c>
      <c r="AX4" s="19">
        <f>EDATE(ModelStartDate,(AX3-1)*12/PeriodsPerYear)</f>
        <v/>
      </c>
      <c r="AY4" s="19">
        <f>EDATE(ModelStartDate,(AY3-1)*12/PeriodsPerYear)</f>
        <v/>
      </c>
      <c r="AZ4" s="19">
        <f>EDATE(ModelStartDate,(AZ3-1)*12/PeriodsPerYear)</f>
        <v/>
      </c>
      <c r="BA4" s="19">
        <f>EDATE(ModelStartDate,(BA3-1)*12/PeriodsPerYear)</f>
        <v/>
      </c>
      <c r="BB4" s="19">
        <f>EDATE(ModelStartDate,(BB3-1)*12/PeriodsPerYear)</f>
        <v/>
      </c>
      <c r="BC4" s="19">
        <f>EDATE(ModelStartDate,(BC3-1)*12/PeriodsPerYear)</f>
        <v/>
      </c>
      <c r="BD4" s="19">
        <f>EDATE(ModelStartDate,(BD3-1)*12/PeriodsPerYear)</f>
        <v/>
      </c>
      <c r="BE4" s="19">
        <f>EDATE(ModelStartDate,(BE3-1)*12/PeriodsPerYear)</f>
        <v/>
      </c>
      <c r="BF4" s="19">
        <f>EDATE(ModelStartDate,(BF3-1)*12/PeriodsPerYear)</f>
        <v/>
      </c>
      <c r="BG4" s="19">
        <f>EDATE(ModelStartDate,(BG3-1)*12/PeriodsPerYear)</f>
        <v/>
      </c>
    </row>
    <row r="5">
      <c r="A5" t="inlineStr">
        <is>
          <t>Period end</t>
        </is>
      </c>
      <c r="C5" s="10" t="inlineStr">
        <is>
          <t>date</t>
        </is>
      </c>
      <c r="E5" s="19">
        <f>ModelStartDate</f>
        <v/>
      </c>
      <c r="F5" s="19">
        <f>EDATE(ModelStartDate,F3*12/PeriodsPerYear)</f>
        <v/>
      </c>
      <c r="G5" s="19">
        <f>EDATE(ModelStartDate,G3*12/PeriodsPerYear)</f>
        <v/>
      </c>
      <c r="H5" s="19">
        <f>EDATE(ModelStartDate,H3*12/PeriodsPerYear)</f>
        <v/>
      </c>
      <c r="I5" s="19">
        <f>EDATE(ModelStartDate,I3*12/PeriodsPerYear)</f>
        <v/>
      </c>
      <c r="J5" s="19">
        <f>EDATE(ModelStartDate,J3*12/PeriodsPerYear)</f>
        <v/>
      </c>
      <c r="K5" s="19">
        <f>EDATE(ModelStartDate,K3*12/PeriodsPerYear)</f>
        <v/>
      </c>
      <c r="L5" s="19">
        <f>EDATE(ModelStartDate,L3*12/PeriodsPerYear)</f>
        <v/>
      </c>
      <c r="M5" s="19">
        <f>EDATE(ModelStartDate,M3*12/PeriodsPerYear)</f>
        <v/>
      </c>
      <c r="N5" s="19">
        <f>EDATE(ModelStartDate,N3*12/PeriodsPerYear)</f>
        <v/>
      </c>
      <c r="O5" s="19">
        <f>EDATE(ModelStartDate,O3*12/PeriodsPerYear)</f>
        <v/>
      </c>
      <c r="P5" s="19">
        <f>EDATE(ModelStartDate,P3*12/PeriodsPerYear)</f>
        <v/>
      </c>
      <c r="Q5" s="19">
        <f>EDATE(ModelStartDate,Q3*12/PeriodsPerYear)</f>
        <v/>
      </c>
      <c r="R5" s="19">
        <f>EDATE(ModelStartDate,R3*12/PeriodsPerYear)</f>
        <v/>
      </c>
      <c r="S5" s="19">
        <f>EDATE(ModelStartDate,S3*12/PeriodsPerYear)</f>
        <v/>
      </c>
      <c r="T5" s="19">
        <f>EDATE(ModelStartDate,T3*12/PeriodsPerYear)</f>
        <v/>
      </c>
      <c r="U5" s="19">
        <f>EDATE(ModelStartDate,U3*12/PeriodsPerYear)</f>
        <v/>
      </c>
      <c r="V5" s="19">
        <f>EDATE(ModelStartDate,V3*12/PeriodsPerYear)</f>
        <v/>
      </c>
      <c r="W5" s="19">
        <f>EDATE(ModelStartDate,W3*12/PeriodsPerYear)</f>
        <v/>
      </c>
      <c r="X5" s="19">
        <f>EDATE(ModelStartDate,X3*12/PeriodsPerYear)</f>
        <v/>
      </c>
      <c r="Y5" s="19">
        <f>EDATE(ModelStartDate,Y3*12/PeriodsPerYear)</f>
        <v/>
      </c>
      <c r="Z5" s="19">
        <f>EDATE(ModelStartDate,Z3*12/PeriodsPerYear)</f>
        <v/>
      </c>
      <c r="AA5" s="19">
        <f>EDATE(ModelStartDate,AA3*12/PeriodsPerYear)</f>
        <v/>
      </c>
      <c r="AB5" s="19">
        <f>EDATE(ModelStartDate,AB3*12/PeriodsPerYear)</f>
        <v/>
      </c>
      <c r="AC5" s="19">
        <f>EDATE(ModelStartDate,AC3*12/PeriodsPerYear)</f>
        <v/>
      </c>
      <c r="AD5" s="19">
        <f>EDATE(ModelStartDate,AD3*12/PeriodsPerYear)</f>
        <v/>
      </c>
      <c r="AE5" s="19">
        <f>EDATE(ModelStartDate,AE3*12/PeriodsPerYear)</f>
        <v/>
      </c>
      <c r="AF5" s="19">
        <f>EDATE(ModelStartDate,AF3*12/PeriodsPerYear)</f>
        <v/>
      </c>
      <c r="AG5" s="19">
        <f>EDATE(ModelStartDate,AG3*12/PeriodsPerYear)</f>
        <v/>
      </c>
      <c r="AH5" s="19">
        <f>EDATE(ModelStartDate,AH3*12/PeriodsPerYear)</f>
        <v/>
      </c>
      <c r="AI5" s="19">
        <f>EDATE(ModelStartDate,AI3*12/PeriodsPerYear)</f>
        <v/>
      </c>
      <c r="AJ5" s="19">
        <f>EDATE(ModelStartDate,AJ3*12/PeriodsPerYear)</f>
        <v/>
      </c>
      <c r="AK5" s="19">
        <f>EDATE(ModelStartDate,AK3*12/PeriodsPerYear)</f>
        <v/>
      </c>
      <c r="AL5" s="19">
        <f>EDATE(ModelStartDate,AL3*12/PeriodsPerYear)</f>
        <v/>
      </c>
      <c r="AM5" s="19">
        <f>EDATE(ModelStartDate,AM3*12/PeriodsPerYear)</f>
        <v/>
      </c>
      <c r="AN5" s="19">
        <f>EDATE(ModelStartDate,AN3*12/PeriodsPerYear)</f>
        <v/>
      </c>
      <c r="AO5" s="19">
        <f>EDATE(ModelStartDate,AO3*12/PeriodsPerYear)</f>
        <v/>
      </c>
      <c r="AP5" s="19">
        <f>EDATE(ModelStartDate,AP3*12/PeriodsPerYear)</f>
        <v/>
      </c>
      <c r="AQ5" s="19">
        <f>EDATE(ModelStartDate,AQ3*12/PeriodsPerYear)</f>
        <v/>
      </c>
      <c r="AR5" s="19">
        <f>EDATE(ModelStartDate,AR3*12/PeriodsPerYear)</f>
        <v/>
      </c>
      <c r="AS5" s="19">
        <f>EDATE(ModelStartDate,AS3*12/PeriodsPerYear)</f>
        <v/>
      </c>
      <c r="AT5" s="19">
        <f>EDATE(ModelStartDate,AT3*12/PeriodsPerYear)</f>
        <v/>
      </c>
      <c r="AU5" s="19">
        <f>EDATE(ModelStartDate,AU3*12/PeriodsPerYear)</f>
        <v/>
      </c>
      <c r="AV5" s="19">
        <f>EDATE(ModelStartDate,AV3*12/PeriodsPerYear)</f>
        <v/>
      </c>
      <c r="AW5" s="19">
        <f>EDATE(ModelStartDate,AW3*12/PeriodsPerYear)</f>
        <v/>
      </c>
      <c r="AX5" s="19">
        <f>EDATE(ModelStartDate,AX3*12/PeriodsPerYear)</f>
        <v/>
      </c>
      <c r="AY5" s="19">
        <f>EDATE(ModelStartDate,AY3*12/PeriodsPerYear)</f>
        <v/>
      </c>
      <c r="AZ5" s="19">
        <f>EDATE(ModelStartDate,AZ3*12/PeriodsPerYear)</f>
        <v/>
      </c>
      <c r="BA5" s="19">
        <f>EDATE(ModelStartDate,BA3*12/PeriodsPerYear)</f>
        <v/>
      </c>
      <c r="BB5" s="19">
        <f>EDATE(ModelStartDate,BB3*12/PeriodsPerYear)</f>
        <v/>
      </c>
      <c r="BC5" s="19">
        <f>EDATE(ModelStartDate,BC3*12/PeriodsPerYear)</f>
        <v/>
      </c>
      <c r="BD5" s="19">
        <f>EDATE(ModelStartDate,BD3*12/PeriodsPerYear)</f>
        <v/>
      </c>
      <c r="BE5" s="19">
        <f>EDATE(ModelStartDate,BE3*12/PeriodsPerYear)</f>
        <v/>
      </c>
      <c r="BF5" s="19">
        <f>EDATE(ModelStartDate,BF3*12/PeriodsPerYear)</f>
        <v/>
      </c>
      <c r="BG5" s="19">
        <f>EDATE(ModelStartDate,BG3*12/PeriodsPerYear)</f>
        <v/>
      </c>
    </row>
    <row r="6">
      <c r="A6" t="inlineStr">
        <is>
          <t>Year fraction</t>
        </is>
      </c>
      <c r="C6" s="10" t="inlineStr">
        <is>
          <t>yrs</t>
        </is>
      </c>
      <c r="E6" s="20" t="n">
        <v>0</v>
      </c>
      <c r="F6" s="20">
        <f>(F5-F4)/365.25</f>
        <v/>
      </c>
      <c r="G6" s="20">
        <f>(G5-G4)/365.25</f>
        <v/>
      </c>
      <c r="H6" s="20">
        <f>(H5-H4)/365.25</f>
        <v/>
      </c>
      <c r="I6" s="20">
        <f>(I5-I4)/365.25</f>
        <v/>
      </c>
      <c r="J6" s="20">
        <f>(J5-J4)/365.25</f>
        <v/>
      </c>
      <c r="K6" s="20">
        <f>(K5-K4)/365.25</f>
        <v/>
      </c>
      <c r="L6" s="20">
        <f>(L5-L4)/365.25</f>
        <v/>
      </c>
      <c r="M6" s="20">
        <f>(M5-M4)/365.25</f>
        <v/>
      </c>
      <c r="N6" s="20">
        <f>(N5-N4)/365.25</f>
        <v/>
      </c>
      <c r="O6" s="20">
        <f>(O5-O4)/365.25</f>
        <v/>
      </c>
      <c r="P6" s="20">
        <f>(P5-P4)/365.25</f>
        <v/>
      </c>
      <c r="Q6" s="20">
        <f>(Q5-Q4)/365.25</f>
        <v/>
      </c>
      <c r="R6" s="20">
        <f>(R5-R4)/365.25</f>
        <v/>
      </c>
      <c r="S6" s="20">
        <f>(S5-S4)/365.25</f>
        <v/>
      </c>
      <c r="T6" s="20">
        <f>(T5-T4)/365.25</f>
        <v/>
      </c>
      <c r="U6" s="20">
        <f>(U5-U4)/365.25</f>
        <v/>
      </c>
      <c r="V6" s="20">
        <f>(V5-V4)/365.25</f>
        <v/>
      </c>
      <c r="W6" s="20">
        <f>(W5-W4)/365.25</f>
        <v/>
      </c>
      <c r="X6" s="20">
        <f>(X5-X4)/365.25</f>
        <v/>
      </c>
      <c r="Y6" s="20">
        <f>(Y5-Y4)/365.25</f>
        <v/>
      </c>
      <c r="Z6" s="20">
        <f>(Z5-Z4)/365.25</f>
        <v/>
      </c>
      <c r="AA6" s="20">
        <f>(AA5-AA4)/365.25</f>
        <v/>
      </c>
      <c r="AB6" s="20">
        <f>(AB5-AB4)/365.25</f>
        <v/>
      </c>
      <c r="AC6" s="20">
        <f>(AC5-AC4)/365.25</f>
        <v/>
      </c>
      <c r="AD6" s="20">
        <f>(AD5-AD4)/365.25</f>
        <v/>
      </c>
      <c r="AE6" s="20">
        <f>(AE5-AE4)/365.25</f>
        <v/>
      </c>
      <c r="AF6" s="20">
        <f>(AF5-AF4)/365.25</f>
        <v/>
      </c>
      <c r="AG6" s="20">
        <f>(AG5-AG4)/365.25</f>
        <v/>
      </c>
      <c r="AH6" s="20">
        <f>(AH5-AH4)/365.25</f>
        <v/>
      </c>
      <c r="AI6" s="20">
        <f>(AI5-AI4)/365.25</f>
        <v/>
      </c>
      <c r="AJ6" s="20">
        <f>(AJ5-AJ4)/365.25</f>
        <v/>
      </c>
      <c r="AK6" s="20">
        <f>(AK5-AK4)/365.25</f>
        <v/>
      </c>
      <c r="AL6" s="20">
        <f>(AL5-AL4)/365.25</f>
        <v/>
      </c>
      <c r="AM6" s="20">
        <f>(AM5-AM4)/365.25</f>
        <v/>
      </c>
      <c r="AN6" s="20">
        <f>(AN5-AN4)/365.25</f>
        <v/>
      </c>
      <c r="AO6" s="20">
        <f>(AO5-AO4)/365.25</f>
        <v/>
      </c>
      <c r="AP6" s="20">
        <f>(AP5-AP4)/365.25</f>
        <v/>
      </c>
      <c r="AQ6" s="20">
        <f>(AQ5-AQ4)/365.25</f>
        <v/>
      </c>
      <c r="AR6" s="20">
        <f>(AR5-AR4)/365.25</f>
        <v/>
      </c>
      <c r="AS6" s="20">
        <f>(AS5-AS4)/365.25</f>
        <v/>
      </c>
      <c r="AT6" s="20">
        <f>(AT5-AT4)/365.25</f>
        <v/>
      </c>
      <c r="AU6" s="20">
        <f>(AU5-AU4)/365.25</f>
        <v/>
      </c>
      <c r="AV6" s="20">
        <f>(AV5-AV4)/365.25</f>
        <v/>
      </c>
      <c r="AW6" s="20">
        <f>(AW5-AW4)/365.25</f>
        <v/>
      </c>
      <c r="AX6" s="20">
        <f>(AX5-AX4)/365.25</f>
        <v/>
      </c>
      <c r="AY6" s="20">
        <f>(AY5-AY4)/365.25</f>
        <v/>
      </c>
      <c r="AZ6" s="20">
        <f>(AZ5-AZ4)/365.25</f>
        <v/>
      </c>
      <c r="BA6" s="20">
        <f>(BA5-BA4)/365.25</f>
        <v/>
      </c>
      <c r="BB6" s="20">
        <f>(BB5-BB4)/365.25</f>
        <v/>
      </c>
      <c r="BC6" s="20">
        <f>(BC5-BC4)/365.25</f>
        <v/>
      </c>
      <c r="BD6" s="20">
        <f>(BD5-BD4)/365.25</f>
        <v/>
      </c>
      <c r="BE6" s="20">
        <f>(BE5-BE4)/365.25</f>
        <v/>
      </c>
      <c r="BF6" s="20">
        <f>(BF5-BF4)/365.25</f>
        <v/>
      </c>
      <c r="BG6" s="20">
        <f>(BG5-BG4)/365.25</f>
        <v/>
      </c>
    </row>
    <row r="7">
      <c r="A7" t="inlineStr">
        <is>
          <t>Construction flag</t>
        </is>
      </c>
      <c r="C7" s="10" t="inlineStr">
        <is>
          <t>0/1</t>
        </is>
      </c>
      <c r="E7" s="7" t="n">
        <v>0</v>
      </c>
      <c r="F7" s="7">
        <f>IF(AND(F3&gt;=1,F3&lt;=ConstructionPeriods),1,0)</f>
        <v/>
      </c>
      <c r="G7" s="7">
        <f>IF(AND(G3&gt;=1,G3&lt;=ConstructionPeriods),1,0)</f>
        <v/>
      </c>
      <c r="H7" s="7">
        <f>IF(AND(H3&gt;=1,H3&lt;=ConstructionPeriods),1,0)</f>
        <v/>
      </c>
      <c r="I7" s="7">
        <f>IF(AND(I3&gt;=1,I3&lt;=ConstructionPeriods),1,0)</f>
        <v/>
      </c>
      <c r="J7" s="7">
        <f>IF(AND(J3&gt;=1,J3&lt;=ConstructionPeriods),1,0)</f>
        <v/>
      </c>
      <c r="K7" s="7">
        <f>IF(AND(K3&gt;=1,K3&lt;=ConstructionPeriods),1,0)</f>
        <v/>
      </c>
      <c r="L7" s="7">
        <f>IF(AND(L3&gt;=1,L3&lt;=ConstructionPeriods),1,0)</f>
        <v/>
      </c>
      <c r="M7" s="7">
        <f>IF(AND(M3&gt;=1,M3&lt;=ConstructionPeriods),1,0)</f>
        <v/>
      </c>
      <c r="N7" s="7">
        <f>IF(AND(N3&gt;=1,N3&lt;=ConstructionPeriods),1,0)</f>
        <v/>
      </c>
      <c r="O7" s="7">
        <f>IF(AND(O3&gt;=1,O3&lt;=ConstructionPeriods),1,0)</f>
        <v/>
      </c>
      <c r="P7" s="7">
        <f>IF(AND(P3&gt;=1,P3&lt;=ConstructionPeriods),1,0)</f>
        <v/>
      </c>
      <c r="Q7" s="7">
        <f>IF(AND(Q3&gt;=1,Q3&lt;=ConstructionPeriods),1,0)</f>
        <v/>
      </c>
      <c r="R7" s="7">
        <f>IF(AND(R3&gt;=1,R3&lt;=ConstructionPeriods),1,0)</f>
        <v/>
      </c>
      <c r="S7" s="7">
        <f>IF(AND(S3&gt;=1,S3&lt;=ConstructionPeriods),1,0)</f>
        <v/>
      </c>
      <c r="T7" s="7">
        <f>IF(AND(T3&gt;=1,T3&lt;=ConstructionPeriods),1,0)</f>
        <v/>
      </c>
      <c r="U7" s="7">
        <f>IF(AND(U3&gt;=1,U3&lt;=ConstructionPeriods),1,0)</f>
        <v/>
      </c>
      <c r="V7" s="7">
        <f>IF(AND(V3&gt;=1,V3&lt;=ConstructionPeriods),1,0)</f>
        <v/>
      </c>
      <c r="W7" s="7">
        <f>IF(AND(W3&gt;=1,W3&lt;=ConstructionPeriods),1,0)</f>
        <v/>
      </c>
      <c r="X7" s="7">
        <f>IF(AND(X3&gt;=1,X3&lt;=ConstructionPeriods),1,0)</f>
        <v/>
      </c>
      <c r="Y7" s="7">
        <f>IF(AND(Y3&gt;=1,Y3&lt;=ConstructionPeriods),1,0)</f>
        <v/>
      </c>
      <c r="Z7" s="7">
        <f>IF(AND(Z3&gt;=1,Z3&lt;=ConstructionPeriods),1,0)</f>
        <v/>
      </c>
      <c r="AA7" s="7">
        <f>IF(AND(AA3&gt;=1,AA3&lt;=ConstructionPeriods),1,0)</f>
        <v/>
      </c>
      <c r="AB7" s="7">
        <f>IF(AND(AB3&gt;=1,AB3&lt;=ConstructionPeriods),1,0)</f>
        <v/>
      </c>
      <c r="AC7" s="7">
        <f>IF(AND(AC3&gt;=1,AC3&lt;=ConstructionPeriods),1,0)</f>
        <v/>
      </c>
      <c r="AD7" s="7">
        <f>IF(AND(AD3&gt;=1,AD3&lt;=ConstructionPeriods),1,0)</f>
        <v/>
      </c>
      <c r="AE7" s="7">
        <f>IF(AND(AE3&gt;=1,AE3&lt;=ConstructionPeriods),1,0)</f>
        <v/>
      </c>
      <c r="AF7" s="7">
        <f>IF(AND(AF3&gt;=1,AF3&lt;=ConstructionPeriods),1,0)</f>
        <v/>
      </c>
      <c r="AG7" s="7">
        <f>IF(AND(AG3&gt;=1,AG3&lt;=ConstructionPeriods),1,0)</f>
        <v/>
      </c>
      <c r="AH7" s="7">
        <f>IF(AND(AH3&gt;=1,AH3&lt;=ConstructionPeriods),1,0)</f>
        <v/>
      </c>
      <c r="AI7" s="7">
        <f>IF(AND(AI3&gt;=1,AI3&lt;=ConstructionPeriods),1,0)</f>
        <v/>
      </c>
      <c r="AJ7" s="7">
        <f>IF(AND(AJ3&gt;=1,AJ3&lt;=ConstructionPeriods),1,0)</f>
        <v/>
      </c>
      <c r="AK7" s="7">
        <f>IF(AND(AK3&gt;=1,AK3&lt;=ConstructionPeriods),1,0)</f>
        <v/>
      </c>
      <c r="AL7" s="7">
        <f>IF(AND(AL3&gt;=1,AL3&lt;=ConstructionPeriods),1,0)</f>
        <v/>
      </c>
      <c r="AM7" s="7">
        <f>IF(AND(AM3&gt;=1,AM3&lt;=ConstructionPeriods),1,0)</f>
        <v/>
      </c>
      <c r="AN7" s="7">
        <f>IF(AND(AN3&gt;=1,AN3&lt;=ConstructionPeriods),1,0)</f>
        <v/>
      </c>
      <c r="AO7" s="7">
        <f>IF(AND(AO3&gt;=1,AO3&lt;=ConstructionPeriods),1,0)</f>
        <v/>
      </c>
      <c r="AP7" s="7">
        <f>IF(AND(AP3&gt;=1,AP3&lt;=ConstructionPeriods),1,0)</f>
        <v/>
      </c>
      <c r="AQ7" s="7">
        <f>IF(AND(AQ3&gt;=1,AQ3&lt;=ConstructionPeriods),1,0)</f>
        <v/>
      </c>
      <c r="AR7" s="7">
        <f>IF(AND(AR3&gt;=1,AR3&lt;=ConstructionPeriods),1,0)</f>
        <v/>
      </c>
      <c r="AS7" s="7">
        <f>IF(AND(AS3&gt;=1,AS3&lt;=ConstructionPeriods),1,0)</f>
        <v/>
      </c>
      <c r="AT7" s="7">
        <f>IF(AND(AT3&gt;=1,AT3&lt;=ConstructionPeriods),1,0)</f>
        <v/>
      </c>
      <c r="AU7" s="7">
        <f>IF(AND(AU3&gt;=1,AU3&lt;=ConstructionPeriods),1,0)</f>
        <v/>
      </c>
      <c r="AV7" s="7">
        <f>IF(AND(AV3&gt;=1,AV3&lt;=ConstructionPeriods),1,0)</f>
        <v/>
      </c>
      <c r="AW7" s="7">
        <f>IF(AND(AW3&gt;=1,AW3&lt;=ConstructionPeriods),1,0)</f>
        <v/>
      </c>
      <c r="AX7" s="7">
        <f>IF(AND(AX3&gt;=1,AX3&lt;=ConstructionPeriods),1,0)</f>
        <v/>
      </c>
      <c r="AY7" s="7">
        <f>IF(AND(AY3&gt;=1,AY3&lt;=ConstructionPeriods),1,0)</f>
        <v/>
      </c>
      <c r="AZ7" s="7">
        <f>IF(AND(AZ3&gt;=1,AZ3&lt;=ConstructionPeriods),1,0)</f>
        <v/>
      </c>
      <c r="BA7" s="7">
        <f>IF(AND(BA3&gt;=1,BA3&lt;=ConstructionPeriods),1,0)</f>
        <v/>
      </c>
      <c r="BB7" s="7">
        <f>IF(AND(BB3&gt;=1,BB3&lt;=ConstructionPeriods),1,0)</f>
        <v/>
      </c>
      <c r="BC7" s="7">
        <f>IF(AND(BC3&gt;=1,BC3&lt;=ConstructionPeriods),1,0)</f>
        <v/>
      </c>
      <c r="BD7" s="7">
        <f>IF(AND(BD3&gt;=1,BD3&lt;=ConstructionPeriods),1,0)</f>
        <v/>
      </c>
      <c r="BE7" s="7">
        <f>IF(AND(BE3&gt;=1,BE3&lt;=ConstructionPeriods),1,0)</f>
        <v/>
      </c>
      <c r="BF7" s="7">
        <f>IF(AND(BF3&gt;=1,BF3&lt;=ConstructionPeriods),1,0)</f>
        <v/>
      </c>
      <c r="BG7" s="7">
        <f>IF(AND(BG3&gt;=1,BG3&lt;=ConstructionPeriods),1,0)</f>
        <v/>
      </c>
    </row>
    <row r="8">
      <c r="A8" t="inlineStr">
        <is>
          <t>Operations flag</t>
        </is>
      </c>
      <c r="C8" s="10" t="inlineStr">
        <is>
          <t>0/1</t>
        </is>
      </c>
      <c r="E8" s="7" t="n">
        <v>0</v>
      </c>
      <c r="F8" s="7">
        <f>IF(F3&gt;ConstructionPeriods,1,0)</f>
        <v/>
      </c>
      <c r="G8" s="7">
        <f>IF(G3&gt;ConstructionPeriods,1,0)</f>
        <v/>
      </c>
      <c r="H8" s="7">
        <f>IF(H3&gt;ConstructionPeriods,1,0)</f>
        <v/>
      </c>
      <c r="I8" s="7">
        <f>IF(I3&gt;ConstructionPeriods,1,0)</f>
        <v/>
      </c>
      <c r="J8" s="7">
        <f>IF(J3&gt;ConstructionPeriods,1,0)</f>
        <v/>
      </c>
      <c r="K8" s="7">
        <f>IF(K3&gt;ConstructionPeriods,1,0)</f>
        <v/>
      </c>
      <c r="L8" s="7">
        <f>IF(L3&gt;ConstructionPeriods,1,0)</f>
        <v/>
      </c>
      <c r="M8" s="7">
        <f>IF(M3&gt;ConstructionPeriods,1,0)</f>
        <v/>
      </c>
      <c r="N8" s="7">
        <f>IF(N3&gt;ConstructionPeriods,1,0)</f>
        <v/>
      </c>
      <c r="O8" s="7">
        <f>IF(O3&gt;ConstructionPeriods,1,0)</f>
        <v/>
      </c>
      <c r="P8" s="7">
        <f>IF(P3&gt;ConstructionPeriods,1,0)</f>
        <v/>
      </c>
      <c r="Q8" s="7">
        <f>IF(Q3&gt;ConstructionPeriods,1,0)</f>
        <v/>
      </c>
      <c r="R8" s="7">
        <f>IF(R3&gt;ConstructionPeriods,1,0)</f>
        <v/>
      </c>
      <c r="S8" s="7">
        <f>IF(S3&gt;ConstructionPeriods,1,0)</f>
        <v/>
      </c>
      <c r="T8" s="7">
        <f>IF(T3&gt;ConstructionPeriods,1,0)</f>
        <v/>
      </c>
      <c r="U8" s="7">
        <f>IF(U3&gt;ConstructionPeriods,1,0)</f>
        <v/>
      </c>
      <c r="V8" s="7">
        <f>IF(V3&gt;ConstructionPeriods,1,0)</f>
        <v/>
      </c>
      <c r="W8" s="7">
        <f>IF(W3&gt;ConstructionPeriods,1,0)</f>
        <v/>
      </c>
      <c r="X8" s="7">
        <f>IF(X3&gt;ConstructionPeriods,1,0)</f>
        <v/>
      </c>
      <c r="Y8" s="7">
        <f>IF(Y3&gt;ConstructionPeriods,1,0)</f>
        <v/>
      </c>
      <c r="Z8" s="7">
        <f>IF(Z3&gt;ConstructionPeriods,1,0)</f>
        <v/>
      </c>
      <c r="AA8" s="7">
        <f>IF(AA3&gt;ConstructionPeriods,1,0)</f>
        <v/>
      </c>
      <c r="AB8" s="7">
        <f>IF(AB3&gt;ConstructionPeriods,1,0)</f>
        <v/>
      </c>
      <c r="AC8" s="7">
        <f>IF(AC3&gt;ConstructionPeriods,1,0)</f>
        <v/>
      </c>
      <c r="AD8" s="7">
        <f>IF(AD3&gt;ConstructionPeriods,1,0)</f>
        <v/>
      </c>
      <c r="AE8" s="7">
        <f>IF(AE3&gt;ConstructionPeriods,1,0)</f>
        <v/>
      </c>
      <c r="AF8" s="7">
        <f>IF(AF3&gt;ConstructionPeriods,1,0)</f>
        <v/>
      </c>
      <c r="AG8" s="7">
        <f>IF(AG3&gt;ConstructionPeriods,1,0)</f>
        <v/>
      </c>
      <c r="AH8" s="7">
        <f>IF(AH3&gt;ConstructionPeriods,1,0)</f>
        <v/>
      </c>
      <c r="AI8" s="7">
        <f>IF(AI3&gt;ConstructionPeriods,1,0)</f>
        <v/>
      </c>
      <c r="AJ8" s="7">
        <f>IF(AJ3&gt;ConstructionPeriods,1,0)</f>
        <v/>
      </c>
      <c r="AK8" s="7">
        <f>IF(AK3&gt;ConstructionPeriods,1,0)</f>
        <v/>
      </c>
      <c r="AL8" s="7">
        <f>IF(AL3&gt;ConstructionPeriods,1,0)</f>
        <v/>
      </c>
      <c r="AM8" s="7">
        <f>IF(AM3&gt;ConstructionPeriods,1,0)</f>
        <v/>
      </c>
      <c r="AN8" s="7">
        <f>IF(AN3&gt;ConstructionPeriods,1,0)</f>
        <v/>
      </c>
      <c r="AO8" s="7">
        <f>IF(AO3&gt;ConstructionPeriods,1,0)</f>
        <v/>
      </c>
      <c r="AP8" s="7">
        <f>IF(AP3&gt;ConstructionPeriods,1,0)</f>
        <v/>
      </c>
      <c r="AQ8" s="7">
        <f>IF(AQ3&gt;ConstructionPeriods,1,0)</f>
        <v/>
      </c>
      <c r="AR8" s="7">
        <f>IF(AR3&gt;ConstructionPeriods,1,0)</f>
        <v/>
      </c>
      <c r="AS8" s="7">
        <f>IF(AS3&gt;ConstructionPeriods,1,0)</f>
        <v/>
      </c>
      <c r="AT8" s="7">
        <f>IF(AT3&gt;ConstructionPeriods,1,0)</f>
        <v/>
      </c>
      <c r="AU8" s="7">
        <f>IF(AU3&gt;ConstructionPeriods,1,0)</f>
        <v/>
      </c>
      <c r="AV8" s="7">
        <f>IF(AV3&gt;ConstructionPeriods,1,0)</f>
        <v/>
      </c>
      <c r="AW8" s="7">
        <f>IF(AW3&gt;ConstructionPeriods,1,0)</f>
        <v/>
      </c>
      <c r="AX8" s="7">
        <f>IF(AX3&gt;ConstructionPeriods,1,0)</f>
        <v/>
      </c>
      <c r="AY8" s="7">
        <f>IF(AY3&gt;ConstructionPeriods,1,0)</f>
        <v/>
      </c>
      <c r="AZ8" s="7">
        <f>IF(AZ3&gt;ConstructionPeriods,1,0)</f>
        <v/>
      </c>
      <c r="BA8" s="7">
        <f>IF(BA3&gt;ConstructionPeriods,1,0)</f>
        <v/>
      </c>
      <c r="BB8" s="7">
        <f>IF(BB3&gt;ConstructionPeriods,1,0)</f>
        <v/>
      </c>
      <c r="BC8" s="7">
        <f>IF(BC3&gt;ConstructionPeriods,1,0)</f>
        <v/>
      </c>
      <c r="BD8" s="7">
        <f>IF(BD3&gt;ConstructionPeriods,1,0)</f>
        <v/>
      </c>
      <c r="BE8" s="7">
        <f>IF(BE3&gt;ConstructionPeriods,1,0)</f>
        <v/>
      </c>
      <c r="BF8" s="7">
        <f>IF(BF3&gt;ConstructionPeriods,1,0)</f>
        <v/>
      </c>
      <c r="BG8" s="7">
        <f>IF(BG3&gt;ConstructionPeriods,1,0)</f>
        <v/>
      </c>
    </row>
    <row r="9">
      <c r="A9" t="inlineStr">
        <is>
          <t>Debt-period flag</t>
        </is>
      </c>
      <c r="C9" s="10" t="inlineStr">
        <is>
          <t>0/1</t>
        </is>
      </c>
      <c r="E9" s="7" t="n">
        <v>0</v>
      </c>
      <c r="F9" s="7">
        <f>IF(AND(F3&gt;ConstructionPeriods,F3&lt;=ConstructionPeriods+DebtTenorPeriods),1,0)</f>
        <v/>
      </c>
      <c r="G9" s="7">
        <f>IF(AND(G3&gt;ConstructionPeriods,G3&lt;=ConstructionPeriods+DebtTenorPeriods),1,0)</f>
        <v/>
      </c>
      <c r="H9" s="7">
        <f>IF(AND(H3&gt;ConstructionPeriods,H3&lt;=ConstructionPeriods+DebtTenorPeriods),1,0)</f>
        <v/>
      </c>
      <c r="I9" s="7">
        <f>IF(AND(I3&gt;ConstructionPeriods,I3&lt;=ConstructionPeriods+DebtTenorPeriods),1,0)</f>
        <v/>
      </c>
      <c r="J9" s="7">
        <f>IF(AND(J3&gt;ConstructionPeriods,J3&lt;=ConstructionPeriods+DebtTenorPeriods),1,0)</f>
        <v/>
      </c>
      <c r="K9" s="7">
        <f>IF(AND(K3&gt;ConstructionPeriods,K3&lt;=ConstructionPeriods+DebtTenorPeriods),1,0)</f>
        <v/>
      </c>
      <c r="L9" s="7">
        <f>IF(AND(L3&gt;ConstructionPeriods,L3&lt;=ConstructionPeriods+DebtTenorPeriods),1,0)</f>
        <v/>
      </c>
      <c r="M9" s="7">
        <f>IF(AND(M3&gt;ConstructionPeriods,M3&lt;=ConstructionPeriods+DebtTenorPeriods),1,0)</f>
        <v/>
      </c>
      <c r="N9" s="7">
        <f>IF(AND(N3&gt;ConstructionPeriods,N3&lt;=ConstructionPeriods+DebtTenorPeriods),1,0)</f>
        <v/>
      </c>
      <c r="O9" s="7">
        <f>IF(AND(O3&gt;ConstructionPeriods,O3&lt;=ConstructionPeriods+DebtTenorPeriods),1,0)</f>
        <v/>
      </c>
      <c r="P9" s="7">
        <f>IF(AND(P3&gt;ConstructionPeriods,P3&lt;=ConstructionPeriods+DebtTenorPeriods),1,0)</f>
        <v/>
      </c>
      <c r="Q9" s="7">
        <f>IF(AND(Q3&gt;ConstructionPeriods,Q3&lt;=ConstructionPeriods+DebtTenorPeriods),1,0)</f>
        <v/>
      </c>
      <c r="R9" s="7">
        <f>IF(AND(R3&gt;ConstructionPeriods,R3&lt;=ConstructionPeriods+DebtTenorPeriods),1,0)</f>
        <v/>
      </c>
      <c r="S9" s="7">
        <f>IF(AND(S3&gt;ConstructionPeriods,S3&lt;=ConstructionPeriods+DebtTenorPeriods),1,0)</f>
        <v/>
      </c>
      <c r="T9" s="7">
        <f>IF(AND(T3&gt;ConstructionPeriods,T3&lt;=ConstructionPeriods+DebtTenorPeriods),1,0)</f>
        <v/>
      </c>
      <c r="U9" s="7">
        <f>IF(AND(U3&gt;ConstructionPeriods,U3&lt;=ConstructionPeriods+DebtTenorPeriods),1,0)</f>
        <v/>
      </c>
      <c r="V9" s="7">
        <f>IF(AND(V3&gt;ConstructionPeriods,V3&lt;=ConstructionPeriods+DebtTenorPeriods),1,0)</f>
        <v/>
      </c>
      <c r="W9" s="7">
        <f>IF(AND(W3&gt;ConstructionPeriods,W3&lt;=ConstructionPeriods+DebtTenorPeriods),1,0)</f>
        <v/>
      </c>
      <c r="X9" s="7">
        <f>IF(AND(X3&gt;ConstructionPeriods,X3&lt;=ConstructionPeriods+DebtTenorPeriods),1,0)</f>
        <v/>
      </c>
      <c r="Y9" s="7">
        <f>IF(AND(Y3&gt;ConstructionPeriods,Y3&lt;=ConstructionPeriods+DebtTenorPeriods),1,0)</f>
        <v/>
      </c>
      <c r="Z9" s="7">
        <f>IF(AND(Z3&gt;ConstructionPeriods,Z3&lt;=ConstructionPeriods+DebtTenorPeriods),1,0)</f>
        <v/>
      </c>
      <c r="AA9" s="7">
        <f>IF(AND(AA3&gt;ConstructionPeriods,AA3&lt;=ConstructionPeriods+DebtTenorPeriods),1,0)</f>
        <v/>
      </c>
      <c r="AB9" s="7">
        <f>IF(AND(AB3&gt;ConstructionPeriods,AB3&lt;=ConstructionPeriods+DebtTenorPeriods),1,0)</f>
        <v/>
      </c>
      <c r="AC9" s="7">
        <f>IF(AND(AC3&gt;ConstructionPeriods,AC3&lt;=ConstructionPeriods+DebtTenorPeriods),1,0)</f>
        <v/>
      </c>
      <c r="AD9" s="7">
        <f>IF(AND(AD3&gt;ConstructionPeriods,AD3&lt;=ConstructionPeriods+DebtTenorPeriods),1,0)</f>
        <v/>
      </c>
      <c r="AE9" s="7">
        <f>IF(AND(AE3&gt;ConstructionPeriods,AE3&lt;=ConstructionPeriods+DebtTenorPeriods),1,0)</f>
        <v/>
      </c>
      <c r="AF9" s="7">
        <f>IF(AND(AF3&gt;ConstructionPeriods,AF3&lt;=ConstructionPeriods+DebtTenorPeriods),1,0)</f>
        <v/>
      </c>
      <c r="AG9" s="7">
        <f>IF(AND(AG3&gt;ConstructionPeriods,AG3&lt;=ConstructionPeriods+DebtTenorPeriods),1,0)</f>
        <v/>
      </c>
      <c r="AH9" s="7">
        <f>IF(AND(AH3&gt;ConstructionPeriods,AH3&lt;=ConstructionPeriods+DebtTenorPeriods),1,0)</f>
        <v/>
      </c>
      <c r="AI9" s="7">
        <f>IF(AND(AI3&gt;ConstructionPeriods,AI3&lt;=ConstructionPeriods+DebtTenorPeriods),1,0)</f>
        <v/>
      </c>
      <c r="AJ9" s="7">
        <f>IF(AND(AJ3&gt;ConstructionPeriods,AJ3&lt;=ConstructionPeriods+DebtTenorPeriods),1,0)</f>
        <v/>
      </c>
      <c r="AK9" s="7">
        <f>IF(AND(AK3&gt;ConstructionPeriods,AK3&lt;=ConstructionPeriods+DebtTenorPeriods),1,0)</f>
        <v/>
      </c>
      <c r="AL9" s="7">
        <f>IF(AND(AL3&gt;ConstructionPeriods,AL3&lt;=ConstructionPeriods+DebtTenorPeriods),1,0)</f>
        <v/>
      </c>
      <c r="AM9" s="7">
        <f>IF(AND(AM3&gt;ConstructionPeriods,AM3&lt;=ConstructionPeriods+DebtTenorPeriods),1,0)</f>
        <v/>
      </c>
      <c r="AN9" s="7">
        <f>IF(AND(AN3&gt;ConstructionPeriods,AN3&lt;=ConstructionPeriods+DebtTenorPeriods),1,0)</f>
        <v/>
      </c>
      <c r="AO9" s="7">
        <f>IF(AND(AO3&gt;ConstructionPeriods,AO3&lt;=ConstructionPeriods+DebtTenorPeriods),1,0)</f>
        <v/>
      </c>
      <c r="AP9" s="7">
        <f>IF(AND(AP3&gt;ConstructionPeriods,AP3&lt;=ConstructionPeriods+DebtTenorPeriods),1,0)</f>
        <v/>
      </c>
      <c r="AQ9" s="7">
        <f>IF(AND(AQ3&gt;ConstructionPeriods,AQ3&lt;=ConstructionPeriods+DebtTenorPeriods),1,0)</f>
        <v/>
      </c>
      <c r="AR9" s="7">
        <f>IF(AND(AR3&gt;ConstructionPeriods,AR3&lt;=ConstructionPeriods+DebtTenorPeriods),1,0)</f>
        <v/>
      </c>
      <c r="AS9" s="7">
        <f>IF(AND(AS3&gt;ConstructionPeriods,AS3&lt;=ConstructionPeriods+DebtTenorPeriods),1,0)</f>
        <v/>
      </c>
      <c r="AT9" s="7">
        <f>IF(AND(AT3&gt;ConstructionPeriods,AT3&lt;=ConstructionPeriods+DebtTenorPeriods),1,0)</f>
        <v/>
      </c>
      <c r="AU9" s="7">
        <f>IF(AND(AU3&gt;ConstructionPeriods,AU3&lt;=ConstructionPeriods+DebtTenorPeriods),1,0)</f>
        <v/>
      </c>
      <c r="AV9" s="7">
        <f>IF(AND(AV3&gt;ConstructionPeriods,AV3&lt;=ConstructionPeriods+DebtTenorPeriods),1,0)</f>
        <v/>
      </c>
      <c r="AW9" s="7">
        <f>IF(AND(AW3&gt;ConstructionPeriods,AW3&lt;=ConstructionPeriods+DebtTenorPeriods),1,0)</f>
        <v/>
      </c>
      <c r="AX9" s="7">
        <f>IF(AND(AX3&gt;ConstructionPeriods,AX3&lt;=ConstructionPeriods+DebtTenorPeriods),1,0)</f>
        <v/>
      </c>
      <c r="AY9" s="7">
        <f>IF(AND(AY3&gt;ConstructionPeriods,AY3&lt;=ConstructionPeriods+DebtTenorPeriods),1,0)</f>
        <v/>
      </c>
      <c r="AZ9" s="7">
        <f>IF(AND(AZ3&gt;ConstructionPeriods,AZ3&lt;=ConstructionPeriods+DebtTenorPeriods),1,0)</f>
        <v/>
      </c>
      <c r="BA9" s="7">
        <f>IF(AND(BA3&gt;ConstructionPeriods,BA3&lt;=ConstructionPeriods+DebtTenorPeriods),1,0)</f>
        <v/>
      </c>
      <c r="BB9" s="7">
        <f>IF(AND(BB3&gt;ConstructionPeriods,BB3&lt;=ConstructionPeriods+DebtTenorPeriods),1,0)</f>
        <v/>
      </c>
      <c r="BC9" s="7">
        <f>IF(AND(BC3&gt;ConstructionPeriods,BC3&lt;=ConstructionPeriods+DebtTenorPeriods),1,0)</f>
        <v/>
      </c>
      <c r="BD9" s="7">
        <f>IF(AND(BD3&gt;ConstructionPeriods,BD3&lt;=ConstructionPeriods+DebtTenorPeriods),1,0)</f>
        <v/>
      </c>
      <c r="BE9" s="7">
        <f>IF(AND(BE3&gt;ConstructionPeriods,BE3&lt;=ConstructionPeriods+DebtTenorPeriods),1,0)</f>
        <v/>
      </c>
      <c r="BF9" s="7">
        <f>IF(AND(BF3&gt;ConstructionPeriods,BF3&lt;=ConstructionPeriods+DebtTenorPeriods),1,0)</f>
        <v/>
      </c>
      <c r="BG9" s="7">
        <f>IF(AND(BG3&gt;ConstructionPeriods,BG3&lt;=ConstructionPeriods+DebtTenorPeriods),1,0)</f>
        <v/>
      </c>
    </row>
    <row r="10">
      <c r="A10" t="inlineStr">
        <is>
          <t>First operating period</t>
        </is>
      </c>
      <c r="C10" s="10" t="inlineStr">
        <is>
          <t>0/1</t>
        </is>
      </c>
      <c r="E10" s="7" t="n">
        <v>0</v>
      </c>
      <c r="F10" s="7">
        <f>IF(F3=ConstructionPeriods+1,1,0)</f>
        <v/>
      </c>
      <c r="G10" s="7">
        <f>IF(G3=ConstructionPeriods+1,1,0)</f>
        <v/>
      </c>
      <c r="H10" s="7">
        <f>IF(H3=ConstructionPeriods+1,1,0)</f>
        <v/>
      </c>
      <c r="I10" s="7">
        <f>IF(I3=ConstructionPeriods+1,1,0)</f>
        <v/>
      </c>
      <c r="J10" s="7">
        <f>IF(J3=ConstructionPeriods+1,1,0)</f>
        <v/>
      </c>
      <c r="K10" s="7">
        <f>IF(K3=ConstructionPeriods+1,1,0)</f>
        <v/>
      </c>
      <c r="L10" s="7">
        <f>IF(L3=ConstructionPeriods+1,1,0)</f>
        <v/>
      </c>
      <c r="M10" s="7">
        <f>IF(M3=ConstructionPeriods+1,1,0)</f>
        <v/>
      </c>
      <c r="N10" s="7">
        <f>IF(N3=ConstructionPeriods+1,1,0)</f>
        <v/>
      </c>
      <c r="O10" s="7">
        <f>IF(O3=ConstructionPeriods+1,1,0)</f>
        <v/>
      </c>
      <c r="P10" s="7">
        <f>IF(P3=ConstructionPeriods+1,1,0)</f>
        <v/>
      </c>
      <c r="Q10" s="7">
        <f>IF(Q3=ConstructionPeriods+1,1,0)</f>
        <v/>
      </c>
      <c r="R10" s="7">
        <f>IF(R3=ConstructionPeriods+1,1,0)</f>
        <v/>
      </c>
      <c r="S10" s="7">
        <f>IF(S3=ConstructionPeriods+1,1,0)</f>
        <v/>
      </c>
      <c r="T10" s="7">
        <f>IF(T3=ConstructionPeriods+1,1,0)</f>
        <v/>
      </c>
      <c r="U10" s="7">
        <f>IF(U3=ConstructionPeriods+1,1,0)</f>
        <v/>
      </c>
      <c r="V10" s="7">
        <f>IF(V3=ConstructionPeriods+1,1,0)</f>
        <v/>
      </c>
      <c r="W10" s="7">
        <f>IF(W3=ConstructionPeriods+1,1,0)</f>
        <v/>
      </c>
      <c r="X10" s="7">
        <f>IF(X3=ConstructionPeriods+1,1,0)</f>
        <v/>
      </c>
      <c r="Y10" s="7">
        <f>IF(Y3=ConstructionPeriods+1,1,0)</f>
        <v/>
      </c>
      <c r="Z10" s="7">
        <f>IF(Z3=ConstructionPeriods+1,1,0)</f>
        <v/>
      </c>
      <c r="AA10" s="7">
        <f>IF(AA3=ConstructionPeriods+1,1,0)</f>
        <v/>
      </c>
      <c r="AB10" s="7">
        <f>IF(AB3=ConstructionPeriods+1,1,0)</f>
        <v/>
      </c>
      <c r="AC10" s="7">
        <f>IF(AC3=ConstructionPeriods+1,1,0)</f>
        <v/>
      </c>
      <c r="AD10" s="7">
        <f>IF(AD3=ConstructionPeriods+1,1,0)</f>
        <v/>
      </c>
      <c r="AE10" s="7">
        <f>IF(AE3=ConstructionPeriods+1,1,0)</f>
        <v/>
      </c>
      <c r="AF10" s="7">
        <f>IF(AF3=ConstructionPeriods+1,1,0)</f>
        <v/>
      </c>
      <c r="AG10" s="7">
        <f>IF(AG3=ConstructionPeriods+1,1,0)</f>
        <v/>
      </c>
      <c r="AH10" s="7">
        <f>IF(AH3=ConstructionPeriods+1,1,0)</f>
        <v/>
      </c>
      <c r="AI10" s="7">
        <f>IF(AI3=ConstructionPeriods+1,1,0)</f>
        <v/>
      </c>
      <c r="AJ10" s="7">
        <f>IF(AJ3=ConstructionPeriods+1,1,0)</f>
        <v/>
      </c>
      <c r="AK10" s="7">
        <f>IF(AK3=ConstructionPeriods+1,1,0)</f>
        <v/>
      </c>
      <c r="AL10" s="7">
        <f>IF(AL3=ConstructionPeriods+1,1,0)</f>
        <v/>
      </c>
      <c r="AM10" s="7">
        <f>IF(AM3=ConstructionPeriods+1,1,0)</f>
        <v/>
      </c>
      <c r="AN10" s="7">
        <f>IF(AN3=ConstructionPeriods+1,1,0)</f>
        <v/>
      </c>
      <c r="AO10" s="7">
        <f>IF(AO3=ConstructionPeriods+1,1,0)</f>
        <v/>
      </c>
      <c r="AP10" s="7">
        <f>IF(AP3=ConstructionPeriods+1,1,0)</f>
        <v/>
      </c>
      <c r="AQ10" s="7">
        <f>IF(AQ3=ConstructionPeriods+1,1,0)</f>
        <v/>
      </c>
      <c r="AR10" s="7">
        <f>IF(AR3=ConstructionPeriods+1,1,0)</f>
        <v/>
      </c>
      <c r="AS10" s="7">
        <f>IF(AS3=ConstructionPeriods+1,1,0)</f>
        <v/>
      </c>
      <c r="AT10" s="7">
        <f>IF(AT3=ConstructionPeriods+1,1,0)</f>
        <v/>
      </c>
      <c r="AU10" s="7">
        <f>IF(AU3=ConstructionPeriods+1,1,0)</f>
        <v/>
      </c>
      <c r="AV10" s="7">
        <f>IF(AV3=ConstructionPeriods+1,1,0)</f>
        <v/>
      </c>
      <c r="AW10" s="7">
        <f>IF(AW3=ConstructionPeriods+1,1,0)</f>
        <v/>
      </c>
      <c r="AX10" s="7">
        <f>IF(AX3=ConstructionPeriods+1,1,0)</f>
        <v/>
      </c>
      <c r="AY10" s="7">
        <f>IF(AY3=ConstructionPeriods+1,1,0)</f>
        <v/>
      </c>
      <c r="AZ10" s="7">
        <f>IF(AZ3=ConstructionPeriods+1,1,0)</f>
        <v/>
      </c>
      <c r="BA10" s="7">
        <f>IF(BA3=ConstructionPeriods+1,1,0)</f>
        <v/>
      </c>
      <c r="BB10" s="7">
        <f>IF(BB3=ConstructionPeriods+1,1,0)</f>
        <v/>
      </c>
      <c r="BC10" s="7">
        <f>IF(BC3=ConstructionPeriods+1,1,0)</f>
        <v/>
      </c>
      <c r="BD10" s="7">
        <f>IF(BD3=ConstructionPeriods+1,1,0)</f>
        <v/>
      </c>
      <c r="BE10" s="7">
        <f>IF(BE3=ConstructionPeriods+1,1,0)</f>
        <v/>
      </c>
      <c r="BF10" s="7">
        <f>IF(BF3=ConstructionPeriods+1,1,0)</f>
        <v/>
      </c>
      <c r="BG10" s="7">
        <f>IF(BG3=ConstructionPeriods+1,1,0)</f>
        <v/>
      </c>
    </row>
    <row r="11">
      <c r="A11" t="inlineStr">
        <is>
          <t>Last period flag</t>
        </is>
      </c>
      <c r="C11" s="10" t="inlineStr">
        <is>
          <t>0/1</t>
        </is>
      </c>
      <c r="E11" s="7" t="n">
        <v>0</v>
      </c>
      <c r="F11" s="7">
        <f>IF(F3=ConstructionPeriods+OperationsPeriods,1,0)</f>
        <v/>
      </c>
      <c r="G11" s="7">
        <f>IF(G3=ConstructionPeriods+OperationsPeriods,1,0)</f>
        <v/>
      </c>
      <c r="H11" s="7">
        <f>IF(H3=ConstructionPeriods+OperationsPeriods,1,0)</f>
        <v/>
      </c>
      <c r="I11" s="7">
        <f>IF(I3=ConstructionPeriods+OperationsPeriods,1,0)</f>
        <v/>
      </c>
      <c r="J11" s="7">
        <f>IF(J3=ConstructionPeriods+OperationsPeriods,1,0)</f>
        <v/>
      </c>
      <c r="K11" s="7">
        <f>IF(K3=ConstructionPeriods+OperationsPeriods,1,0)</f>
        <v/>
      </c>
      <c r="L11" s="7">
        <f>IF(L3=ConstructionPeriods+OperationsPeriods,1,0)</f>
        <v/>
      </c>
      <c r="M11" s="7">
        <f>IF(M3=ConstructionPeriods+OperationsPeriods,1,0)</f>
        <v/>
      </c>
      <c r="N11" s="7">
        <f>IF(N3=ConstructionPeriods+OperationsPeriods,1,0)</f>
        <v/>
      </c>
      <c r="O11" s="7">
        <f>IF(O3=ConstructionPeriods+OperationsPeriods,1,0)</f>
        <v/>
      </c>
      <c r="P11" s="7">
        <f>IF(P3=ConstructionPeriods+OperationsPeriods,1,0)</f>
        <v/>
      </c>
      <c r="Q11" s="7">
        <f>IF(Q3=ConstructionPeriods+OperationsPeriods,1,0)</f>
        <v/>
      </c>
      <c r="R11" s="7">
        <f>IF(R3=ConstructionPeriods+OperationsPeriods,1,0)</f>
        <v/>
      </c>
      <c r="S11" s="7">
        <f>IF(S3=ConstructionPeriods+OperationsPeriods,1,0)</f>
        <v/>
      </c>
      <c r="T11" s="7">
        <f>IF(T3=ConstructionPeriods+OperationsPeriods,1,0)</f>
        <v/>
      </c>
      <c r="U11" s="7">
        <f>IF(U3=ConstructionPeriods+OperationsPeriods,1,0)</f>
        <v/>
      </c>
      <c r="V11" s="7">
        <f>IF(V3=ConstructionPeriods+OperationsPeriods,1,0)</f>
        <v/>
      </c>
      <c r="W11" s="7">
        <f>IF(W3=ConstructionPeriods+OperationsPeriods,1,0)</f>
        <v/>
      </c>
      <c r="X11" s="7">
        <f>IF(X3=ConstructionPeriods+OperationsPeriods,1,0)</f>
        <v/>
      </c>
      <c r="Y11" s="7">
        <f>IF(Y3=ConstructionPeriods+OperationsPeriods,1,0)</f>
        <v/>
      </c>
      <c r="Z11" s="7">
        <f>IF(Z3=ConstructionPeriods+OperationsPeriods,1,0)</f>
        <v/>
      </c>
      <c r="AA11" s="7">
        <f>IF(AA3=ConstructionPeriods+OperationsPeriods,1,0)</f>
        <v/>
      </c>
      <c r="AB11" s="7">
        <f>IF(AB3=ConstructionPeriods+OperationsPeriods,1,0)</f>
        <v/>
      </c>
      <c r="AC11" s="7">
        <f>IF(AC3=ConstructionPeriods+OperationsPeriods,1,0)</f>
        <v/>
      </c>
      <c r="AD11" s="7">
        <f>IF(AD3=ConstructionPeriods+OperationsPeriods,1,0)</f>
        <v/>
      </c>
      <c r="AE11" s="7">
        <f>IF(AE3=ConstructionPeriods+OperationsPeriods,1,0)</f>
        <v/>
      </c>
      <c r="AF11" s="7">
        <f>IF(AF3=ConstructionPeriods+OperationsPeriods,1,0)</f>
        <v/>
      </c>
      <c r="AG11" s="7">
        <f>IF(AG3=ConstructionPeriods+OperationsPeriods,1,0)</f>
        <v/>
      </c>
      <c r="AH11" s="7">
        <f>IF(AH3=ConstructionPeriods+OperationsPeriods,1,0)</f>
        <v/>
      </c>
      <c r="AI11" s="7">
        <f>IF(AI3=ConstructionPeriods+OperationsPeriods,1,0)</f>
        <v/>
      </c>
      <c r="AJ11" s="7">
        <f>IF(AJ3=ConstructionPeriods+OperationsPeriods,1,0)</f>
        <v/>
      </c>
      <c r="AK11" s="7">
        <f>IF(AK3=ConstructionPeriods+OperationsPeriods,1,0)</f>
        <v/>
      </c>
      <c r="AL11" s="7">
        <f>IF(AL3=ConstructionPeriods+OperationsPeriods,1,0)</f>
        <v/>
      </c>
      <c r="AM11" s="7">
        <f>IF(AM3=ConstructionPeriods+OperationsPeriods,1,0)</f>
        <v/>
      </c>
      <c r="AN11" s="7">
        <f>IF(AN3=ConstructionPeriods+OperationsPeriods,1,0)</f>
        <v/>
      </c>
      <c r="AO11" s="7">
        <f>IF(AO3=ConstructionPeriods+OperationsPeriods,1,0)</f>
        <v/>
      </c>
      <c r="AP11" s="7">
        <f>IF(AP3=ConstructionPeriods+OperationsPeriods,1,0)</f>
        <v/>
      </c>
      <c r="AQ11" s="7">
        <f>IF(AQ3=ConstructionPeriods+OperationsPeriods,1,0)</f>
        <v/>
      </c>
      <c r="AR11" s="7">
        <f>IF(AR3=ConstructionPeriods+OperationsPeriods,1,0)</f>
        <v/>
      </c>
      <c r="AS11" s="7">
        <f>IF(AS3=ConstructionPeriods+OperationsPeriods,1,0)</f>
        <v/>
      </c>
      <c r="AT11" s="7">
        <f>IF(AT3=ConstructionPeriods+OperationsPeriods,1,0)</f>
        <v/>
      </c>
      <c r="AU11" s="7">
        <f>IF(AU3=ConstructionPeriods+OperationsPeriods,1,0)</f>
        <v/>
      </c>
      <c r="AV11" s="7">
        <f>IF(AV3=ConstructionPeriods+OperationsPeriods,1,0)</f>
        <v/>
      </c>
      <c r="AW11" s="7">
        <f>IF(AW3=ConstructionPeriods+OperationsPeriods,1,0)</f>
        <v/>
      </c>
      <c r="AX11" s="7">
        <f>IF(AX3=ConstructionPeriods+OperationsPeriods,1,0)</f>
        <v/>
      </c>
      <c r="AY11" s="7">
        <f>IF(AY3=ConstructionPeriods+OperationsPeriods,1,0)</f>
        <v/>
      </c>
      <c r="AZ11" s="7">
        <f>IF(AZ3=ConstructionPeriods+OperationsPeriods,1,0)</f>
        <v/>
      </c>
      <c r="BA11" s="7">
        <f>IF(BA3=ConstructionPeriods+OperationsPeriods,1,0)</f>
        <v/>
      </c>
      <c r="BB11" s="7">
        <f>IF(BB3=ConstructionPeriods+OperationsPeriods,1,0)</f>
        <v/>
      </c>
      <c r="BC11" s="7">
        <f>IF(BC3=ConstructionPeriods+OperationsPeriods,1,0)</f>
        <v/>
      </c>
      <c r="BD11" s="7">
        <f>IF(BD3=ConstructionPeriods+OperationsPeriods,1,0)</f>
        <v/>
      </c>
      <c r="BE11" s="7">
        <f>IF(BE3=ConstructionPeriods+OperationsPeriods,1,0)</f>
        <v/>
      </c>
      <c r="BF11" s="7">
        <f>IF(BF3=ConstructionPeriods+OperationsPeriods,1,0)</f>
        <v/>
      </c>
      <c r="BG11" s="7">
        <f>IF(BG3=ConstructionPeriods+OperationsPeriods,1,0)</f>
        <v/>
      </c>
    </row>
    <row r="12">
      <c r="A12" t="inlineStr">
        <is>
          <t>Operating years elapsed (bop)</t>
        </is>
      </c>
      <c r="C12" s="10" t="inlineStr">
        <is>
          <t>yrs</t>
        </is>
      </c>
      <c r="E12" s="21" t="n">
        <v>0</v>
      </c>
      <c r="F12" s="21">
        <f>MAX(0,(F3-ConstructionPeriods-1))*PeriodYears</f>
        <v/>
      </c>
      <c r="G12" s="21">
        <f>MAX(0,(G3-ConstructionPeriods-1))*PeriodYears</f>
        <v/>
      </c>
      <c r="H12" s="21">
        <f>MAX(0,(H3-ConstructionPeriods-1))*PeriodYears</f>
        <v/>
      </c>
      <c r="I12" s="21">
        <f>MAX(0,(I3-ConstructionPeriods-1))*PeriodYears</f>
        <v/>
      </c>
      <c r="J12" s="21">
        <f>MAX(0,(J3-ConstructionPeriods-1))*PeriodYears</f>
        <v/>
      </c>
      <c r="K12" s="21">
        <f>MAX(0,(K3-ConstructionPeriods-1))*PeriodYears</f>
        <v/>
      </c>
      <c r="L12" s="21">
        <f>MAX(0,(L3-ConstructionPeriods-1))*PeriodYears</f>
        <v/>
      </c>
      <c r="M12" s="21">
        <f>MAX(0,(M3-ConstructionPeriods-1))*PeriodYears</f>
        <v/>
      </c>
      <c r="N12" s="21">
        <f>MAX(0,(N3-ConstructionPeriods-1))*PeriodYears</f>
        <v/>
      </c>
      <c r="O12" s="21">
        <f>MAX(0,(O3-ConstructionPeriods-1))*PeriodYears</f>
        <v/>
      </c>
      <c r="P12" s="21">
        <f>MAX(0,(P3-ConstructionPeriods-1))*PeriodYears</f>
        <v/>
      </c>
      <c r="Q12" s="21">
        <f>MAX(0,(Q3-ConstructionPeriods-1))*PeriodYears</f>
        <v/>
      </c>
      <c r="R12" s="21">
        <f>MAX(0,(R3-ConstructionPeriods-1))*PeriodYears</f>
        <v/>
      </c>
      <c r="S12" s="21">
        <f>MAX(0,(S3-ConstructionPeriods-1))*PeriodYears</f>
        <v/>
      </c>
      <c r="T12" s="21">
        <f>MAX(0,(T3-ConstructionPeriods-1))*PeriodYears</f>
        <v/>
      </c>
      <c r="U12" s="21">
        <f>MAX(0,(U3-ConstructionPeriods-1))*PeriodYears</f>
        <v/>
      </c>
      <c r="V12" s="21">
        <f>MAX(0,(V3-ConstructionPeriods-1))*PeriodYears</f>
        <v/>
      </c>
      <c r="W12" s="21">
        <f>MAX(0,(W3-ConstructionPeriods-1))*PeriodYears</f>
        <v/>
      </c>
      <c r="X12" s="21">
        <f>MAX(0,(X3-ConstructionPeriods-1))*PeriodYears</f>
        <v/>
      </c>
      <c r="Y12" s="21">
        <f>MAX(0,(Y3-ConstructionPeriods-1))*PeriodYears</f>
        <v/>
      </c>
      <c r="Z12" s="21">
        <f>MAX(0,(Z3-ConstructionPeriods-1))*PeriodYears</f>
        <v/>
      </c>
      <c r="AA12" s="21">
        <f>MAX(0,(AA3-ConstructionPeriods-1))*PeriodYears</f>
        <v/>
      </c>
      <c r="AB12" s="21">
        <f>MAX(0,(AB3-ConstructionPeriods-1))*PeriodYears</f>
        <v/>
      </c>
      <c r="AC12" s="21">
        <f>MAX(0,(AC3-ConstructionPeriods-1))*PeriodYears</f>
        <v/>
      </c>
      <c r="AD12" s="21">
        <f>MAX(0,(AD3-ConstructionPeriods-1))*PeriodYears</f>
        <v/>
      </c>
      <c r="AE12" s="21">
        <f>MAX(0,(AE3-ConstructionPeriods-1))*PeriodYears</f>
        <v/>
      </c>
      <c r="AF12" s="21">
        <f>MAX(0,(AF3-ConstructionPeriods-1))*PeriodYears</f>
        <v/>
      </c>
      <c r="AG12" s="21">
        <f>MAX(0,(AG3-ConstructionPeriods-1))*PeriodYears</f>
        <v/>
      </c>
      <c r="AH12" s="21">
        <f>MAX(0,(AH3-ConstructionPeriods-1))*PeriodYears</f>
        <v/>
      </c>
      <c r="AI12" s="21">
        <f>MAX(0,(AI3-ConstructionPeriods-1))*PeriodYears</f>
        <v/>
      </c>
      <c r="AJ12" s="21">
        <f>MAX(0,(AJ3-ConstructionPeriods-1))*PeriodYears</f>
        <v/>
      </c>
      <c r="AK12" s="21">
        <f>MAX(0,(AK3-ConstructionPeriods-1))*PeriodYears</f>
        <v/>
      </c>
      <c r="AL12" s="21">
        <f>MAX(0,(AL3-ConstructionPeriods-1))*PeriodYears</f>
        <v/>
      </c>
      <c r="AM12" s="21">
        <f>MAX(0,(AM3-ConstructionPeriods-1))*PeriodYears</f>
        <v/>
      </c>
      <c r="AN12" s="21">
        <f>MAX(0,(AN3-ConstructionPeriods-1))*PeriodYears</f>
        <v/>
      </c>
      <c r="AO12" s="21">
        <f>MAX(0,(AO3-ConstructionPeriods-1))*PeriodYears</f>
        <v/>
      </c>
      <c r="AP12" s="21">
        <f>MAX(0,(AP3-ConstructionPeriods-1))*PeriodYears</f>
        <v/>
      </c>
      <c r="AQ12" s="21">
        <f>MAX(0,(AQ3-ConstructionPeriods-1))*PeriodYears</f>
        <v/>
      </c>
      <c r="AR12" s="21">
        <f>MAX(0,(AR3-ConstructionPeriods-1))*PeriodYears</f>
        <v/>
      </c>
      <c r="AS12" s="21">
        <f>MAX(0,(AS3-ConstructionPeriods-1))*PeriodYears</f>
        <v/>
      </c>
      <c r="AT12" s="21">
        <f>MAX(0,(AT3-ConstructionPeriods-1))*PeriodYears</f>
        <v/>
      </c>
      <c r="AU12" s="21">
        <f>MAX(0,(AU3-ConstructionPeriods-1))*PeriodYears</f>
        <v/>
      </c>
      <c r="AV12" s="21">
        <f>MAX(0,(AV3-ConstructionPeriods-1))*PeriodYears</f>
        <v/>
      </c>
      <c r="AW12" s="21">
        <f>MAX(0,(AW3-ConstructionPeriods-1))*PeriodYears</f>
        <v/>
      </c>
      <c r="AX12" s="21">
        <f>MAX(0,(AX3-ConstructionPeriods-1))*PeriodYears</f>
        <v/>
      </c>
      <c r="AY12" s="21">
        <f>MAX(0,(AY3-ConstructionPeriods-1))*PeriodYears</f>
        <v/>
      </c>
      <c r="AZ12" s="21">
        <f>MAX(0,(AZ3-ConstructionPeriods-1))*PeriodYears</f>
        <v/>
      </c>
      <c r="BA12" s="21">
        <f>MAX(0,(BA3-ConstructionPeriods-1))*PeriodYears</f>
        <v/>
      </c>
      <c r="BB12" s="21">
        <f>MAX(0,(BB3-ConstructionPeriods-1))*PeriodYears</f>
        <v/>
      </c>
      <c r="BC12" s="21">
        <f>MAX(0,(BC3-ConstructionPeriods-1))*PeriodYears</f>
        <v/>
      </c>
      <c r="BD12" s="21">
        <f>MAX(0,(BD3-ConstructionPeriods-1))*PeriodYears</f>
        <v/>
      </c>
      <c r="BE12" s="21">
        <f>MAX(0,(BE3-ConstructionPeriods-1))*PeriodYears</f>
        <v/>
      </c>
      <c r="BF12" s="21">
        <f>MAX(0,(BF3-ConstructionPeriods-1))*PeriodYears</f>
        <v/>
      </c>
      <c r="BG12" s="21">
        <f>MAX(0,(BG3-ConstructionPeriods-1))*PeriodYears</f>
        <v/>
      </c>
    </row>
    <row r="13">
      <c r="A13" t="inlineStr">
        <is>
          <t>Inflation / opex index</t>
        </is>
      </c>
      <c r="C13" s="10" t="inlineStr">
        <is>
          <t>idx</t>
        </is>
      </c>
      <c r="E13" s="22" t="n">
        <v>1</v>
      </c>
      <c r="F13" s="22">
        <f>E13*(1+OpexEscalation)^F6</f>
        <v/>
      </c>
      <c r="G13" s="22">
        <f>F13*(1+OpexEscalation)^G6</f>
        <v/>
      </c>
      <c r="H13" s="22">
        <f>G13*(1+OpexEscalation)^H6</f>
        <v/>
      </c>
      <c r="I13" s="22">
        <f>H13*(1+OpexEscalation)^I6</f>
        <v/>
      </c>
      <c r="J13" s="22">
        <f>I13*(1+OpexEscalation)^J6</f>
        <v/>
      </c>
      <c r="K13" s="22">
        <f>J13*(1+OpexEscalation)^K6</f>
        <v/>
      </c>
      <c r="L13" s="22">
        <f>K13*(1+OpexEscalation)^L6</f>
        <v/>
      </c>
      <c r="M13" s="22">
        <f>L13*(1+OpexEscalation)^M6</f>
        <v/>
      </c>
      <c r="N13" s="22">
        <f>M13*(1+OpexEscalation)^N6</f>
        <v/>
      </c>
      <c r="O13" s="22">
        <f>N13*(1+OpexEscalation)^O6</f>
        <v/>
      </c>
      <c r="P13" s="22">
        <f>O13*(1+OpexEscalation)^P6</f>
        <v/>
      </c>
      <c r="Q13" s="22">
        <f>P13*(1+OpexEscalation)^Q6</f>
        <v/>
      </c>
      <c r="R13" s="22">
        <f>Q13*(1+OpexEscalation)^R6</f>
        <v/>
      </c>
      <c r="S13" s="22">
        <f>R13*(1+OpexEscalation)^S6</f>
        <v/>
      </c>
      <c r="T13" s="22">
        <f>S13*(1+OpexEscalation)^T6</f>
        <v/>
      </c>
      <c r="U13" s="22">
        <f>T13*(1+OpexEscalation)^U6</f>
        <v/>
      </c>
      <c r="V13" s="22">
        <f>U13*(1+OpexEscalation)^V6</f>
        <v/>
      </c>
      <c r="W13" s="22">
        <f>V13*(1+OpexEscalation)^W6</f>
        <v/>
      </c>
      <c r="X13" s="22">
        <f>W13*(1+OpexEscalation)^X6</f>
        <v/>
      </c>
      <c r="Y13" s="22">
        <f>X13*(1+OpexEscalation)^Y6</f>
        <v/>
      </c>
      <c r="Z13" s="22">
        <f>Y13*(1+OpexEscalation)^Z6</f>
        <v/>
      </c>
      <c r="AA13" s="22">
        <f>Z13*(1+OpexEscalation)^AA6</f>
        <v/>
      </c>
      <c r="AB13" s="22">
        <f>AA13*(1+OpexEscalation)^AB6</f>
        <v/>
      </c>
      <c r="AC13" s="22">
        <f>AB13*(1+OpexEscalation)^AC6</f>
        <v/>
      </c>
      <c r="AD13" s="22">
        <f>AC13*(1+OpexEscalation)^AD6</f>
        <v/>
      </c>
      <c r="AE13" s="22">
        <f>AD13*(1+OpexEscalation)^AE6</f>
        <v/>
      </c>
      <c r="AF13" s="22">
        <f>AE13*(1+OpexEscalation)^AF6</f>
        <v/>
      </c>
      <c r="AG13" s="22">
        <f>AF13*(1+OpexEscalation)^AG6</f>
        <v/>
      </c>
      <c r="AH13" s="22">
        <f>AG13*(1+OpexEscalation)^AH6</f>
        <v/>
      </c>
      <c r="AI13" s="22">
        <f>AH13*(1+OpexEscalation)^AI6</f>
        <v/>
      </c>
      <c r="AJ13" s="22">
        <f>AI13*(1+OpexEscalation)^AJ6</f>
        <v/>
      </c>
      <c r="AK13" s="22">
        <f>AJ13*(1+OpexEscalation)^AK6</f>
        <v/>
      </c>
      <c r="AL13" s="22">
        <f>AK13*(1+OpexEscalation)^AL6</f>
        <v/>
      </c>
      <c r="AM13" s="22">
        <f>AL13*(1+OpexEscalation)^AM6</f>
        <v/>
      </c>
      <c r="AN13" s="22">
        <f>AM13*(1+OpexEscalation)^AN6</f>
        <v/>
      </c>
      <c r="AO13" s="22">
        <f>AN13*(1+OpexEscalation)^AO6</f>
        <v/>
      </c>
      <c r="AP13" s="22">
        <f>AO13*(1+OpexEscalation)^AP6</f>
        <v/>
      </c>
      <c r="AQ13" s="22">
        <f>AP13*(1+OpexEscalation)^AQ6</f>
        <v/>
      </c>
      <c r="AR13" s="22">
        <f>AQ13*(1+OpexEscalation)^AR6</f>
        <v/>
      </c>
      <c r="AS13" s="22">
        <f>AR13*(1+OpexEscalation)^AS6</f>
        <v/>
      </c>
      <c r="AT13" s="22">
        <f>AS13*(1+OpexEscalation)^AT6</f>
        <v/>
      </c>
      <c r="AU13" s="22">
        <f>AT13*(1+OpexEscalation)^AU6</f>
        <v/>
      </c>
      <c r="AV13" s="22">
        <f>AU13*(1+OpexEscalation)^AV6</f>
        <v/>
      </c>
      <c r="AW13" s="22">
        <f>AV13*(1+OpexEscalation)^AW6</f>
        <v/>
      </c>
      <c r="AX13" s="22">
        <f>AW13*(1+OpexEscalation)^AX6</f>
        <v/>
      </c>
      <c r="AY13" s="22">
        <f>AX13*(1+OpexEscalation)^AY6</f>
        <v/>
      </c>
      <c r="AZ13" s="22">
        <f>AY13*(1+OpexEscalation)^AZ6</f>
        <v/>
      </c>
      <c r="BA13" s="22">
        <f>AZ13*(1+OpexEscalation)^BA6</f>
        <v/>
      </c>
      <c r="BB13" s="22">
        <f>BA13*(1+OpexEscalation)^BB6</f>
        <v/>
      </c>
      <c r="BC13" s="22">
        <f>BB13*(1+OpexEscalation)^BC6</f>
        <v/>
      </c>
      <c r="BD13" s="22">
        <f>BC13*(1+OpexEscalation)^BD6</f>
        <v/>
      </c>
      <c r="BE13" s="22">
        <f>BD13*(1+OpexEscalation)^BE6</f>
        <v/>
      </c>
      <c r="BF13" s="22">
        <f>BE13*(1+OpexEscalation)^BF6</f>
        <v/>
      </c>
      <c r="BG13" s="22">
        <f>BF13*(1+OpexEscalation)^BG6</f>
        <v/>
      </c>
    </row>
    <row r="14">
      <c r="A14" t="inlineStr">
        <is>
          <t>Offtake price index</t>
        </is>
      </c>
      <c r="C14" s="10" t="inlineStr">
        <is>
          <t>idx</t>
        </is>
      </c>
      <c r="E14" s="22" t="n">
        <v>1</v>
      </c>
      <c r="F14" s="22">
        <f>E14*(1+PriceEscalation)^F6</f>
        <v/>
      </c>
      <c r="G14" s="22">
        <f>F14*(1+PriceEscalation)^G6</f>
        <v/>
      </c>
      <c r="H14" s="22">
        <f>G14*(1+PriceEscalation)^H6</f>
        <v/>
      </c>
      <c r="I14" s="22">
        <f>H14*(1+PriceEscalation)^I6</f>
        <v/>
      </c>
      <c r="J14" s="22">
        <f>I14*(1+PriceEscalation)^J6</f>
        <v/>
      </c>
      <c r="K14" s="22">
        <f>J14*(1+PriceEscalation)^K6</f>
        <v/>
      </c>
      <c r="L14" s="22">
        <f>K14*(1+PriceEscalation)^L6</f>
        <v/>
      </c>
      <c r="M14" s="22">
        <f>L14*(1+PriceEscalation)^M6</f>
        <v/>
      </c>
      <c r="N14" s="22">
        <f>M14*(1+PriceEscalation)^N6</f>
        <v/>
      </c>
      <c r="O14" s="22">
        <f>N14*(1+PriceEscalation)^O6</f>
        <v/>
      </c>
      <c r="P14" s="22">
        <f>O14*(1+PriceEscalation)^P6</f>
        <v/>
      </c>
      <c r="Q14" s="22">
        <f>P14*(1+PriceEscalation)^Q6</f>
        <v/>
      </c>
      <c r="R14" s="22">
        <f>Q14*(1+PriceEscalation)^R6</f>
        <v/>
      </c>
      <c r="S14" s="22">
        <f>R14*(1+PriceEscalation)^S6</f>
        <v/>
      </c>
      <c r="T14" s="22">
        <f>S14*(1+PriceEscalation)^T6</f>
        <v/>
      </c>
      <c r="U14" s="22">
        <f>T14*(1+PriceEscalation)^U6</f>
        <v/>
      </c>
      <c r="V14" s="22">
        <f>U14*(1+PriceEscalation)^V6</f>
        <v/>
      </c>
      <c r="W14" s="22">
        <f>V14*(1+PriceEscalation)^W6</f>
        <v/>
      </c>
      <c r="X14" s="22">
        <f>W14*(1+PriceEscalation)^X6</f>
        <v/>
      </c>
      <c r="Y14" s="22">
        <f>X14*(1+PriceEscalation)^Y6</f>
        <v/>
      </c>
      <c r="Z14" s="22">
        <f>Y14*(1+PriceEscalation)^Z6</f>
        <v/>
      </c>
      <c r="AA14" s="22">
        <f>Z14*(1+PriceEscalation)^AA6</f>
        <v/>
      </c>
      <c r="AB14" s="22">
        <f>AA14*(1+PriceEscalation)^AB6</f>
        <v/>
      </c>
      <c r="AC14" s="22">
        <f>AB14*(1+PriceEscalation)^AC6</f>
        <v/>
      </c>
      <c r="AD14" s="22">
        <f>AC14*(1+PriceEscalation)^AD6</f>
        <v/>
      </c>
      <c r="AE14" s="22">
        <f>AD14*(1+PriceEscalation)^AE6</f>
        <v/>
      </c>
      <c r="AF14" s="22">
        <f>AE14*(1+PriceEscalation)^AF6</f>
        <v/>
      </c>
      <c r="AG14" s="22">
        <f>AF14*(1+PriceEscalation)^AG6</f>
        <v/>
      </c>
      <c r="AH14" s="22">
        <f>AG14*(1+PriceEscalation)^AH6</f>
        <v/>
      </c>
      <c r="AI14" s="22">
        <f>AH14*(1+PriceEscalation)^AI6</f>
        <v/>
      </c>
      <c r="AJ14" s="22">
        <f>AI14*(1+PriceEscalation)^AJ6</f>
        <v/>
      </c>
      <c r="AK14" s="22">
        <f>AJ14*(1+PriceEscalation)^AK6</f>
        <v/>
      </c>
      <c r="AL14" s="22">
        <f>AK14*(1+PriceEscalation)^AL6</f>
        <v/>
      </c>
      <c r="AM14" s="22">
        <f>AL14*(1+PriceEscalation)^AM6</f>
        <v/>
      </c>
      <c r="AN14" s="22">
        <f>AM14*(1+PriceEscalation)^AN6</f>
        <v/>
      </c>
      <c r="AO14" s="22">
        <f>AN14*(1+PriceEscalation)^AO6</f>
        <v/>
      </c>
      <c r="AP14" s="22">
        <f>AO14*(1+PriceEscalation)^AP6</f>
        <v/>
      </c>
      <c r="AQ14" s="22">
        <f>AP14*(1+PriceEscalation)^AQ6</f>
        <v/>
      </c>
      <c r="AR14" s="22">
        <f>AQ14*(1+PriceEscalation)^AR6</f>
        <v/>
      </c>
      <c r="AS14" s="22">
        <f>AR14*(1+PriceEscalation)^AS6</f>
        <v/>
      </c>
      <c r="AT14" s="22">
        <f>AS14*(1+PriceEscalation)^AT6</f>
        <v/>
      </c>
      <c r="AU14" s="22">
        <f>AT14*(1+PriceEscalation)^AU6</f>
        <v/>
      </c>
      <c r="AV14" s="22">
        <f>AU14*(1+PriceEscalation)^AV6</f>
        <v/>
      </c>
      <c r="AW14" s="22">
        <f>AV14*(1+PriceEscalation)^AW6</f>
        <v/>
      </c>
      <c r="AX14" s="22">
        <f>AW14*(1+PriceEscalation)^AX6</f>
        <v/>
      </c>
      <c r="AY14" s="22">
        <f>AX14*(1+PriceEscalation)^AY6</f>
        <v/>
      </c>
      <c r="AZ14" s="22">
        <f>AY14*(1+PriceEscalation)^AZ6</f>
        <v/>
      </c>
      <c r="BA14" s="22">
        <f>AZ14*(1+PriceEscalation)^BA6</f>
        <v/>
      </c>
      <c r="BB14" s="22">
        <f>BA14*(1+PriceEscalation)^BB6</f>
        <v/>
      </c>
      <c r="BC14" s="22">
        <f>BB14*(1+PriceEscalation)^BC6</f>
        <v/>
      </c>
      <c r="BD14" s="22">
        <f>BC14*(1+PriceEscalation)^BD6</f>
        <v/>
      </c>
      <c r="BE14" s="22">
        <f>BD14*(1+PriceEscalation)^BE6</f>
        <v/>
      </c>
      <c r="BF14" s="22">
        <f>BE14*(1+PriceEscalation)^BF6</f>
        <v/>
      </c>
      <c r="BG14" s="22">
        <f>BF14*(1+PriceEscalation)^BG6</f>
        <v/>
      </c>
    </row>
    <row r="15">
      <c r="A15" t="inlineStr">
        <is>
          <t>Periodic debt rate</t>
        </is>
      </c>
      <c r="C15" s="10" t="inlineStr">
        <is>
          <t>%</t>
        </is>
      </c>
      <c r="E15" s="23" t="n">
        <v>0</v>
      </c>
      <c r="F15" s="23">
        <f>(1+CostOfDebt)^(1/PeriodsPerYear)-1</f>
        <v/>
      </c>
      <c r="G15" s="23">
        <f>(1+CostOfDebt)^(1/PeriodsPerYear)-1</f>
        <v/>
      </c>
      <c r="H15" s="23">
        <f>(1+CostOfDebt)^(1/PeriodsPerYear)-1</f>
        <v/>
      </c>
      <c r="I15" s="23">
        <f>(1+CostOfDebt)^(1/PeriodsPerYear)-1</f>
        <v/>
      </c>
      <c r="J15" s="23">
        <f>(1+CostOfDebt)^(1/PeriodsPerYear)-1</f>
        <v/>
      </c>
      <c r="K15" s="23">
        <f>(1+CostOfDebt)^(1/PeriodsPerYear)-1</f>
        <v/>
      </c>
      <c r="L15" s="23">
        <f>(1+CostOfDebt)^(1/PeriodsPerYear)-1</f>
        <v/>
      </c>
      <c r="M15" s="23">
        <f>(1+CostOfDebt)^(1/PeriodsPerYear)-1</f>
        <v/>
      </c>
      <c r="N15" s="23">
        <f>(1+CostOfDebt)^(1/PeriodsPerYear)-1</f>
        <v/>
      </c>
      <c r="O15" s="23">
        <f>(1+CostOfDebt)^(1/PeriodsPerYear)-1</f>
        <v/>
      </c>
      <c r="P15" s="23">
        <f>(1+CostOfDebt)^(1/PeriodsPerYear)-1</f>
        <v/>
      </c>
      <c r="Q15" s="23">
        <f>(1+CostOfDebt)^(1/PeriodsPerYear)-1</f>
        <v/>
      </c>
      <c r="R15" s="23">
        <f>(1+CostOfDebt)^(1/PeriodsPerYear)-1</f>
        <v/>
      </c>
      <c r="S15" s="23">
        <f>(1+CostOfDebt)^(1/PeriodsPerYear)-1</f>
        <v/>
      </c>
      <c r="T15" s="23">
        <f>(1+CostOfDebt)^(1/PeriodsPerYear)-1</f>
        <v/>
      </c>
      <c r="U15" s="23">
        <f>(1+CostOfDebt)^(1/PeriodsPerYear)-1</f>
        <v/>
      </c>
      <c r="V15" s="23">
        <f>(1+CostOfDebt)^(1/PeriodsPerYear)-1</f>
        <v/>
      </c>
      <c r="W15" s="23">
        <f>(1+CostOfDebt)^(1/PeriodsPerYear)-1</f>
        <v/>
      </c>
      <c r="X15" s="23">
        <f>(1+CostOfDebt)^(1/PeriodsPerYear)-1</f>
        <v/>
      </c>
      <c r="Y15" s="23">
        <f>(1+CostOfDebt)^(1/PeriodsPerYear)-1</f>
        <v/>
      </c>
      <c r="Z15" s="23">
        <f>(1+CostOfDebt)^(1/PeriodsPerYear)-1</f>
        <v/>
      </c>
      <c r="AA15" s="23">
        <f>(1+CostOfDebt)^(1/PeriodsPerYear)-1</f>
        <v/>
      </c>
      <c r="AB15" s="23">
        <f>(1+CostOfDebt)^(1/PeriodsPerYear)-1</f>
        <v/>
      </c>
      <c r="AC15" s="23">
        <f>(1+CostOfDebt)^(1/PeriodsPerYear)-1</f>
        <v/>
      </c>
      <c r="AD15" s="23">
        <f>(1+CostOfDebt)^(1/PeriodsPerYear)-1</f>
        <v/>
      </c>
      <c r="AE15" s="23">
        <f>(1+CostOfDebt)^(1/PeriodsPerYear)-1</f>
        <v/>
      </c>
      <c r="AF15" s="23">
        <f>(1+CostOfDebt)^(1/PeriodsPerYear)-1</f>
        <v/>
      </c>
      <c r="AG15" s="23">
        <f>(1+CostOfDebt)^(1/PeriodsPerYear)-1</f>
        <v/>
      </c>
      <c r="AH15" s="23">
        <f>(1+CostOfDebt)^(1/PeriodsPerYear)-1</f>
        <v/>
      </c>
      <c r="AI15" s="23">
        <f>(1+CostOfDebt)^(1/PeriodsPerYear)-1</f>
        <v/>
      </c>
      <c r="AJ15" s="23">
        <f>(1+CostOfDebt)^(1/PeriodsPerYear)-1</f>
        <v/>
      </c>
      <c r="AK15" s="23">
        <f>(1+CostOfDebt)^(1/PeriodsPerYear)-1</f>
        <v/>
      </c>
      <c r="AL15" s="23">
        <f>(1+CostOfDebt)^(1/PeriodsPerYear)-1</f>
        <v/>
      </c>
      <c r="AM15" s="23">
        <f>(1+CostOfDebt)^(1/PeriodsPerYear)-1</f>
        <v/>
      </c>
      <c r="AN15" s="23">
        <f>(1+CostOfDebt)^(1/PeriodsPerYear)-1</f>
        <v/>
      </c>
      <c r="AO15" s="23">
        <f>(1+CostOfDebt)^(1/PeriodsPerYear)-1</f>
        <v/>
      </c>
      <c r="AP15" s="23">
        <f>(1+CostOfDebt)^(1/PeriodsPerYear)-1</f>
        <v/>
      </c>
      <c r="AQ15" s="23">
        <f>(1+CostOfDebt)^(1/PeriodsPerYear)-1</f>
        <v/>
      </c>
      <c r="AR15" s="23">
        <f>(1+CostOfDebt)^(1/PeriodsPerYear)-1</f>
        <v/>
      </c>
      <c r="AS15" s="23">
        <f>(1+CostOfDebt)^(1/PeriodsPerYear)-1</f>
        <v/>
      </c>
      <c r="AT15" s="23">
        <f>(1+CostOfDebt)^(1/PeriodsPerYear)-1</f>
        <v/>
      </c>
      <c r="AU15" s="23">
        <f>(1+CostOfDebt)^(1/PeriodsPerYear)-1</f>
        <v/>
      </c>
      <c r="AV15" s="23">
        <f>(1+CostOfDebt)^(1/PeriodsPerYear)-1</f>
        <v/>
      </c>
      <c r="AW15" s="23">
        <f>(1+CostOfDebt)^(1/PeriodsPerYear)-1</f>
        <v/>
      </c>
      <c r="AX15" s="23">
        <f>(1+CostOfDebt)^(1/PeriodsPerYear)-1</f>
        <v/>
      </c>
      <c r="AY15" s="23">
        <f>(1+CostOfDebt)^(1/PeriodsPerYear)-1</f>
        <v/>
      </c>
      <c r="AZ15" s="23">
        <f>(1+CostOfDebt)^(1/PeriodsPerYear)-1</f>
        <v/>
      </c>
      <c r="BA15" s="23">
        <f>(1+CostOfDebt)^(1/PeriodsPerYear)-1</f>
        <v/>
      </c>
      <c r="BB15" s="23">
        <f>(1+CostOfDebt)^(1/PeriodsPerYear)-1</f>
        <v/>
      </c>
      <c r="BC15" s="23">
        <f>(1+CostOfDebt)^(1/PeriodsPerYear)-1</f>
        <v/>
      </c>
      <c r="BD15" s="23">
        <f>(1+CostOfDebt)^(1/PeriodsPerYear)-1</f>
        <v/>
      </c>
      <c r="BE15" s="23">
        <f>(1+CostOfDebt)^(1/PeriodsPerYear)-1</f>
        <v/>
      </c>
      <c r="BF15" s="23">
        <f>(1+CostOfDebt)^(1/PeriodsPerYear)-1</f>
        <v/>
      </c>
      <c r="BG15" s="23">
        <f>(1+CostOfDebt)^(1/PeriodsPerYear)-1</f>
        <v/>
      </c>
    </row>
    <row r="16">
      <c r="A16" t="inlineStr">
        <is>
          <t>Periodic WACC (nominal)</t>
        </is>
      </c>
      <c r="C16" s="10" t="inlineStr">
        <is>
          <t>%</t>
        </is>
      </c>
      <c r="E16" s="23" t="n">
        <v>0</v>
      </c>
      <c r="F16" s="23">
        <f>(1+WACC)^(1/PeriodsPerYear)-1</f>
        <v/>
      </c>
      <c r="G16" s="23">
        <f>(1+WACC)^(1/PeriodsPerYear)-1</f>
        <v/>
      </c>
      <c r="H16" s="23">
        <f>(1+WACC)^(1/PeriodsPerYear)-1</f>
        <v/>
      </c>
      <c r="I16" s="23">
        <f>(1+WACC)^(1/PeriodsPerYear)-1</f>
        <v/>
      </c>
      <c r="J16" s="23">
        <f>(1+WACC)^(1/PeriodsPerYear)-1</f>
        <v/>
      </c>
      <c r="K16" s="23">
        <f>(1+WACC)^(1/PeriodsPerYear)-1</f>
        <v/>
      </c>
      <c r="L16" s="23">
        <f>(1+WACC)^(1/PeriodsPerYear)-1</f>
        <v/>
      </c>
      <c r="M16" s="23">
        <f>(1+WACC)^(1/PeriodsPerYear)-1</f>
        <v/>
      </c>
      <c r="N16" s="23">
        <f>(1+WACC)^(1/PeriodsPerYear)-1</f>
        <v/>
      </c>
      <c r="O16" s="23">
        <f>(1+WACC)^(1/PeriodsPerYear)-1</f>
        <v/>
      </c>
      <c r="P16" s="23">
        <f>(1+WACC)^(1/PeriodsPerYear)-1</f>
        <v/>
      </c>
      <c r="Q16" s="23">
        <f>(1+WACC)^(1/PeriodsPerYear)-1</f>
        <v/>
      </c>
      <c r="R16" s="23">
        <f>(1+WACC)^(1/PeriodsPerYear)-1</f>
        <v/>
      </c>
      <c r="S16" s="23">
        <f>(1+WACC)^(1/PeriodsPerYear)-1</f>
        <v/>
      </c>
      <c r="T16" s="23">
        <f>(1+WACC)^(1/PeriodsPerYear)-1</f>
        <v/>
      </c>
      <c r="U16" s="23">
        <f>(1+WACC)^(1/PeriodsPerYear)-1</f>
        <v/>
      </c>
      <c r="V16" s="23">
        <f>(1+WACC)^(1/PeriodsPerYear)-1</f>
        <v/>
      </c>
      <c r="W16" s="23">
        <f>(1+WACC)^(1/PeriodsPerYear)-1</f>
        <v/>
      </c>
      <c r="X16" s="23">
        <f>(1+WACC)^(1/PeriodsPerYear)-1</f>
        <v/>
      </c>
      <c r="Y16" s="23">
        <f>(1+WACC)^(1/PeriodsPerYear)-1</f>
        <v/>
      </c>
      <c r="Z16" s="23">
        <f>(1+WACC)^(1/PeriodsPerYear)-1</f>
        <v/>
      </c>
      <c r="AA16" s="23">
        <f>(1+WACC)^(1/PeriodsPerYear)-1</f>
        <v/>
      </c>
      <c r="AB16" s="23">
        <f>(1+WACC)^(1/PeriodsPerYear)-1</f>
        <v/>
      </c>
      <c r="AC16" s="23">
        <f>(1+WACC)^(1/PeriodsPerYear)-1</f>
        <v/>
      </c>
      <c r="AD16" s="23">
        <f>(1+WACC)^(1/PeriodsPerYear)-1</f>
        <v/>
      </c>
      <c r="AE16" s="23">
        <f>(1+WACC)^(1/PeriodsPerYear)-1</f>
        <v/>
      </c>
      <c r="AF16" s="23">
        <f>(1+WACC)^(1/PeriodsPerYear)-1</f>
        <v/>
      </c>
      <c r="AG16" s="23">
        <f>(1+WACC)^(1/PeriodsPerYear)-1</f>
        <v/>
      </c>
      <c r="AH16" s="23">
        <f>(1+WACC)^(1/PeriodsPerYear)-1</f>
        <v/>
      </c>
      <c r="AI16" s="23">
        <f>(1+WACC)^(1/PeriodsPerYear)-1</f>
        <v/>
      </c>
      <c r="AJ16" s="23">
        <f>(1+WACC)^(1/PeriodsPerYear)-1</f>
        <v/>
      </c>
      <c r="AK16" s="23">
        <f>(1+WACC)^(1/PeriodsPerYear)-1</f>
        <v/>
      </c>
      <c r="AL16" s="23">
        <f>(1+WACC)^(1/PeriodsPerYear)-1</f>
        <v/>
      </c>
      <c r="AM16" s="23">
        <f>(1+WACC)^(1/PeriodsPerYear)-1</f>
        <v/>
      </c>
      <c r="AN16" s="23">
        <f>(1+WACC)^(1/PeriodsPerYear)-1</f>
        <v/>
      </c>
      <c r="AO16" s="23">
        <f>(1+WACC)^(1/PeriodsPerYear)-1</f>
        <v/>
      </c>
      <c r="AP16" s="23">
        <f>(1+WACC)^(1/PeriodsPerYear)-1</f>
        <v/>
      </c>
      <c r="AQ16" s="23">
        <f>(1+WACC)^(1/PeriodsPerYear)-1</f>
        <v/>
      </c>
      <c r="AR16" s="23">
        <f>(1+WACC)^(1/PeriodsPerYear)-1</f>
        <v/>
      </c>
      <c r="AS16" s="23">
        <f>(1+WACC)^(1/PeriodsPerYear)-1</f>
        <v/>
      </c>
      <c r="AT16" s="23">
        <f>(1+WACC)^(1/PeriodsPerYear)-1</f>
        <v/>
      </c>
      <c r="AU16" s="23">
        <f>(1+WACC)^(1/PeriodsPerYear)-1</f>
        <v/>
      </c>
      <c r="AV16" s="23">
        <f>(1+WACC)^(1/PeriodsPerYear)-1</f>
        <v/>
      </c>
      <c r="AW16" s="23">
        <f>(1+WACC)^(1/PeriodsPerYear)-1</f>
        <v/>
      </c>
      <c r="AX16" s="23">
        <f>(1+WACC)^(1/PeriodsPerYear)-1</f>
        <v/>
      </c>
      <c r="AY16" s="23">
        <f>(1+WACC)^(1/PeriodsPerYear)-1</f>
        <v/>
      </c>
      <c r="AZ16" s="23">
        <f>(1+WACC)^(1/PeriodsPerYear)-1</f>
        <v/>
      </c>
      <c r="BA16" s="23">
        <f>(1+WACC)^(1/PeriodsPerYear)-1</f>
        <v/>
      </c>
      <c r="BB16" s="23">
        <f>(1+WACC)^(1/PeriodsPerYear)-1</f>
        <v/>
      </c>
      <c r="BC16" s="23">
        <f>(1+WACC)^(1/PeriodsPerYear)-1</f>
        <v/>
      </c>
      <c r="BD16" s="23">
        <f>(1+WACC)^(1/PeriodsPerYear)-1</f>
        <v/>
      </c>
      <c r="BE16" s="23">
        <f>(1+WACC)^(1/PeriodsPerYear)-1</f>
        <v/>
      </c>
      <c r="BF16" s="23">
        <f>(1+WACC)^(1/PeriodsPerYear)-1</f>
        <v/>
      </c>
      <c r="BG16" s="23">
        <f>(1+WACC)^(1/PeriodsPerYear)-1</f>
        <v/>
      </c>
    </row>
    <row r="17">
      <c r="A17" t="inlineStr">
        <is>
          <t>Discount factor (nominal WACC)</t>
        </is>
      </c>
      <c r="C17" s="10" t="inlineStr">
        <is>
          <t>x</t>
        </is>
      </c>
      <c r="E17" s="24" t="n">
        <v>1</v>
      </c>
      <c r="F17" s="24">
        <f>E17/(1+F16)</f>
        <v/>
      </c>
      <c r="G17" s="24">
        <f>F17/(1+G16)</f>
        <v/>
      </c>
      <c r="H17" s="24">
        <f>G17/(1+H16)</f>
        <v/>
      </c>
      <c r="I17" s="24">
        <f>H17/(1+I16)</f>
        <v/>
      </c>
      <c r="J17" s="24">
        <f>I17/(1+J16)</f>
        <v/>
      </c>
      <c r="K17" s="24">
        <f>J17/(1+K16)</f>
        <v/>
      </c>
      <c r="L17" s="24">
        <f>K17/(1+L16)</f>
        <v/>
      </c>
      <c r="M17" s="24">
        <f>L17/(1+M16)</f>
        <v/>
      </c>
      <c r="N17" s="24">
        <f>M17/(1+N16)</f>
        <v/>
      </c>
      <c r="O17" s="24">
        <f>N17/(1+O16)</f>
        <v/>
      </c>
      <c r="P17" s="24">
        <f>O17/(1+P16)</f>
        <v/>
      </c>
      <c r="Q17" s="24">
        <f>P17/(1+Q16)</f>
        <v/>
      </c>
      <c r="R17" s="24">
        <f>Q17/(1+R16)</f>
        <v/>
      </c>
      <c r="S17" s="24">
        <f>R17/(1+S16)</f>
        <v/>
      </c>
      <c r="T17" s="24">
        <f>S17/(1+T16)</f>
        <v/>
      </c>
      <c r="U17" s="24">
        <f>T17/(1+U16)</f>
        <v/>
      </c>
      <c r="V17" s="24">
        <f>U17/(1+V16)</f>
        <v/>
      </c>
      <c r="W17" s="24">
        <f>V17/(1+W16)</f>
        <v/>
      </c>
      <c r="X17" s="24">
        <f>W17/(1+X16)</f>
        <v/>
      </c>
      <c r="Y17" s="24">
        <f>X17/(1+Y16)</f>
        <v/>
      </c>
      <c r="Z17" s="24">
        <f>Y17/(1+Z16)</f>
        <v/>
      </c>
      <c r="AA17" s="24">
        <f>Z17/(1+AA16)</f>
        <v/>
      </c>
      <c r="AB17" s="24">
        <f>AA17/(1+AB16)</f>
        <v/>
      </c>
      <c r="AC17" s="24">
        <f>AB17/(1+AC16)</f>
        <v/>
      </c>
      <c r="AD17" s="24">
        <f>AC17/(1+AD16)</f>
        <v/>
      </c>
      <c r="AE17" s="24">
        <f>AD17/(1+AE16)</f>
        <v/>
      </c>
      <c r="AF17" s="24">
        <f>AE17/(1+AF16)</f>
        <v/>
      </c>
      <c r="AG17" s="24">
        <f>AF17/(1+AG16)</f>
        <v/>
      </c>
      <c r="AH17" s="24">
        <f>AG17/(1+AH16)</f>
        <v/>
      </c>
      <c r="AI17" s="24">
        <f>AH17/(1+AI16)</f>
        <v/>
      </c>
      <c r="AJ17" s="24">
        <f>AI17/(1+AJ16)</f>
        <v/>
      </c>
      <c r="AK17" s="24">
        <f>AJ17/(1+AK16)</f>
        <v/>
      </c>
      <c r="AL17" s="24">
        <f>AK17/(1+AL16)</f>
        <v/>
      </c>
      <c r="AM17" s="24">
        <f>AL17/(1+AM16)</f>
        <v/>
      </c>
      <c r="AN17" s="24">
        <f>AM17/(1+AN16)</f>
        <v/>
      </c>
      <c r="AO17" s="24">
        <f>AN17/(1+AO16)</f>
        <v/>
      </c>
      <c r="AP17" s="24">
        <f>AO17/(1+AP16)</f>
        <v/>
      </c>
      <c r="AQ17" s="24">
        <f>AP17/(1+AQ16)</f>
        <v/>
      </c>
      <c r="AR17" s="24">
        <f>AQ17/(1+AR16)</f>
        <v/>
      </c>
      <c r="AS17" s="24">
        <f>AR17/(1+AS16)</f>
        <v/>
      </c>
      <c r="AT17" s="24">
        <f>AS17/(1+AT16)</f>
        <v/>
      </c>
      <c r="AU17" s="24">
        <f>AT17/(1+AU16)</f>
        <v/>
      </c>
      <c r="AV17" s="24">
        <f>AU17/(1+AV16)</f>
        <v/>
      </c>
      <c r="AW17" s="24">
        <f>AV17/(1+AW16)</f>
        <v/>
      </c>
      <c r="AX17" s="24">
        <f>AW17/(1+AX16)</f>
        <v/>
      </c>
      <c r="AY17" s="24">
        <f>AX17/(1+AY16)</f>
        <v/>
      </c>
      <c r="AZ17" s="24">
        <f>AY17/(1+AZ16)</f>
        <v/>
      </c>
      <c r="BA17" s="24">
        <f>AZ17/(1+BA16)</f>
        <v/>
      </c>
      <c r="BB17" s="24">
        <f>BA17/(1+BB16)</f>
        <v/>
      </c>
      <c r="BC17" s="24">
        <f>BB17/(1+BC16)</f>
        <v/>
      </c>
      <c r="BD17" s="24">
        <f>BC17/(1+BD16)</f>
        <v/>
      </c>
      <c r="BE17" s="24">
        <f>BD17/(1+BE16)</f>
        <v/>
      </c>
      <c r="BF17" s="24">
        <f>BE17/(1+BF16)</f>
        <v/>
      </c>
      <c r="BG17" s="24">
        <f>BF17/(1+BG16)</f>
        <v/>
      </c>
    </row>
    <row r="18">
      <c r="A18" t="inlineStr">
        <is>
          <t>Discount factor (real WACC)</t>
        </is>
      </c>
      <c r="C18" s="10" t="inlineStr">
        <is>
          <t>x</t>
        </is>
      </c>
      <c r="E18" s="24" t="n">
        <v>1</v>
      </c>
      <c r="F18" s="24">
        <f>E18/(1+((1+WACC)/(1+Inflation))^(1/PeriodsPerYear)-1)</f>
        <v/>
      </c>
      <c r="G18" s="24">
        <f>F18/(1+((1+WACC)/(1+Inflation))^(1/PeriodsPerYear)-1)</f>
        <v/>
      </c>
      <c r="H18" s="24">
        <f>G18/(1+((1+WACC)/(1+Inflation))^(1/PeriodsPerYear)-1)</f>
        <v/>
      </c>
      <c r="I18" s="24">
        <f>H18/(1+((1+WACC)/(1+Inflation))^(1/PeriodsPerYear)-1)</f>
        <v/>
      </c>
      <c r="J18" s="24">
        <f>I18/(1+((1+WACC)/(1+Inflation))^(1/PeriodsPerYear)-1)</f>
        <v/>
      </c>
      <c r="K18" s="24">
        <f>J18/(1+((1+WACC)/(1+Inflation))^(1/PeriodsPerYear)-1)</f>
        <v/>
      </c>
      <c r="L18" s="24">
        <f>K18/(1+((1+WACC)/(1+Inflation))^(1/PeriodsPerYear)-1)</f>
        <v/>
      </c>
      <c r="M18" s="24">
        <f>L18/(1+((1+WACC)/(1+Inflation))^(1/PeriodsPerYear)-1)</f>
        <v/>
      </c>
      <c r="N18" s="24">
        <f>M18/(1+((1+WACC)/(1+Inflation))^(1/PeriodsPerYear)-1)</f>
        <v/>
      </c>
      <c r="O18" s="24">
        <f>N18/(1+((1+WACC)/(1+Inflation))^(1/PeriodsPerYear)-1)</f>
        <v/>
      </c>
      <c r="P18" s="24">
        <f>O18/(1+((1+WACC)/(1+Inflation))^(1/PeriodsPerYear)-1)</f>
        <v/>
      </c>
      <c r="Q18" s="24">
        <f>P18/(1+((1+WACC)/(1+Inflation))^(1/PeriodsPerYear)-1)</f>
        <v/>
      </c>
      <c r="R18" s="24">
        <f>Q18/(1+((1+WACC)/(1+Inflation))^(1/PeriodsPerYear)-1)</f>
        <v/>
      </c>
      <c r="S18" s="24">
        <f>R18/(1+((1+WACC)/(1+Inflation))^(1/PeriodsPerYear)-1)</f>
        <v/>
      </c>
      <c r="T18" s="24">
        <f>S18/(1+((1+WACC)/(1+Inflation))^(1/PeriodsPerYear)-1)</f>
        <v/>
      </c>
      <c r="U18" s="24">
        <f>T18/(1+((1+WACC)/(1+Inflation))^(1/PeriodsPerYear)-1)</f>
        <v/>
      </c>
      <c r="V18" s="24">
        <f>U18/(1+((1+WACC)/(1+Inflation))^(1/PeriodsPerYear)-1)</f>
        <v/>
      </c>
      <c r="W18" s="24">
        <f>V18/(1+((1+WACC)/(1+Inflation))^(1/PeriodsPerYear)-1)</f>
        <v/>
      </c>
      <c r="X18" s="24">
        <f>W18/(1+((1+WACC)/(1+Inflation))^(1/PeriodsPerYear)-1)</f>
        <v/>
      </c>
      <c r="Y18" s="24">
        <f>X18/(1+((1+WACC)/(1+Inflation))^(1/PeriodsPerYear)-1)</f>
        <v/>
      </c>
      <c r="Z18" s="24">
        <f>Y18/(1+((1+WACC)/(1+Inflation))^(1/PeriodsPerYear)-1)</f>
        <v/>
      </c>
      <c r="AA18" s="24">
        <f>Z18/(1+((1+WACC)/(1+Inflation))^(1/PeriodsPerYear)-1)</f>
        <v/>
      </c>
      <c r="AB18" s="24">
        <f>AA18/(1+((1+WACC)/(1+Inflation))^(1/PeriodsPerYear)-1)</f>
        <v/>
      </c>
      <c r="AC18" s="24">
        <f>AB18/(1+((1+WACC)/(1+Inflation))^(1/PeriodsPerYear)-1)</f>
        <v/>
      </c>
      <c r="AD18" s="24">
        <f>AC18/(1+((1+WACC)/(1+Inflation))^(1/PeriodsPerYear)-1)</f>
        <v/>
      </c>
      <c r="AE18" s="24">
        <f>AD18/(1+((1+WACC)/(1+Inflation))^(1/PeriodsPerYear)-1)</f>
        <v/>
      </c>
      <c r="AF18" s="24">
        <f>AE18/(1+((1+WACC)/(1+Inflation))^(1/PeriodsPerYear)-1)</f>
        <v/>
      </c>
      <c r="AG18" s="24">
        <f>AF18/(1+((1+WACC)/(1+Inflation))^(1/PeriodsPerYear)-1)</f>
        <v/>
      </c>
      <c r="AH18" s="24">
        <f>AG18/(1+((1+WACC)/(1+Inflation))^(1/PeriodsPerYear)-1)</f>
        <v/>
      </c>
      <c r="AI18" s="24">
        <f>AH18/(1+((1+WACC)/(1+Inflation))^(1/PeriodsPerYear)-1)</f>
        <v/>
      </c>
      <c r="AJ18" s="24">
        <f>AI18/(1+((1+WACC)/(1+Inflation))^(1/PeriodsPerYear)-1)</f>
        <v/>
      </c>
      <c r="AK18" s="24">
        <f>AJ18/(1+((1+WACC)/(1+Inflation))^(1/PeriodsPerYear)-1)</f>
        <v/>
      </c>
      <c r="AL18" s="24">
        <f>AK18/(1+((1+WACC)/(1+Inflation))^(1/PeriodsPerYear)-1)</f>
        <v/>
      </c>
      <c r="AM18" s="24">
        <f>AL18/(1+((1+WACC)/(1+Inflation))^(1/PeriodsPerYear)-1)</f>
        <v/>
      </c>
      <c r="AN18" s="24">
        <f>AM18/(1+((1+WACC)/(1+Inflation))^(1/PeriodsPerYear)-1)</f>
        <v/>
      </c>
      <c r="AO18" s="24">
        <f>AN18/(1+((1+WACC)/(1+Inflation))^(1/PeriodsPerYear)-1)</f>
        <v/>
      </c>
      <c r="AP18" s="24">
        <f>AO18/(1+((1+WACC)/(1+Inflation))^(1/PeriodsPerYear)-1)</f>
        <v/>
      </c>
      <c r="AQ18" s="24">
        <f>AP18/(1+((1+WACC)/(1+Inflation))^(1/PeriodsPerYear)-1)</f>
        <v/>
      </c>
      <c r="AR18" s="24">
        <f>AQ18/(1+((1+WACC)/(1+Inflation))^(1/PeriodsPerYear)-1)</f>
        <v/>
      </c>
      <c r="AS18" s="24">
        <f>AR18/(1+((1+WACC)/(1+Inflation))^(1/PeriodsPerYear)-1)</f>
        <v/>
      </c>
      <c r="AT18" s="24">
        <f>AS18/(1+((1+WACC)/(1+Inflation))^(1/PeriodsPerYear)-1)</f>
        <v/>
      </c>
      <c r="AU18" s="24">
        <f>AT18/(1+((1+WACC)/(1+Inflation))^(1/PeriodsPerYear)-1)</f>
        <v/>
      </c>
      <c r="AV18" s="24">
        <f>AU18/(1+((1+WACC)/(1+Inflation))^(1/PeriodsPerYear)-1)</f>
        <v/>
      </c>
      <c r="AW18" s="24">
        <f>AV18/(1+((1+WACC)/(1+Inflation))^(1/PeriodsPerYear)-1)</f>
        <v/>
      </c>
      <c r="AX18" s="24">
        <f>AW18/(1+((1+WACC)/(1+Inflation))^(1/PeriodsPerYear)-1)</f>
        <v/>
      </c>
      <c r="AY18" s="24">
        <f>AX18/(1+((1+WACC)/(1+Inflation))^(1/PeriodsPerYear)-1)</f>
        <v/>
      </c>
      <c r="AZ18" s="24">
        <f>AY18/(1+((1+WACC)/(1+Inflation))^(1/PeriodsPerYear)-1)</f>
        <v/>
      </c>
      <c r="BA18" s="24">
        <f>AZ18/(1+((1+WACC)/(1+Inflation))^(1/PeriodsPerYear)-1)</f>
        <v/>
      </c>
      <c r="BB18" s="24">
        <f>BA18/(1+((1+WACC)/(1+Inflation))^(1/PeriodsPerYear)-1)</f>
        <v/>
      </c>
      <c r="BC18" s="24">
        <f>BB18/(1+((1+WACC)/(1+Inflation))^(1/PeriodsPerYear)-1)</f>
        <v/>
      </c>
      <c r="BD18" s="24">
        <f>BC18/(1+((1+WACC)/(1+Inflation))^(1/PeriodsPerYear)-1)</f>
        <v/>
      </c>
      <c r="BE18" s="24">
        <f>BD18/(1+((1+WACC)/(1+Inflation))^(1/PeriodsPerYear)-1)</f>
        <v/>
      </c>
      <c r="BF18" s="24">
        <f>BE18/(1+((1+WACC)/(1+Inflation))^(1/PeriodsPerYear)-1)</f>
        <v/>
      </c>
      <c r="BG18" s="24">
        <f>BF18/(1+((1+WACC)/(1+Inflation))^(1/PeriodsPerYear)-1)</f>
        <v/>
      </c>
    </row>
    <row r="19">
      <c r="A19" t="inlineStr">
        <is>
          <t>Depreciation flag</t>
        </is>
      </c>
      <c r="C19" s="10" t="inlineStr">
        <is>
          <t>0/1</t>
        </is>
      </c>
      <c r="E19" s="7" t="n">
        <v>0</v>
      </c>
      <c r="F19" s="7">
        <f>IF(AND(F8=1,F12&lt;TaxDepLifeYears+PeriodYears),1,0)</f>
        <v/>
      </c>
      <c r="G19" s="7">
        <f>IF(AND(G8=1,G12&lt;TaxDepLifeYears+PeriodYears),1,0)</f>
        <v/>
      </c>
      <c r="H19" s="7">
        <f>IF(AND(H8=1,H12&lt;TaxDepLifeYears+PeriodYears),1,0)</f>
        <v/>
      </c>
      <c r="I19" s="7">
        <f>IF(AND(I8=1,I12&lt;TaxDepLifeYears+PeriodYears),1,0)</f>
        <v/>
      </c>
      <c r="J19" s="7">
        <f>IF(AND(J8=1,J12&lt;TaxDepLifeYears+PeriodYears),1,0)</f>
        <v/>
      </c>
      <c r="K19" s="7">
        <f>IF(AND(K8=1,K12&lt;TaxDepLifeYears+PeriodYears),1,0)</f>
        <v/>
      </c>
      <c r="L19" s="7">
        <f>IF(AND(L8=1,L12&lt;TaxDepLifeYears+PeriodYears),1,0)</f>
        <v/>
      </c>
      <c r="M19" s="7">
        <f>IF(AND(M8=1,M12&lt;TaxDepLifeYears+PeriodYears),1,0)</f>
        <v/>
      </c>
      <c r="N19" s="7">
        <f>IF(AND(N8=1,N12&lt;TaxDepLifeYears+PeriodYears),1,0)</f>
        <v/>
      </c>
      <c r="O19" s="7">
        <f>IF(AND(O8=1,O12&lt;TaxDepLifeYears+PeriodYears),1,0)</f>
        <v/>
      </c>
      <c r="P19" s="7">
        <f>IF(AND(P8=1,P12&lt;TaxDepLifeYears+PeriodYears),1,0)</f>
        <v/>
      </c>
      <c r="Q19" s="7">
        <f>IF(AND(Q8=1,Q12&lt;TaxDepLifeYears+PeriodYears),1,0)</f>
        <v/>
      </c>
      <c r="R19" s="7">
        <f>IF(AND(R8=1,R12&lt;TaxDepLifeYears+PeriodYears),1,0)</f>
        <v/>
      </c>
      <c r="S19" s="7">
        <f>IF(AND(S8=1,S12&lt;TaxDepLifeYears+PeriodYears),1,0)</f>
        <v/>
      </c>
      <c r="T19" s="7">
        <f>IF(AND(T8=1,T12&lt;TaxDepLifeYears+PeriodYears),1,0)</f>
        <v/>
      </c>
      <c r="U19" s="7">
        <f>IF(AND(U8=1,U12&lt;TaxDepLifeYears+PeriodYears),1,0)</f>
        <v/>
      </c>
      <c r="V19" s="7">
        <f>IF(AND(V8=1,V12&lt;TaxDepLifeYears+PeriodYears),1,0)</f>
        <v/>
      </c>
      <c r="W19" s="7">
        <f>IF(AND(W8=1,W12&lt;TaxDepLifeYears+PeriodYears),1,0)</f>
        <v/>
      </c>
      <c r="X19" s="7">
        <f>IF(AND(X8=1,X12&lt;TaxDepLifeYears+PeriodYears),1,0)</f>
        <v/>
      </c>
      <c r="Y19" s="7">
        <f>IF(AND(Y8=1,Y12&lt;TaxDepLifeYears+PeriodYears),1,0)</f>
        <v/>
      </c>
      <c r="Z19" s="7">
        <f>IF(AND(Z8=1,Z12&lt;TaxDepLifeYears+PeriodYears),1,0)</f>
        <v/>
      </c>
      <c r="AA19" s="7">
        <f>IF(AND(AA8=1,AA12&lt;TaxDepLifeYears+PeriodYears),1,0)</f>
        <v/>
      </c>
      <c r="AB19" s="7">
        <f>IF(AND(AB8=1,AB12&lt;TaxDepLifeYears+PeriodYears),1,0)</f>
        <v/>
      </c>
      <c r="AC19" s="7">
        <f>IF(AND(AC8=1,AC12&lt;TaxDepLifeYears+PeriodYears),1,0)</f>
        <v/>
      </c>
      <c r="AD19" s="7">
        <f>IF(AND(AD8=1,AD12&lt;TaxDepLifeYears+PeriodYears),1,0)</f>
        <v/>
      </c>
      <c r="AE19" s="7">
        <f>IF(AND(AE8=1,AE12&lt;TaxDepLifeYears+PeriodYears),1,0)</f>
        <v/>
      </c>
      <c r="AF19" s="7">
        <f>IF(AND(AF8=1,AF12&lt;TaxDepLifeYears+PeriodYears),1,0)</f>
        <v/>
      </c>
      <c r="AG19" s="7">
        <f>IF(AND(AG8=1,AG12&lt;TaxDepLifeYears+PeriodYears),1,0)</f>
        <v/>
      </c>
      <c r="AH19" s="7">
        <f>IF(AND(AH8=1,AH12&lt;TaxDepLifeYears+PeriodYears),1,0)</f>
        <v/>
      </c>
      <c r="AI19" s="7">
        <f>IF(AND(AI8=1,AI12&lt;TaxDepLifeYears+PeriodYears),1,0)</f>
        <v/>
      </c>
      <c r="AJ19" s="7">
        <f>IF(AND(AJ8=1,AJ12&lt;TaxDepLifeYears+PeriodYears),1,0)</f>
        <v/>
      </c>
      <c r="AK19" s="7">
        <f>IF(AND(AK8=1,AK12&lt;TaxDepLifeYears+PeriodYears),1,0)</f>
        <v/>
      </c>
      <c r="AL19" s="7">
        <f>IF(AND(AL8=1,AL12&lt;TaxDepLifeYears+PeriodYears),1,0)</f>
        <v/>
      </c>
      <c r="AM19" s="7">
        <f>IF(AND(AM8=1,AM12&lt;TaxDepLifeYears+PeriodYears),1,0)</f>
        <v/>
      </c>
      <c r="AN19" s="7">
        <f>IF(AND(AN8=1,AN12&lt;TaxDepLifeYears+PeriodYears),1,0)</f>
        <v/>
      </c>
      <c r="AO19" s="7">
        <f>IF(AND(AO8=1,AO12&lt;TaxDepLifeYears+PeriodYears),1,0)</f>
        <v/>
      </c>
      <c r="AP19" s="7">
        <f>IF(AND(AP8=1,AP12&lt;TaxDepLifeYears+PeriodYears),1,0)</f>
        <v/>
      </c>
      <c r="AQ19" s="7">
        <f>IF(AND(AQ8=1,AQ12&lt;TaxDepLifeYears+PeriodYears),1,0)</f>
        <v/>
      </c>
      <c r="AR19" s="7">
        <f>IF(AND(AR8=1,AR12&lt;TaxDepLifeYears+PeriodYears),1,0)</f>
        <v/>
      </c>
      <c r="AS19" s="7">
        <f>IF(AND(AS8=1,AS12&lt;TaxDepLifeYears+PeriodYears),1,0)</f>
        <v/>
      </c>
      <c r="AT19" s="7">
        <f>IF(AND(AT8=1,AT12&lt;TaxDepLifeYears+PeriodYears),1,0)</f>
        <v/>
      </c>
      <c r="AU19" s="7">
        <f>IF(AND(AU8=1,AU12&lt;TaxDepLifeYears+PeriodYears),1,0)</f>
        <v/>
      </c>
      <c r="AV19" s="7">
        <f>IF(AND(AV8=1,AV12&lt;TaxDepLifeYears+PeriodYears),1,0)</f>
        <v/>
      </c>
      <c r="AW19" s="7">
        <f>IF(AND(AW8=1,AW12&lt;TaxDepLifeYears+PeriodYears),1,0)</f>
        <v/>
      </c>
      <c r="AX19" s="7">
        <f>IF(AND(AX8=1,AX12&lt;TaxDepLifeYears+PeriodYears),1,0)</f>
        <v/>
      </c>
      <c r="AY19" s="7">
        <f>IF(AND(AY8=1,AY12&lt;TaxDepLifeYears+PeriodYears),1,0)</f>
        <v/>
      </c>
      <c r="AZ19" s="7">
        <f>IF(AND(AZ8=1,AZ12&lt;TaxDepLifeYears+PeriodYears),1,0)</f>
        <v/>
      </c>
      <c r="BA19" s="7">
        <f>IF(AND(BA8=1,BA12&lt;TaxDepLifeYears+PeriodYears),1,0)</f>
        <v/>
      </c>
      <c r="BB19" s="7">
        <f>IF(AND(BB8=1,BB12&lt;TaxDepLifeYears+PeriodYears),1,0)</f>
        <v/>
      </c>
      <c r="BC19" s="7">
        <f>IF(AND(BC8=1,BC12&lt;TaxDepLifeYears+PeriodYears),1,0)</f>
        <v/>
      </c>
      <c r="BD19" s="7">
        <f>IF(AND(BD8=1,BD12&lt;TaxDepLifeYears+PeriodYears),1,0)</f>
        <v/>
      </c>
      <c r="BE19" s="7">
        <f>IF(AND(BE8=1,BE12&lt;TaxDepLifeYears+PeriodYears),1,0)</f>
        <v/>
      </c>
      <c r="BF19" s="7">
        <f>IF(AND(BF8=1,BF12&lt;TaxDepLifeYears+PeriodYears),1,0)</f>
        <v/>
      </c>
      <c r="BG19" s="7">
        <f>IF(AND(BG8=1,BG12&lt;TaxDepLifeYears+PeriodYears),1,0)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CONSTRUCTION &amp; CAPEX  —  drawdown, sources &amp; uses, closed-form IDC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Capex drawn (straight-line)</t>
        </is>
      </c>
      <c r="C3" s="10" t="inlineStr">
        <is>
          <t>$</t>
        </is>
      </c>
      <c r="E3" s="18" t="n">
        <v>0</v>
      </c>
      <c r="F3" s="18">
        <f>TM!F7*TotalCapex/ConstructionPeriods</f>
        <v/>
      </c>
      <c r="G3" s="18">
        <f>TM!G7*TotalCapex/ConstructionPeriods</f>
        <v/>
      </c>
      <c r="H3" s="18">
        <f>TM!H7*TotalCapex/ConstructionPeriods</f>
        <v/>
      </c>
      <c r="I3" s="18">
        <f>TM!I7*TotalCapex/ConstructionPeriods</f>
        <v/>
      </c>
      <c r="J3" s="18">
        <f>TM!J7*TotalCapex/ConstructionPeriods</f>
        <v/>
      </c>
      <c r="K3" s="18">
        <f>TM!K7*TotalCapex/ConstructionPeriods</f>
        <v/>
      </c>
      <c r="L3" s="18">
        <f>TM!L7*TotalCapex/ConstructionPeriods</f>
        <v/>
      </c>
      <c r="M3" s="18">
        <f>TM!M7*TotalCapex/ConstructionPeriods</f>
        <v/>
      </c>
      <c r="N3" s="18">
        <f>TM!N7*TotalCapex/ConstructionPeriods</f>
        <v/>
      </c>
      <c r="O3" s="18">
        <f>TM!O7*TotalCapex/ConstructionPeriods</f>
        <v/>
      </c>
      <c r="P3" s="18">
        <f>TM!P7*TotalCapex/ConstructionPeriods</f>
        <v/>
      </c>
      <c r="Q3" s="18">
        <f>TM!Q7*TotalCapex/ConstructionPeriods</f>
        <v/>
      </c>
      <c r="R3" s="18">
        <f>TM!R7*TotalCapex/ConstructionPeriods</f>
        <v/>
      </c>
      <c r="S3" s="18">
        <f>TM!S7*TotalCapex/ConstructionPeriods</f>
        <v/>
      </c>
      <c r="T3" s="18">
        <f>TM!T7*TotalCapex/ConstructionPeriods</f>
        <v/>
      </c>
      <c r="U3" s="18">
        <f>TM!U7*TotalCapex/ConstructionPeriods</f>
        <v/>
      </c>
      <c r="V3" s="18">
        <f>TM!V7*TotalCapex/ConstructionPeriods</f>
        <v/>
      </c>
      <c r="W3" s="18">
        <f>TM!W7*TotalCapex/ConstructionPeriods</f>
        <v/>
      </c>
      <c r="X3" s="18">
        <f>TM!X7*TotalCapex/ConstructionPeriods</f>
        <v/>
      </c>
      <c r="Y3" s="18">
        <f>TM!Y7*TotalCapex/ConstructionPeriods</f>
        <v/>
      </c>
      <c r="Z3" s="18">
        <f>TM!Z7*TotalCapex/ConstructionPeriods</f>
        <v/>
      </c>
      <c r="AA3" s="18">
        <f>TM!AA7*TotalCapex/ConstructionPeriods</f>
        <v/>
      </c>
      <c r="AB3" s="18">
        <f>TM!AB7*TotalCapex/ConstructionPeriods</f>
        <v/>
      </c>
      <c r="AC3" s="18">
        <f>TM!AC7*TotalCapex/ConstructionPeriods</f>
        <v/>
      </c>
      <c r="AD3" s="18">
        <f>TM!AD7*TotalCapex/ConstructionPeriods</f>
        <v/>
      </c>
      <c r="AE3" s="18">
        <f>TM!AE7*TotalCapex/ConstructionPeriods</f>
        <v/>
      </c>
      <c r="AF3" s="18">
        <f>TM!AF7*TotalCapex/ConstructionPeriods</f>
        <v/>
      </c>
      <c r="AG3" s="18">
        <f>TM!AG7*TotalCapex/ConstructionPeriods</f>
        <v/>
      </c>
      <c r="AH3" s="18">
        <f>TM!AH7*TotalCapex/ConstructionPeriods</f>
        <v/>
      </c>
      <c r="AI3" s="18">
        <f>TM!AI7*TotalCapex/ConstructionPeriods</f>
        <v/>
      </c>
      <c r="AJ3" s="18">
        <f>TM!AJ7*TotalCapex/ConstructionPeriods</f>
        <v/>
      </c>
      <c r="AK3" s="18">
        <f>TM!AK7*TotalCapex/ConstructionPeriods</f>
        <v/>
      </c>
      <c r="AL3" s="18">
        <f>TM!AL7*TotalCapex/ConstructionPeriods</f>
        <v/>
      </c>
      <c r="AM3" s="18">
        <f>TM!AM7*TotalCapex/ConstructionPeriods</f>
        <v/>
      </c>
      <c r="AN3" s="18">
        <f>TM!AN7*TotalCapex/ConstructionPeriods</f>
        <v/>
      </c>
      <c r="AO3" s="18">
        <f>TM!AO7*TotalCapex/ConstructionPeriods</f>
        <v/>
      </c>
      <c r="AP3" s="18">
        <f>TM!AP7*TotalCapex/ConstructionPeriods</f>
        <v/>
      </c>
      <c r="AQ3" s="18">
        <f>TM!AQ7*TotalCapex/ConstructionPeriods</f>
        <v/>
      </c>
      <c r="AR3" s="18">
        <f>TM!AR7*TotalCapex/ConstructionPeriods</f>
        <v/>
      </c>
      <c r="AS3" s="18">
        <f>TM!AS7*TotalCapex/ConstructionPeriods</f>
        <v/>
      </c>
      <c r="AT3" s="18">
        <f>TM!AT7*TotalCapex/ConstructionPeriods</f>
        <v/>
      </c>
      <c r="AU3" s="18">
        <f>TM!AU7*TotalCapex/ConstructionPeriods</f>
        <v/>
      </c>
      <c r="AV3" s="18">
        <f>TM!AV7*TotalCapex/ConstructionPeriods</f>
        <v/>
      </c>
      <c r="AW3" s="18">
        <f>TM!AW7*TotalCapex/ConstructionPeriods</f>
        <v/>
      </c>
      <c r="AX3" s="18">
        <f>TM!AX7*TotalCapex/ConstructionPeriods</f>
        <v/>
      </c>
      <c r="AY3" s="18">
        <f>TM!AY7*TotalCapex/ConstructionPeriods</f>
        <v/>
      </c>
      <c r="AZ3" s="18">
        <f>TM!AZ7*TotalCapex/ConstructionPeriods</f>
        <v/>
      </c>
      <c r="BA3" s="18">
        <f>TM!BA7*TotalCapex/ConstructionPeriods</f>
        <v/>
      </c>
      <c r="BB3" s="18">
        <f>TM!BB7*TotalCapex/ConstructionPeriods</f>
        <v/>
      </c>
      <c r="BC3" s="18">
        <f>TM!BC7*TotalCapex/ConstructionPeriods</f>
        <v/>
      </c>
      <c r="BD3" s="18">
        <f>TM!BD7*TotalCapex/ConstructionPeriods</f>
        <v/>
      </c>
      <c r="BE3" s="18">
        <f>TM!BE7*TotalCapex/ConstructionPeriods</f>
        <v/>
      </c>
      <c r="BF3" s="18">
        <f>TM!BF7*TotalCapex/ConstructionPeriods</f>
        <v/>
      </c>
      <c r="BG3" s="18">
        <f>TM!BG7*TotalCapex/ConstructionPeriods</f>
        <v/>
      </c>
    </row>
    <row r="4">
      <c r="A4" t="inlineStr">
        <is>
          <t xml:space="preserve">  Debt drawdown</t>
        </is>
      </c>
      <c r="C4" s="10" t="inlineStr">
        <is>
          <t>$</t>
        </is>
      </c>
      <c r="E4" s="18" t="n">
        <v>0</v>
      </c>
      <c r="F4" s="18">
        <f>F3*ConstructionGearing</f>
        <v/>
      </c>
      <c r="G4" s="18">
        <f>G3*ConstructionGearing</f>
        <v/>
      </c>
      <c r="H4" s="18">
        <f>H3*ConstructionGearing</f>
        <v/>
      </c>
      <c r="I4" s="18">
        <f>I3*ConstructionGearing</f>
        <v/>
      </c>
      <c r="J4" s="18">
        <f>J3*ConstructionGearing</f>
        <v/>
      </c>
      <c r="K4" s="18">
        <f>K3*ConstructionGearing</f>
        <v/>
      </c>
      <c r="L4" s="18">
        <f>L3*ConstructionGearing</f>
        <v/>
      </c>
      <c r="M4" s="18">
        <f>M3*ConstructionGearing</f>
        <v/>
      </c>
      <c r="N4" s="18">
        <f>N3*ConstructionGearing</f>
        <v/>
      </c>
      <c r="O4" s="18">
        <f>O3*ConstructionGearing</f>
        <v/>
      </c>
      <c r="P4" s="18">
        <f>P3*ConstructionGearing</f>
        <v/>
      </c>
      <c r="Q4" s="18">
        <f>Q3*ConstructionGearing</f>
        <v/>
      </c>
      <c r="R4" s="18">
        <f>R3*ConstructionGearing</f>
        <v/>
      </c>
      <c r="S4" s="18">
        <f>S3*ConstructionGearing</f>
        <v/>
      </c>
      <c r="T4" s="18">
        <f>T3*ConstructionGearing</f>
        <v/>
      </c>
      <c r="U4" s="18">
        <f>U3*ConstructionGearing</f>
        <v/>
      </c>
      <c r="V4" s="18">
        <f>V3*ConstructionGearing</f>
        <v/>
      </c>
      <c r="W4" s="18">
        <f>W3*ConstructionGearing</f>
        <v/>
      </c>
      <c r="X4" s="18">
        <f>X3*ConstructionGearing</f>
        <v/>
      </c>
      <c r="Y4" s="18">
        <f>Y3*ConstructionGearing</f>
        <v/>
      </c>
      <c r="Z4" s="18">
        <f>Z3*ConstructionGearing</f>
        <v/>
      </c>
      <c r="AA4" s="18">
        <f>AA3*ConstructionGearing</f>
        <v/>
      </c>
      <c r="AB4" s="18">
        <f>AB3*ConstructionGearing</f>
        <v/>
      </c>
      <c r="AC4" s="18">
        <f>AC3*ConstructionGearing</f>
        <v/>
      </c>
      <c r="AD4" s="18">
        <f>AD3*ConstructionGearing</f>
        <v/>
      </c>
      <c r="AE4" s="18">
        <f>AE3*ConstructionGearing</f>
        <v/>
      </c>
      <c r="AF4" s="18">
        <f>AF3*ConstructionGearing</f>
        <v/>
      </c>
      <c r="AG4" s="18">
        <f>AG3*ConstructionGearing</f>
        <v/>
      </c>
      <c r="AH4" s="18">
        <f>AH3*ConstructionGearing</f>
        <v/>
      </c>
      <c r="AI4" s="18">
        <f>AI3*ConstructionGearing</f>
        <v/>
      </c>
      <c r="AJ4" s="18">
        <f>AJ3*ConstructionGearing</f>
        <v/>
      </c>
      <c r="AK4" s="18">
        <f>AK3*ConstructionGearing</f>
        <v/>
      </c>
      <c r="AL4" s="18">
        <f>AL3*ConstructionGearing</f>
        <v/>
      </c>
      <c r="AM4" s="18">
        <f>AM3*ConstructionGearing</f>
        <v/>
      </c>
      <c r="AN4" s="18">
        <f>AN3*ConstructionGearing</f>
        <v/>
      </c>
      <c r="AO4" s="18">
        <f>AO3*ConstructionGearing</f>
        <v/>
      </c>
      <c r="AP4" s="18">
        <f>AP3*ConstructionGearing</f>
        <v/>
      </c>
      <c r="AQ4" s="18">
        <f>AQ3*ConstructionGearing</f>
        <v/>
      </c>
      <c r="AR4" s="18">
        <f>AR3*ConstructionGearing</f>
        <v/>
      </c>
      <c r="AS4" s="18">
        <f>AS3*ConstructionGearing</f>
        <v/>
      </c>
      <c r="AT4" s="18">
        <f>AT3*ConstructionGearing</f>
        <v/>
      </c>
      <c r="AU4" s="18">
        <f>AU3*ConstructionGearing</f>
        <v/>
      </c>
      <c r="AV4" s="18">
        <f>AV3*ConstructionGearing</f>
        <v/>
      </c>
      <c r="AW4" s="18">
        <f>AW3*ConstructionGearing</f>
        <v/>
      </c>
      <c r="AX4" s="18">
        <f>AX3*ConstructionGearing</f>
        <v/>
      </c>
      <c r="AY4" s="18">
        <f>AY3*ConstructionGearing</f>
        <v/>
      </c>
      <c r="AZ4" s="18">
        <f>AZ3*ConstructionGearing</f>
        <v/>
      </c>
      <c r="BA4" s="18">
        <f>BA3*ConstructionGearing</f>
        <v/>
      </c>
      <c r="BB4" s="18">
        <f>BB3*ConstructionGearing</f>
        <v/>
      </c>
      <c r="BC4" s="18">
        <f>BC3*ConstructionGearing</f>
        <v/>
      </c>
      <c r="BD4" s="18">
        <f>BD3*ConstructionGearing</f>
        <v/>
      </c>
      <c r="BE4" s="18">
        <f>BE3*ConstructionGearing</f>
        <v/>
      </c>
      <c r="BF4" s="18">
        <f>BF3*ConstructionGearing</f>
        <v/>
      </c>
      <c r="BG4" s="18">
        <f>BG3*ConstructionGearing</f>
        <v/>
      </c>
    </row>
    <row r="5">
      <c r="A5" t="inlineStr">
        <is>
          <t xml:space="preserve">  Equity drawdown</t>
        </is>
      </c>
      <c r="C5" s="10" t="inlineStr">
        <is>
          <t>$</t>
        </is>
      </c>
      <c r="E5" s="18" t="n">
        <v>0</v>
      </c>
      <c r="F5" s="18">
        <f>F3*(1-ConstructionGearing)</f>
        <v/>
      </c>
      <c r="G5" s="18">
        <f>G3*(1-ConstructionGearing)</f>
        <v/>
      </c>
      <c r="H5" s="18">
        <f>H3*(1-ConstructionGearing)</f>
        <v/>
      </c>
      <c r="I5" s="18">
        <f>I3*(1-ConstructionGearing)</f>
        <v/>
      </c>
      <c r="J5" s="18">
        <f>J3*(1-ConstructionGearing)</f>
        <v/>
      </c>
      <c r="K5" s="18">
        <f>K3*(1-ConstructionGearing)</f>
        <v/>
      </c>
      <c r="L5" s="18">
        <f>L3*(1-ConstructionGearing)</f>
        <v/>
      </c>
      <c r="M5" s="18">
        <f>M3*(1-ConstructionGearing)</f>
        <v/>
      </c>
      <c r="N5" s="18">
        <f>N3*(1-ConstructionGearing)</f>
        <v/>
      </c>
      <c r="O5" s="18">
        <f>O3*(1-ConstructionGearing)</f>
        <v/>
      </c>
      <c r="P5" s="18">
        <f>P3*(1-ConstructionGearing)</f>
        <v/>
      </c>
      <c r="Q5" s="18">
        <f>Q3*(1-ConstructionGearing)</f>
        <v/>
      </c>
      <c r="R5" s="18">
        <f>R3*(1-ConstructionGearing)</f>
        <v/>
      </c>
      <c r="S5" s="18">
        <f>S3*(1-ConstructionGearing)</f>
        <v/>
      </c>
      <c r="T5" s="18">
        <f>T3*(1-ConstructionGearing)</f>
        <v/>
      </c>
      <c r="U5" s="18">
        <f>U3*(1-ConstructionGearing)</f>
        <v/>
      </c>
      <c r="V5" s="18">
        <f>V3*(1-ConstructionGearing)</f>
        <v/>
      </c>
      <c r="W5" s="18">
        <f>W3*(1-ConstructionGearing)</f>
        <v/>
      </c>
      <c r="X5" s="18">
        <f>X3*(1-ConstructionGearing)</f>
        <v/>
      </c>
      <c r="Y5" s="18">
        <f>Y3*(1-ConstructionGearing)</f>
        <v/>
      </c>
      <c r="Z5" s="18">
        <f>Z3*(1-ConstructionGearing)</f>
        <v/>
      </c>
      <c r="AA5" s="18">
        <f>AA3*(1-ConstructionGearing)</f>
        <v/>
      </c>
      <c r="AB5" s="18">
        <f>AB3*(1-ConstructionGearing)</f>
        <v/>
      </c>
      <c r="AC5" s="18">
        <f>AC3*(1-ConstructionGearing)</f>
        <v/>
      </c>
      <c r="AD5" s="18">
        <f>AD3*(1-ConstructionGearing)</f>
        <v/>
      </c>
      <c r="AE5" s="18">
        <f>AE3*(1-ConstructionGearing)</f>
        <v/>
      </c>
      <c r="AF5" s="18">
        <f>AF3*(1-ConstructionGearing)</f>
        <v/>
      </c>
      <c r="AG5" s="18">
        <f>AG3*(1-ConstructionGearing)</f>
        <v/>
      </c>
      <c r="AH5" s="18">
        <f>AH3*(1-ConstructionGearing)</f>
        <v/>
      </c>
      <c r="AI5" s="18">
        <f>AI3*(1-ConstructionGearing)</f>
        <v/>
      </c>
      <c r="AJ5" s="18">
        <f>AJ3*(1-ConstructionGearing)</f>
        <v/>
      </c>
      <c r="AK5" s="18">
        <f>AK3*(1-ConstructionGearing)</f>
        <v/>
      </c>
      <c r="AL5" s="18">
        <f>AL3*(1-ConstructionGearing)</f>
        <v/>
      </c>
      <c r="AM5" s="18">
        <f>AM3*(1-ConstructionGearing)</f>
        <v/>
      </c>
      <c r="AN5" s="18">
        <f>AN3*(1-ConstructionGearing)</f>
        <v/>
      </c>
      <c r="AO5" s="18">
        <f>AO3*(1-ConstructionGearing)</f>
        <v/>
      </c>
      <c r="AP5" s="18">
        <f>AP3*(1-ConstructionGearing)</f>
        <v/>
      </c>
      <c r="AQ5" s="18">
        <f>AQ3*(1-ConstructionGearing)</f>
        <v/>
      </c>
      <c r="AR5" s="18">
        <f>AR3*(1-ConstructionGearing)</f>
        <v/>
      </c>
      <c r="AS5" s="18">
        <f>AS3*(1-ConstructionGearing)</f>
        <v/>
      </c>
      <c r="AT5" s="18">
        <f>AT3*(1-ConstructionGearing)</f>
        <v/>
      </c>
      <c r="AU5" s="18">
        <f>AU3*(1-ConstructionGearing)</f>
        <v/>
      </c>
      <c r="AV5" s="18">
        <f>AV3*(1-ConstructionGearing)</f>
        <v/>
      </c>
      <c r="AW5" s="18">
        <f>AW3*(1-ConstructionGearing)</f>
        <v/>
      </c>
      <c r="AX5" s="18">
        <f>AX3*(1-ConstructionGearing)</f>
        <v/>
      </c>
      <c r="AY5" s="18">
        <f>AY3*(1-ConstructionGearing)</f>
        <v/>
      </c>
      <c r="AZ5" s="18">
        <f>AZ3*(1-ConstructionGearing)</f>
        <v/>
      </c>
      <c r="BA5" s="18">
        <f>BA3*(1-ConstructionGearing)</f>
        <v/>
      </c>
      <c r="BB5" s="18">
        <f>BB3*(1-ConstructionGearing)</f>
        <v/>
      </c>
      <c r="BC5" s="18">
        <f>BC3*(1-ConstructionGearing)</f>
        <v/>
      </c>
      <c r="BD5" s="18">
        <f>BD3*(1-ConstructionGearing)</f>
        <v/>
      </c>
      <c r="BE5" s="18">
        <f>BE3*(1-ConstructionGearing)</f>
        <v/>
      </c>
      <c r="BF5" s="18">
        <f>BF3*(1-ConstructionGearing)</f>
        <v/>
      </c>
      <c r="BG5" s="18">
        <f>BG3*(1-ConstructionGearing)</f>
        <v/>
      </c>
    </row>
    <row r="6">
      <c r="A6" t="inlineStr">
        <is>
          <t>Construction debt — opening</t>
        </is>
      </c>
      <c r="C6" s="10" t="inlineStr">
        <is>
          <t>$</t>
        </is>
      </c>
      <c r="E6" s="18" t="n">
        <v>0</v>
      </c>
      <c r="F6" s="18">
        <f>E10</f>
        <v/>
      </c>
      <c r="G6" s="18">
        <f>F10</f>
        <v/>
      </c>
      <c r="H6" s="18">
        <f>G10</f>
        <v/>
      </c>
      <c r="I6" s="18">
        <f>H10</f>
        <v/>
      </c>
      <c r="J6" s="18">
        <f>I10</f>
        <v/>
      </c>
      <c r="K6" s="18">
        <f>J10</f>
        <v/>
      </c>
      <c r="L6" s="18">
        <f>K10</f>
        <v/>
      </c>
      <c r="M6" s="18">
        <f>L10</f>
        <v/>
      </c>
      <c r="N6" s="18">
        <f>M10</f>
        <v/>
      </c>
      <c r="O6" s="18">
        <f>N10</f>
        <v/>
      </c>
      <c r="P6" s="18">
        <f>O10</f>
        <v/>
      </c>
      <c r="Q6" s="18">
        <f>P10</f>
        <v/>
      </c>
      <c r="R6" s="18">
        <f>Q10</f>
        <v/>
      </c>
      <c r="S6" s="18">
        <f>R10</f>
        <v/>
      </c>
      <c r="T6" s="18">
        <f>S10</f>
        <v/>
      </c>
      <c r="U6" s="18">
        <f>T10</f>
        <v/>
      </c>
      <c r="V6" s="18">
        <f>U10</f>
        <v/>
      </c>
      <c r="W6" s="18">
        <f>V10</f>
        <v/>
      </c>
      <c r="X6" s="18">
        <f>W10</f>
        <v/>
      </c>
      <c r="Y6" s="18">
        <f>X10</f>
        <v/>
      </c>
      <c r="Z6" s="18">
        <f>Y10</f>
        <v/>
      </c>
      <c r="AA6" s="18">
        <f>Z10</f>
        <v/>
      </c>
      <c r="AB6" s="18">
        <f>AA10</f>
        <v/>
      </c>
      <c r="AC6" s="18">
        <f>AB10</f>
        <v/>
      </c>
      <c r="AD6" s="18">
        <f>AC10</f>
        <v/>
      </c>
      <c r="AE6" s="18">
        <f>AD10</f>
        <v/>
      </c>
      <c r="AF6" s="18">
        <f>AE10</f>
        <v/>
      </c>
      <c r="AG6" s="18">
        <f>AF10</f>
        <v/>
      </c>
      <c r="AH6" s="18">
        <f>AG10</f>
        <v/>
      </c>
      <c r="AI6" s="18">
        <f>AH10</f>
        <v/>
      </c>
      <c r="AJ6" s="18">
        <f>AI10</f>
        <v/>
      </c>
      <c r="AK6" s="18">
        <f>AJ10</f>
        <v/>
      </c>
      <c r="AL6" s="18">
        <f>AK10</f>
        <v/>
      </c>
      <c r="AM6" s="18">
        <f>AL10</f>
        <v/>
      </c>
      <c r="AN6" s="18">
        <f>AM10</f>
        <v/>
      </c>
      <c r="AO6" s="18">
        <f>AN10</f>
        <v/>
      </c>
      <c r="AP6" s="18">
        <f>AO10</f>
        <v/>
      </c>
      <c r="AQ6" s="18">
        <f>AP10</f>
        <v/>
      </c>
      <c r="AR6" s="18">
        <f>AQ10</f>
        <v/>
      </c>
      <c r="AS6" s="18">
        <f>AR10</f>
        <v/>
      </c>
      <c r="AT6" s="18">
        <f>AS10</f>
        <v/>
      </c>
      <c r="AU6" s="18">
        <f>AT10</f>
        <v/>
      </c>
      <c r="AV6" s="18">
        <f>AU10</f>
        <v/>
      </c>
      <c r="AW6" s="18">
        <f>AV10</f>
        <v/>
      </c>
      <c r="AX6" s="18">
        <f>AW10</f>
        <v/>
      </c>
      <c r="AY6" s="18">
        <f>AX10</f>
        <v/>
      </c>
      <c r="AZ6" s="18">
        <f>AY10</f>
        <v/>
      </c>
      <c r="BA6" s="18">
        <f>AZ10</f>
        <v/>
      </c>
      <c r="BB6" s="18">
        <f>BA10</f>
        <v/>
      </c>
      <c r="BC6" s="18">
        <f>BB10</f>
        <v/>
      </c>
      <c r="BD6" s="18">
        <f>BC10</f>
        <v/>
      </c>
      <c r="BE6" s="18">
        <f>BD10</f>
        <v/>
      </c>
      <c r="BF6" s="18">
        <f>BE10</f>
        <v/>
      </c>
      <c r="BG6" s="18">
        <f>BF10</f>
        <v/>
      </c>
    </row>
    <row r="7">
      <c r="A7" t="inlineStr">
        <is>
          <t xml:space="preserve">  IDC interest (closed form)</t>
        </is>
      </c>
      <c r="C7" s="10" t="inlineStr">
        <is>
          <t>$</t>
        </is>
      </c>
      <c r="E7" s="18" t="n">
        <v>0</v>
      </c>
      <c r="F7" s="18">
        <f>(TM!F15*(F6+F4/2))/(1-TM!F15*(1-IDC_CashFundedPct_f)/2)*TM!F7</f>
        <v/>
      </c>
      <c r="G7" s="18">
        <f>(TM!G15*(G6+G4/2))/(1-TM!G15*(1-IDC_CashFundedPct_f)/2)*TM!G7</f>
        <v/>
      </c>
      <c r="H7" s="18">
        <f>(TM!H15*(H6+H4/2))/(1-TM!H15*(1-IDC_CashFundedPct_f)/2)*TM!H7</f>
        <v/>
      </c>
      <c r="I7" s="18">
        <f>(TM!I15*(I6+I4/2))/(1-TM!I15*(1-IDC_CashFundedPct_f)/2)*TM!I7</f>
        <v/>
      </c>
      <c r="J7" s="18">
        <f>(TM!J15*(J6+J4/2))/(1-TM!J15*(1-IDC_CashFundedPct_f)/2)*TM!J7</f>
        <v/>
      </c>
      <c r="K7" s="18">
        <f>(TM!K15*(K6+K4/2))/(1-TM!K15*(1-IDC_CashFundedPct_f)/2)*TM!K7</f>
        <v/>
      </c>
      <c r="L7" s="18">
        <f>(TM!L15*(L6+L4/2))/(1-TM!L15*(1-IDC_CashFundedPct_f)/2)*TM!L7</f>
        <v/>
      </c>
      <c r="M7" s="18">
        <f>(TM!M15*(M6+M4/2))/(1-TM!M15*(1-IDC_CashFundedPct_f)/2)*TM!M7</f>
        <v/>
      </c>
      <c r="N7" s="18">
        <f>(TM!N15*(N6+N4/2))/(1-TM!N15*(1-IDC_CashFundedPct_f)/2)*TM!N7</f>
        <v/>
      </c>
      <c r="O7" s="18">
        <f>(TM!O15*(O6+O4/2))/(1-TM!O15*(1-IDC_CashFundedPct_f)/2)*TM!O7</f>
        <v/>
      </c>
      <c r="P7" s="18">
        <f>(TM!P15*(P6+P4/2))/(1-TM!P15*(1-IDC_CashFundedPct_f)/2)*TM!P7</f>
        <v/>
      </c>
      <c r="Q7" s="18">
        <f>(TM!Q15*(Q6+Q4/2))/(1-TM!Q15*(1-IDC_CashFundedPct_f)/2)*TM!Q7</f>
        <v/>
      </c>
      <c r="R7" s="18">
        <f>(TM!R15*(R6+R4/2))/(1-TM!R15*(1-IDC_CashFundedPct_f)/2)*TM!R7</f>
        <v/>
      </c>
      <c r="S7" s="18">
        <f>(TM!S15*(S6+S4/2))/(1-TM!S15*(1-IDC_CashFundedPct_f)/2)*TM!S7</f>
        <v/>
      </c>
      <c r="T7" s="18">
        <f>(TM!T15*(T6+T4/2))/(1-TM!T15*(1-IDC_CashFundedPct_f)/2)*TM!T7</f>
        <v/>
      </c>
      <c r="U7" s="18">
        <f>(TM!U15*(U6+U4/2))/(1-TM!U15*(1-IDC_CashFundedPct_f)/2)*TM!U7</f>
        <v/>
      </c>
      <c r="V7" s="18">
        <f>(TM!V15*(V6+V4/2))/(1-TM!V15*(1-IDC_CashFundedPct_f)/2)*TM!V7</f>
        <v/>
      </c>
      <c r="W7" s="18">
        <f>(TM!W15*(W6+W4/2))/(1-TM!W15*(1-IDC_CashFundedPct_f)/2)*TM!W7</f>
        <v/>
      </c>
      <c r="X7" s="18">
        <f>(TM!X15*(X6+X4/2))/(1-TM!X15*(1-IDC_CashFundedPct_f)/2)*TM!X7</f>
        <v/>
      </c>
      <c r="Y7" s="18">
        <f>(TM!Y15*(Y6+Y4/2))/(1-TM!Y15*(1-IDC_CashFundedPct_f)/2)*TM!Y7</f>
        <v/>
      </c>
      <c r="Z7" s="18">
        <f>(TM!Z15*(Z6+Z4/2))/(1-TM!Z15*(1-IDC_CashFundedPct_f)/2)*TM!Z7</f>
        <v/>
      </c>
      <c r="AA7" s="18">
        <f>(TM!AA15*(AA6+AA4/2))/(1-TM!AA15*(1-IDC_CashFundedPct_f)/2)*TM!AA7</f>
        <v/>
      </c>
      <c r="AB7" s="18">
        <f>(TM!AB15*(AB6+AB4/2))/(1-TM!AB15*(1-IDC_CashFundedPct_f)/2)*TM!AB7</f>
        <v/>
      </c>
      <c r="AC7" s="18">
        <f>(TM!AC15*(AC6+AC4/2))/(1-TM!AC15*(1-IDC_CashFundedPct_f)/2)*TM!AC7</f>
        <v/>
      </c>
      <c r="AD7" s="18">
        <f>(TM!AD15*(AD6+AD4/2))/(1-TM!AD15*(1-IDC_CashFundedPct_f)/2)*TM!AD7</f>
        <v/>
      </c>
      <c r="AE7" s="18">
        <f>(TM!AE15*(AE6+AE4/2))/(1-TM!AE15*(1-IDC_CashFundedPct_f)/2)*TM!AE7</f>
        <v/>
      </c>
      <c r="AF7" s="18">
        <f>(TM!AF15*(AF6+AF4/2))/(1-TM!AF15*(1-IDC_CashFundedPct_f)/2)*TM!AF7</f>
        <v/>
      </c>
      <c r="AG7" s="18">
        <f>(TM!AG15*(AG6+AG4/2))/(1-TM!AG15*(1-IDC_CashFundedPct_f)/2)*TM!AG7</f>
        <v/>
      </c>
      <c r="AH7" s="18">
        <f>(TM!AH15*(AH6+AH4/2))/(1-TM!AH15*(1-IDC_CashFundedPct_f)/2)*TM!AH7</f>
        <v/>
      </c>
      <c r="AI7" s="18">
        <f>(TM!AI15*(AI6+AI4/2))/(1-TM!AI15*(1-IDC_CashFundedPct_f)/2)*TM!AI7</f>
        <v/>
      </c>
      <c r="AJ7" s="18">
        <f>(TM!AJ15*(AJ6+AJ4/2))/(1-TM!AJ15*(1-IDC_CashFundedPct_f)/2)*TM!AJ7</f>
        <v/>
      </c>
      <c r="AK7" s="18">
        <f>(TM!AK15*(AK6+AK4/2))/(1-TM!AK15*(1-IDC_CashFundedPct_f)/2)*TM!AK7</f>
        <v/>
      </c>
      <c r="AL7" s="18">
        <f>(TM!AL15*(AL6+AL4/2))/(1-TM!AL15*(1-IDC_CashFundedPct_f)/2)*TM!AL7</f>
        <v/>
      </c>
      <c r="AM7" s="18">
        <f>(TM!AM15*(AM6+AM4/2))/(1-TM!AM15*(1-IDC_CashFundedPct_f)/2)*TM!AM7</f>
        <v/>
      </c>
      <c r="AN7" s="18">
        <f>(TM!AN15*(AN6+AN4/2))/(1-TM!AN15*(1-IDC_CashFundedPct_f)/2)*TM!AN7</f>
        <v/>
      </c>
      <c r="AO7" s="18">
        <f>(TM!AO15*(AO6+AO4/2))/(1-TM!AO15*(1-IDC_CashFundedPct_f)/2)*TM!AO7</f>
        <v/>
      </c>
      <c r="AP7" s="18">
        <f>(TM!AP15*(AP6+AP4/2))/(1-TM!AP15*(1-IDC_CashFundedPct_f)/2)*TM!AP7</f>
        <v/>
      </c>
      <c r="AQ7" s="18">
        <f>(TM!AQ15*(AQ6+AQ4/2))/(1-TM!AQ15*(1-IDC_CashFundedPct_f)/2)*TM!AQ7</f>
        <v/>
      </c>
      <c r="AR7" s="18">
        <f>(TM!AR15*(AR6+AR4/2))/(1-TM!AR15*(1-IDC_CashFundedPct_f)/2)*TM!AR7</f>
        <v/>
      </c>
      <c r="AS7" s="18">
        <f>(TM!AS15*(AS6+AS4/2))/(1-TM!AS15*(1-IDC_CashFundedPct_f)/2)*TM!AS7</f>
        <v/>
      </c>
      <c r="AT7" s="18">
        <f>(TM!AT15*(AT6+AT4/2))/(1-TM!AT15*(1-IDC_CashFundedPct_f)/2)*TM!AT7</f>
        <v/>
      </c>
      <c r="AU7" s="18">
        <f>(TM!AU15*(AU6+AU4/2))/(1-TM!AU15*(1-IDC_CashFundedPct_f)/2)*TM!AU7</f>
        <v/>
      </c>
      <c r="AV7" s="18">
        <f>(TM!AV15*(AV6+AV4/2))/(1-TM!AV15*(1-IDC_CashFundedPct_f)/2)*TM!AV7</f>
        <v/>
      </c>
      <c r="AW7" s="18">
        <f>(TM!AW15*(AW6+AW4/2))/(1-TM!AW15*(1-IDC_CashFundedPct_f)/2)*TM!AW7</f>
        <v/>
      </c>
      <c r="AX7" s="18">
        <f>(TM!AX15*(AX6+AX4/2))/(1-TM!AX15*(1-IDC_CashFundedPct_f)/2)*TM!AX7</f>
        <v/>
      </c>
      <c r="AY7" s="18">
        <f>(TM!AY15*(AY6+AY4/2))/(1-TM!AY15*(1-IDC_CashFundedPct_f)/2)*TM!AY7</f>
        <v/>
      </c>
      <c r="AZ7" s="18">
        <f>(TM!AZ15*(AZ6+AZ4/2))/(1-TM!AZ15*(1-IDC_CashFundedPct_f)/2)*TM!AZ7</f>
        <v/>
      </c>
      <c r="BA7" s="18">
        <f>(TM!BA15*(BA6+BA4/2))/(1-TM!BA15*(1-IDC_CashFundedPct_f)/2)*TM!BA7</f>
        <v/>
      </c>
      <c r="BB7" s="18">
        <f>(TM!BB15*(BB6+BB4/2))/(1-TM!BB15*(1-IDC_CashFundedPct_f)/2)*TM!BB7</f>
        <v/>
      </c>
      <c r="BC7" s="18">
        <f>(TM!BC15*(BC6+BC4/2))/(1-TM!BC15*(1-IDC_CashFundedPct_f)/2)*TM!BC7</f>
        <v/>
      </c>
      <c r="BD7" s="18">
        <f>(TM!BD15*(BD6+BD4/2))/(1-TM!BD15*(1-IDC_CashFundedPct_f)/2)*TM!BD7</f>
        <v/>
      </c>
      <c r="BE7" s="18">
        <f>(TM!BE15*(BE6+BE4/2))/(1-TM!BE15*(1-IDC_CashFundedPct_f)/2)*TM!BE7</f>
        <v/>
      </c>
      <c r="BF7" s="18">
        <f>(TM!BF15*(BF6+BF4/2))/(1-TM!BF15*(1-IDC_CashFundedPct_f)/2)*TM!BF7</f>
        <v/>
      </c>
      <c r="BG7" s="18">
        <f>(TM!BG15*(BG6+BG4/2))/(1-TM!BG15*(1-IDC_CashFundedPct_f)/2)*TM!BG7</f>
        <v/>
      </c>
    </row>
    <row r="8">
      <c r="A8" t="inlineStr">
        <is>
          <t xml:space="preserve">  IDC cash-funded (f·I)</t>
        </is>
      </c>
      <c r="C8" s="10" t="inlineStr">
        <is>
          <t>$</t>
        </is>
      </c>
      <c r="E8" s="18" t="n">
        <v>0</v>
      </c>
      <c r="F8" s="18">
        <f>IDC_CashFundedPct_f*F7</f>
        <v/>
      </c>
      <c r="G8" s="18">
        <f>IDC_CashFundedPct_f*G7</f>
        <v/>
      </c>
      <c r="H8" s="18">
        <f>IDC_CashFundedPct_f*H7</f>
        <v/>
      </c>
      <c r="I8" s="18">
        <f>IDC_CashFundedPct_f*I7</f>
        <v/>
      </c>
      <c r="J8" s="18">
        <f>IDC_CashFundedPct_f*J7</f>
        <v/>
      </c>
      <c r="K8" s="18">
        <f>IDC_CashFundedPct_f*K7</f>
        <v/>
      </c>
      <c r="L8" s="18">
        <f>IDC_CashFundedPct_f*L7</f>
        <v/>
      </c>
      <c r="M8" s="18">
        <f>IDC_CashFundedPct_f*M7</f>
        <v/>
      </c>
      <c r="N8" s="18">
        <f>IDC_CashFundedPct_f*N7</f>
        <v/>
      </c>
      <c r="O8" s="18">
        <f>IDC_CashFundedPct_f*O7</f>
        <v/>
      </c>
      <c r="P8" s="18">
        <f>IDC_CashFundedPct_f*P7</f>
        <v/>
      </c>
      <c r="Q8" s="18">
        <f>IDC_CashFundedPct_f*Q7</f>
        <v/>
      </c>
      <c r="R8" s="18">
        <f>IDC_CashFundedPct_f*R7</f>
        <v/>
      </c>
      <c r="S8" s="18">
        <f>IDC_CashFundedPct_f*S7</f>
        <v/>
      </c>
      <c r="T8" s="18">
        <f>IDC_CashFundedPct_f*T7</f>
        <v/>
      </c>
      <c r="U8" s="18">
        <f>IDC_CashFundedPct_f*U7</f>
        <v/>
      </c>
      <c r="V8" s="18">
        <f>IDC_CashFundedPct_f*V7</f>
        <v/>
      </c>
      <c r="W8" s="18">
        <f>IDC_CashFundedPct_f*W7</f>
        <v/>
      </c>
      <c r="X8" s="18">
        <f>IDC_CashFundedPct_f*X7</f>
        <v/>
      </c>
      <c r="Y8" s="18">
        <f>IDC_CashFundedPct_f*Y7</f>
        <v/>
      </c>
      <c r="Z8" s="18">
        <f>IDC_CashFundedPct_f*Z7</f>
        <v/>
      </c>
      <c r="AA8" s="18">
        <f>IDC_CashFundedPct_f*AA7</f>
        <v/>
      </c>
      <c r="AB8" s="18">
        <f>IDC_CashFundedPct_f*AB7</f>
        <v/>
      </c>
      <c r="AC8" s="18">
        <f>IDC_CashFundedPct_f*AC7</f>
        <v/>
      </c>
      <c r="AD8" s="18">
        <f>IDC_CashFundedPct_f*AD7</f>
        <v/>
      </c>
      <c r="AE8" s="18">
        <f>IDC_CashFundedPct_f*AE7</f>
        <v/>
      </c>
      <c r="AF8" s="18">
        <f>IDC_CashFundedPct_f*AF7</f>
        <v/>
      </c>
      <c r="AG8" s="18">
        <f>IDC_CashFundedPct_f*AG7</f>
        <v/>
      </c>
      <c r="AH8" s="18">
        <f>IDC_CashFundedPct_f*AH7</f>
        <v/>
      </c>
      <c r="AI8" s="18">
        <f>IDC_CashFundedPct_f*AI7</f>
        <v/>
      </c>
      <c r="AJ8" s="18">
        <f>IDC_CashFundedPct_f*AJ7</f>
        <v/>
      </c>
      <c r="AK8" s="18">
        <f>IDC_CashFundedPct_f*AK7</f>
        <v/>
      </c>
      <c r="AL8" s="18">
        <f>IDC_CashFundedPct_f*AL7</f>
        <v/>
      </c>
      <c r="AM8" s="18">
        <f>IDC_CashFundedPct_f*AM7</f>
        <v/>
      </c>
      <c r="AN8" s="18">
        <f>IDC_CashFundedPct_f*AN7</f>
        <v/>
      </c>
      <c r="AO8" s="18">
        <f>IDC_CashFundedPct_f*AO7</f>
        <v/>
      </c>
      <c r="AP8" s="18">
        <f>IDC_CashFundedPct_f*AP7</f>
        <v/>
      </c>
      <c r="AQ8" s="18">
        <f>IDC_CashFundedPct_f*AQ7</f>
        <v/>
      </c>
      <c r="AR8" s="18">
        <f>IDC_CashFundedPct_f*AR7</f>
        <v/>
      </c>
      <c r="AS8" s="18">
        <f>IDC_CashFundedPct_f*AS7</f>
        <v/>
      </c>
      <c r="AT8" s="18">
        <f>IDC_CashFundedPct_f*AT7</f>
        <v/>
      </c>
      <c r="AU8" s="18">
        <f>IDC_CashFundedPct_f*AU7</f>
        <v/>
      </c>
      <c r="AV8" s="18">
        <f>IDC_CashFundedPct_f*AV7</f>
        <v/>
      </c>
      <c r="AW8" s="18">
        <f>IDC_CashFundedPct_f*AW7</f>
        <v/>
      </c>
      <c r="AX8" s="18">
        <f>IDC_CashFundedPct_f*AX7</f>
        <v/>
      </c>
      <c r="AY8" s="18">
        <f>IDC_CashFundedPct_f*AY7</f>
        <v/>
      </c>
      <c r="AZ8" s="18">
        <f>IDC_CashFundedPct_f*AZ7</f>
        <v/>
      </c>
      <c r="BA8" s="18">
        <f>IDC_CashFundedPct_f*BA7</f>
        <v/>
      </c>
      <c r="BB8" s="18">
        <f>IDC_CashFundedPct_f*BB7</f>
        <v/>
      </c>
      <c r="BC8" s="18">
        <f>IDC_CashFundedPct_f*BC7</f>
        <v/>
      </c>
      <c r="BD8" s="18">
        <f>IDC_CashFundedPct_f*BD7</f>
        <v/>
      </c>
      <c r="BE8" s="18">
        <f>IDC_CashFundedPct_f*BE7</f>
        <v/>
      </c>
      <c r="BF8" s="18">
        <f>IDC_CashFundedPct_f*BF7</f>
        <v/>
      </c>
      <c r="BG8" s="18">
        <f>IDC_CashFundedPct_f*BG7</f>
        <v/>
      </c>
    </row>
    <row r="9">
      <c r="A9" t="inlineStr">
        <is>
          <t xml:space="preserve">  IDC capitalised ((1-f)·I)</t>
        </is>
      </c>
      <c r="C9" s="10" t="inlineStr">
        <is>
          <t>$</t>
        </is>
      </c>
      <c r="E9" s="18" t="n">
        <v>0</v>
      </c>
      <c r="F9" s="18">
        <f>(1-IDC_CashFundedPct_f)*F7</f>
        <v/>
      </c>
      <c r="G9" s="18">
        <f>(1-IDC_CashFundedPct_f)*G7</f>
        <v/>
      </c>
      <c r="H9" s="18">
        <f>(1-IDC_CashFundedPct_f)*H7</f>
        <v/>
      </c>
      <c r="I9" s="18">
        <f>(1-IDC_CashFundedPct_f)*I7</f>
        <v/>
      </c>
      <c r="J9" s="18">
        <f>(1-IDC_CashFundedPct_f)*J7</f>
        <v/>
      </c>
      <c r="K9" s="18">
        <f>(1-IDC_CashFundedPct_f)*K7</f>
        <v/>
      </c>
      <c r="L9" s="18">
        <f>(1-IDC_CashFundedPct_f)*L7</f>
        <v/>
      </c>
      <c r="M9" s="18">
        <f>(1-IDC_CashFundedPct_f)*M7</f>
        <v/>
      </c>
      <c r="N9" s="18">
        <f>(1-IDC_CashFundedPct_f)*N7</f>
        <v/>
      </c>
      <c r="O9" s="18">
        <f>(1-IDC_CashFundedPct_f)*O7</f>
        <v/>
      </c>
      <c r="P9" s="18">
        <f>(1-IDC_CashFundedPct_f)*P7</f>
        <v/>
      </c>
      <c r="Q9" s="18">
        <f>(1-IDC_CashFundedPct_f)*Q7</f>
        <v/>
      </c>
      <c r="R9" s="18">
        <f>(1-IDC_CashFundedPct_f)*R7</f>
        <v/>
      </c>
      <c r="S9" s="18">
        <f>(1-IDC_CashFundedPct_f)*S7</f>
        <v/>
      </c>
      <c r="T9" s="18">
        <f>(1-IDC_CashFundedPct_f)*T7</f>
        <v/>
      </c>
      <c r="U9" s="18">
        <f>(1-IDC_CashFundedPct_f)*U7</f>
        <v/>
      </c>
      <c r="V9" s="18">
        <f>(1-IDC_CashFundedPct_f)*V7</f>
        <v/>
      </c>
      <c r="W9" s="18">
        <f>(1-IDC_CashFundedPct_f)*W7</f>
        <v/>
      </c>
      <c r="X9" s="18">
        <f>(1-IDC_CashFundedPct_f)*X7</f>
        <v/>
      </c>
      <c r="Y9" s="18">
        <f>(1-IDC_CashFundedPct_f)*Y7</f>
        <v/>
      </c>
      <c r="Z9" s="18">
        <f>(1-IDC_CashFundedPct_f)*Z7</f>
        <v/>
      </c>
      <c r="AA9" s="18">
        <f>(1-IDC_CashFundedPct_f)*AA7</f>
        <v/>
      </c>
      <c r="AB9" s="18">
        <f>(1-IDC_CashFundedPct_f)*AB7</f>
        <v/>
      </c>
      <c r="AC9" s="18">
        <f>(1-IDC_CashFundedPct_f)*AC7</f>
        <v/>
      </c>
      <c r="AD9" s="18">
        <f>(1-IDC_CashFundedPct_f)*AD7</f>
        <v/>
      </c>
      <c r="AE9" s="18">
        <f>(1-IDC_CashFundedPct_f)*AE7</f>
        <v/>
      </c>
      <c r="AF9" s="18">
        <f>(1-IDC_CashFundedPct_f)*AF7</f>
        <v/>
      </c>
      <c r="AG9" s="18">
        <f>(1-IDC_CashFundedPct_f)*AG7</f>
        <v/>
      </c>
      <c r="AH9" s="18">
        <f>(1-IDC_CashFundedPct_f)*AH7</f>
        <v/>
      </c>
      <c r="AI9" s="18">
        <f>(1-IDC_CashFundedPct_f)*AI7</f>
        <v/>
      </c>
      <c r="AJ9" s="18">
        <f>(1-IDC_CashFundedPct_f)*AJ7</f>
        <v/>
      </c>
      <c r="AK9" s="18">
        <f>(1-IDC_CashFundedPct_f)*AK7</f>
        <v/>
      </c>
      <c r="AL9" s="18">
        <f>(1-IDC_CashFundedPct_f)*AL7</f>
        <v/>
      </c>
      <c r="AM9" s="18">
        <f>(1-IDC_CashFundedPct_f)*AM7</f>
        <v/>
      </c>
      <c r="AN9" s="18">
        <f>(1-IDC_CashFundedPct_f)*AN7</f>
        <v/>
      </c>
      <c r="AO9" s="18">
        <f>(1-IDC_CashFundedPct_f)*AO7</f>
        <v/>
      </c>
      <c r="AP9" s="18">
        <f>(1-IDC_CashFundedPct_f)*AP7</f>
        <v/>
      </c>
      <c r="AQ9" s="18">
        <f>(1-IDC_CashFundedPct_f)*AQ7</f>
        <v/>
      </c>
      <c r="AR9" s="18">
        <f>(1-IDC_CashFundedPct_f)*AR7</f>
        <v/>
      </c>
      <c r="AS9" s="18">
        <f>(1-IDC_CashFundedPct_f)*AS7</f>
        <v/>
      </c>
      <c r="AT9" s="18">
        <f>(1-IDC_CashFundedPct_f)*AT7</f>
        <v/>
      </c>
      <c r="AU9" s="18">
        <f>(1-IDC_CashFundedPct_f)*AU7</f>
        <v/>
      </c>
      <c r="AV9" s="18">
        <f>(1-IDC_CashFundedPct_f)*AV7</f>
        <v/>
      </c>
      <c r="AW9" s="18">
        <f>(1-IDC_CashFundedPct_f)*AW7</f>
        <v/>
      </c>
      <c r="AX9" s="18">
        <f>(1-IDC_CashFundedPct_f)*AX7</f>
        <v/>
      </c>
      <c r="AY9" s="18">
        <f>(1-IDC_CashFundedPct_f)*AY7</f>
        <v/>
      </c>
      <c r="AZ9" s="18">
        <f>(1-IDC_CashFundedPct_f)*AZ7</f>
        <v/>
      </c>
      <c r="BA9" s="18">
        <f>(1-IDC_CashFundedPct_f)*BA7</f>
        <v/>
      </c>
      <c r="BB9" s="18">
        <f>(1-IDC_CashFundedPct_f)*BB7</f>
        <v/>
      </c>
      <c r="BC9" s="18">
        <f>(1-IDC_CashFundedPct_f)*BC7</f>
        <v/>
      </c>
      <c r="BD9" s="18">
        <f>(1-IDC_CashFundedPct_f)*BD7</f>
        <v/>
      </c>
      <c r="BE9" s="18">
        <f>(1-IDC_CashFundedPct_f)*BE7</f>
        <v/>
      </c>
      <c r="BF9" s="18">
        <f>(1-IDC_CashFundedPct_f)*BF7</f>
        <v/>
      </c>
      <c r="BG9" s="18">
        <f>(1-IDC_CashFundedPct_f)*BG7</f>
        <v/>
      </c>
    </row>
    <row r="10">
      <c r="A10" t="inlineStr">
        <is>
          <t>Construction debt — closing</t>
        </is>
      </c>
      <c r="C10" s="10" t="inlineStr">
        <is>
          <t>$</t>
        </is>
      </c>
      <c r="E10" s="18" t="n">
        <v>0</v>
      </c>
      <c r="F10" s="18">
        <f>F6+F4+F9</f>
        <v/>
      </c>
      <c r="G10" s="18">
        <f>G6+G4+G9</f>
        <v/>
      </c>
      <c r="H10" s="18">
        <f>H6+H4+H9</f>
        <v/>
      </c>
      <c r="I10" s="18">
        <f>I6+I4+I9</f>
        <v/>
      </c>
      <c r="J10" s="18">
        <f>J6+J4+J9</f>
        <v/>
      </c>
      <c r="K10" s="18">
        <f>K6+K4+K9</f>
        <v/>
      </c>
      <c r="L10" s="18">
        <f>L6+L4+L9</f>
        <v/>
      </c>
      <c r="M10" s="18">
        <f>M6+M4+M9</f>
        <v/>
      </c>
      <c r="N10" s="18">
        <f>N6+N4+N9</f>
        <v/>
      </c>
      <c r="O10" s="18">
        <f>O6+O4+O9</f>
        <v/>
      </c>
      <c r="P10" s="18">
        <f>P6+P4+P9</f>
        <v/>
      </c>
      <c r="Q10" s="18">
        <f>Q6+Q4+Q9</f>
        <v/>
      </c>
      <c r="R10" s="18">
        <f>R6+R4+R9</f>
        <v/>
      </c>
      <c r="S10" s="18">
        <f>S6+S4+S9</f>
        <v/>
      </c>
      <c r="T10" s="18">
        <f>T6+T4+T9</f>
        <v/>
      </c>
      <c r="U10" s="18">
        <f>U6+U4+U9</f>
        <v/>
      </c>
      <c r="V10" s="18">
        <f>V6+V4+V9</f>
        <v/>
      </c>
      <c r="W10" s="18">
        <f>W6+W4+W9</f>
        <v/>
      </c>
      <c r="X10" s="18">
        <f>X6+X4+X9</f>
        <v/>
      </c>
      <c r="Y10" s="18">
        <f>Y6+Y4+Y9</f>
        <v/>
      </c>
      <c r="Z10" s="18">
        <f>Z6+Z4+Z9</f>
        <v/>
      </c>
      <c r="AA10" s="18">
        <f>AA6+AA4+AA9</f>
        <v/>
      </c>
      <c r="AB10" s="18">
        <f>AB6+AB4+AB9</f>
        <v/>
      </c>
      <c r="AC10" s="18">
        <f>AC6+AC4+AC9</f>
        <v/>
      </c>
      <c r="AD10" s="18">
        <f>AD6+AD4+AD9</f>
        <v/>
      </c>
      <c r="AE10" s="18">
        <f>AE6+AE4+AE9</f>
        <v/>
      </c>
      <c r="AF10" s="18">
        <f>AF6+AF4+AF9</f>
        <v/>
      </c>
      <c r="AG10" s="18">
        <f>AG6+AG4+AG9</f>
        <v/>
      </c>
      <c r="AH10" s="18">
        <f>AH6+AH4+AH9</f>
        <v/>
      </c>
      <c r="AI10" s="18">
        <f>AI6+AI4+AI9</f>
        <v/>
      </c>
      <c r="AJ10" s="18">
        <f>AJ6+AJ4+AJ9</f>
        <v/>
      </c>
      <c r="AK10" s="18">
        <f>AK6+AK4+AK9</f>
        <v/>
      </c>
      <c r="AL10" s="18">
        <f>AL6+AL4+AL9</f>
        <v/>
      </c>
      <c r="AM10" s="18">
        <f>AM6+AM4+AM9</f>
        <v/>
      </c>
      <c r="AN10" s="18">
        <f>AN6+AN4+AN9</f>
        <v/>
      </c>
      <c r="AO10" s="18">
        <f>AO6+AO4+AO9</f>
        <v/>
      </c>
      <c r="AP10" s="18">
        <f>AP6+AP4+AP9</f>
        <v/>
      </c>
      <c r="AQ10" s="18">
        <f>AQ6+AQ4+AQ9</f>
        <v/>
      </c>
      <c r="AR10" s="18">
        <f>AR6+AR4+AR9</f>
        <v/>
      </c>
      <c r="AS10" s="18">
        <f>AS6+AS4+AS9</f>
        <v/>
      </c>
      <c r="AT10" s="18">
        <f>AT6+AT4+AT9</f>
        <v/>
      </c>
      <c r="AU10" s="18">
        <f>AU6+AU4+AU9</f>
        <v/>
      </c>
      <c r="AV10" s="18">
        <f>AV6+AV4+AV9</f>
        <v/>
      </c>
      <c r="AW10" s="18">
        <f>AW6+AW4+AW9</f>
        <v/>
      </c>
      <c r="AX10" s="18">
        <f>AX6+AX4+AX9</f>
        <v/>
      </c>
      <c r="AY10" s="18">
        <f>AY6+AY4+AY9</f>
        <v/>
      </c>
      <c r="AZ10" s="18">
        <f>AZ6+AZ4+AZ9</f>
        <v/>
      </c>
      <c r="BA10" s="18">
        <f>BA6+BA4+BA9</f>
        <v/>
      </c>
      <c r="BB10" s="18">
        <f>BB6+BB4+BB9</f>
        <v/>
      </c>
      <c r="BC10" s="18">
        <f>BC6+BC4+BC9</f>
        <v/>
      </c>
      <c r="BD10" s="18">
        <f>BD6+BD4+BD9</f>
        <v/>
      </c>
      <c r="BE10" s="18">
        <f>BE6+BE4+BE9</f>
        <v/>
      </c>
      <c r="BF10" s="18">
        <f>BF6+BF4+BF9</f>
        <v/>
      </c>
      <c r="BG10" s="18">
        <f>BG6+BG4+BG9</f>
        <v/>
      </c>
    </row>
    <row r="11">
      <c r="A11" t="inlineStr">
        <is>
          <t>Cumulative capex + capitalised IDC</t>
        </is>
      </c>
      <c r="C11" s="10" t="inlineStr">
        <is>
          <t>$</t>
        </is>
      </c>
      <c r="E11" s="18" t="n">
        <v>0</v>
      </c>
      <c r="F11" s="18">
        <f>E11+F3+F9</f>
        <v/>
      </c>
      <c r="G11" s="18">
        <f>F11+G3+G9</f>
        <v/>
      </c>
      <c r="H11" s="18">
        <f>G11+H3+H9</f>
        <v/>
      </c>
      <c r="I11" s="18">
        <f>H11+I3+I9</f>
        <v/>
      </c>
      <c r="J11" s="18">
        <f>I11+J3+J9</f>
        <v/>
      </c>
      <c r="K11" s="18">
        <f>J11+K3+K9</f>
        <v/>
      </c>
      <c r="L11" s="18">
        <f>K11+L3+L9</f>
        <v/>
      </c>
      <c r="M11" s="18">
        <f>L11+M3+M9</f>
        <v/>
      </c>
      <c r="N11" s="18">
        <f>M11+N3+N9</f>
        <v/>
      </c>
      <c r="O11" s="18">
        <f>N11+O3+O9</f>
        <v/>
      </c>
      <c r="P11" s="18">
        <f>O11+P3+P9</f>
        <v/>
      </c>
      <c r="Q11" s="18">
        <f>P11+Q3+Q9</f>
        <v/>
      </c>
      <c r="R11" s="18">
        <f>Q11+R3+R9</f>
        <v/>
      </c>
      <c r="S11" s="18">
        <f>R11+S3+S9</f>
        <v/>
      </c>
      <c r="T11" s="18">
        <f>S11+T3+T9</f>
        <v/>
      </c>
      <c r="U11" s="18">
        <f>T11+U3+U9</f>
        <v/>
      </c>
      <c r="V11" s="18">
        <f>U11+V3+V9</f>
        <v/>
      </c>
      <c r="W11" s="18">
        <f>V11+W3+W9</f>
        <v/>
      </c>
      <c r="X11" s="18">
        <f>W11+X3+X9</f>
        <v/>
      </c>
      <c r="Y11" s="18">
        <f>X11+Y3+Y9</f>
        <v/>
      </c>
      <c r="Z11" s="18">
        <f>Y11+Z3+Z9</f>
        <v/>
      </c>
      <c r="AA11" s="18">
        <f>Z11+AA3+AA9</f>
        <v/>
      </c>
      <c r="AB11" s="18">
        <f>AA11+AB3+AB9</f>
        <v/>
      </c>
      <c r="AC11" s="18">
        <f>AB11+AC3+AC9</f>
        <v/>
      </c>
      <c r="AD11" s="18">
        <f>AC11+AD3+AD9</f>
        <v/>
      </c>
      <c r="AE11" s="18">
        <f>AD11+AE3+AE9</f>
        <v/>
      </c>
      <c r="AF11" s="18">
        <f>AE11+AF3+AF9</f>
        <v/>
      </c>
      <c r="AG11" s="18">
        <f>AF11+AG3+AG9</f>
        <v/>
      </c>
      <c r="AH11" s="18">
        <f>AG11+AH3+AH9</f>
        <v/>
      </c>
      <c r="AI11" s="18">
        <f>AH11+AI3+AI9</f>
        <v/>
      </c>
      <c r="AJ11" s="18">
        <f>AI11+AJ3+AJ9</f>
        <v/>
      </c>
      <c r="AK11" s="18">
        <f>AJ11+AK3+AK9</f>
        <v/>
      </c>
      <c r="AL11" s="18">
        <f>AK11+AL3+AL9</f>
        <v/>
      </c>
      <c r="AM11" s="18">
        <f>AL11+AM3+AM9</f>
        <v/>
      </c>
      <c r="AN11" s="18">
        <f>AM11+AN3+AN9</f>
        <v/>
      </c>
      <c r="AO11" s="18">
        <f>AN11+AO3+AO9</f>
        <v/>
      </c>
      <c r="AP11" s="18">
        <f>AO11+AP3+AP9</f>
        <v/>
      </c>
      <c r="AQ11" s="18">
        <f>AP11+AQ3+AQ9</f>
        <v/>
      </c>
      <c r="AR11" s="18">
        <f>AQ11+AR3+AR9</f>
        <v/>
      </c>
      <c r="AS11" s="18">
        <f>AR11+AS3+AS9</f>
        <v/>
      </c>
      <c r="AT11" s="18">
        <f>AS11+AT3+AT9</f>
        <v/>
      </c>
      <c r="AU11" s="18">
        <f>AT11+AU3+AU9</f>
        <v/>
      </c>
      <c r="AV11" s="18">
        <f>AU11+AV3+AV9</f>
        <v/>
      </c>
      <c r="AW11" s="18">
        <f>AV11+AW3+AW9</f>
        <v/>
      </c>
      <c r="AX11" s="18">
        <f>AW11+AX3+AX9</f>
        <v/>
      </c>
      <c r="AY11" s="18">
        <f>AX11+AY3+AY9</f>
        <v/>
      </c>
      <c r="AZ11" s="18">
        <f>AY11+AZ3+AZ9</f>
        <v/>
      </c>
      <c r="BA11" s="18">
        <f>AZ11+BA3+BA9</f>
        <v/>
      </c>
      <c r="BB11" s="18">
        <f>BA11+BB3+BB9</f>
        <v/>
      </c>
      <c r="BC11" s="18">
        <f>BB11+BC3+BC9</f>
        <v/>
      </c>
      <c r="BD11" s="18">
        <f>BC11+BD3+BD9</f>
        <v/>
      </c>
      <c r="BE11" s="18">
        <f>BD11+BE3+BE9</f>
        <v/>
      </c>
      <c r="BF11" s="18">
        <f>BE11+BF3+BF9</f>
        <v/>
      </c>
      <c r="BG11" s="18">
        <f>BF11+BG3+BG9</f>
        <v/>
      </c>
    </row>
    <row r="12">
      <c r="A12" t="inlineStr">
        <is>
          <t>PP&amp;E addition (capex + cap. IDC)</t>
        </is>
      </c>
      <c r="C12" s="10" t="inlineStr">
        <is>
          <t>$</t>
        </is>
      </c>
      <c r="E12" s="18" t="n">
        <v>0</v>
      </c>
      <c r="F12" s="18">
        <f>F3+F9</f>
        <v/>
      </c>
      <c r="G12" s="18">
        <f>G3+G9</f>
        <v/>
      </c>
      <c r="H12" s="18">
        <f>H3+H9</f>
        <v/>
      </c>
      <c r="I12" s="18">
        <f>I3+I9</f>
        <v/>
      </c>
      <c r="J12" s="18">
        <f>J3+J9</f>
        <v/>
      </c>
      <c r="K12" s="18">
        <f>K3+K9</f>
        <v/>
      </c>
      <c r="L12" s="18">
        <f>L3+L9</f>
        <v/>
      </c>
      <c r="M12" s="18">
        <f>M3+M9</f>
        <v/>
      </c>
      <c r="N12" s="18">
        <f>N3+N9</f>
        <v/>
      </c>
      <c r="O12" s="18">
        <f>O3+O9</f>
        <v/>
      </c>
      <c r="P12" s="18">
        <f>P3+P9</f>
        <v/>
      </c>
      <c r="Q12" s="18">
        <f>Q3+Q9</f>
        <v/>
      </c>
      <c r="R12" s="18">
        <f>R3+R9</f>
        <v/>
      </c>
      <c r="S12" s="18">
        <f>S3+S9</f>
        <v/>
      </c>
      <c r="T12" s="18">
        <f>T3+T9</f>
        <v/>
      </c>
      <c r="U12" s="18">
        <f>U3+U9</f>
        <v/>
      </c>
      <c r="V12" s="18">
        <f>V3+V9</f>
        <v/>
      </c>
      <c r="W12" s="18">
        <f>W3+W9</f>
        <v/>
      </c>
      <c r="X12" s="18">
        <f>X3+X9</f>
        <v/>
      </c>
      <c r="Y12" s="18">
        <f>Y3+Y9</f>
        <v/>
      </c>
      <c r="Z12" s="18">
        <f>Z3+Z9</f>
        <v/>
      </c>
      <c r="AA12" s="18">
        <f>AA3+AA9</f>
        <v/>
      </c>
      <c r="AB12" s="18">
        <f>AB3+AB9</f>
        <v/>
      </c>
      <c r="AC12" s="18">
        <f>AC3+AC9</f>
        <v/>
      </c>
      <c r="AD12" s="18">
        <f>AD3+AD9</f>
        <v/>
      </c>
      <c r="AE12" s="18">
        <f>AE3+AE9</f>
        <v/>
      </c>
      <c r="AF12" s="18">
        <f>AF3+AF9</f>
        <v/>
      </c>
      <c r="AG12" s="18">
        <f>AG3+AG9</f>
        <v/>
      </c>
      <c r="AH12" s="18">
        <f>AH3+AH9</f>
        <v/>
      </c>
      <c r="AI12" s="18">
        <f>AI3+AI9</f>
        <v/>
      </c>
      <c r="AJ12" s="18">
        <f>AJ3+AJ9</f>
        <v/>
      </c>
      <c r="AK12" s="18">
        <f>AK3+AK9</f>
        <v/>
      </c>
      <c r="AL12" s="18">
        <f>AL3+AL9</f>
        <v/>
      </c>
      <c r="AM12" s="18">
        <f>AM3+AM9</f>
        <v/>
      </c>
      <c r="AN12" s="18">
        <f>AN3+AN9</f>
        <v/>
      </c>
      <c r="AO12" s="18">
        <f>AO3+AO9</f>
        <v/>
      </c>
      <c r="AP12" s="18">
        <f>AP3+AP9</f>
        <v/>
      </c>
      <c r="AQ12" s="18">
        <f>AQ3+AQ9</f>
        <v/>
      </c>
      <c r="AR12" s="18">
        <f>AR3+AR9</f>
        <v/>
      </c>
      <c r="AS12" s="18">
        <f>AS3+AS9</f>
        <v/>
      </c>
      <c r="AT12" s="18">
        <f>AT3+AT9</f>
        <v/>
      </c>
      <c r="AU12" s="18">
        <f>AU3+AU9</f>
        <v/>
      </c>
      <c r="AV12" s="18">
        <f>AV3+AV9</f>
        <v/>
      </c>
      <c r="AW12" s="18">
        <f>AW3+AW9</f>
        <v/>
      </c>
      <c r="AX12" s="18">
        <f>AX3+AX9</f>
        <v/>
      </c>
      <c r="AY12" s="18">
        <f>AY3+AY9</f>
        <v/>
      </c>
      <c r="AZ12" s="18">
        <f>AZ3+AZ9</f>
        <v/>
      </c>
      <c r="BA12" s="18">
        <f>BA3+BA9</f>
        <v/>
      </c>
      <c r="BB12" s="18">
        <f>BB3+BB9</f>
        <v/>
      </c>
      <c r="BC12" s="18">
        <f>BC3+BC9</f>
        <v/>
      </c>
      <c r="BD12" s="18">
        <f>BD3+BD9</f>
        <v/>
      </c>
      <c r="BE12" s="18">
        <f>BE3+BE9</f>
        <v/>
      </c>
      <c r="BF12" s="18">
        <f>BF3+BF9</f>
        <v/>
      </c>
      <c r="BG12" s="18">
        <f>BG3+BG9</f>
        <v/>
      </c>
    </row>
    <row r="13">
      <c r="A13" s="10" t="inlineStr">
        <is>
          <t>IDC (mid-period): I = r·(open + draw/2) / (1 − r·(1−f)/2)  — algebraically isolated, non-circular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G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PRODUCTION &amp; REVENUE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Gross output (nameplate × CF × avail)</t>
        </is>
      </c>
      <c r="C3" s="10" t="inlineStr">
        <is>
          <t>kg</t>
        </is>
      </c>
      <c r="E3" s="18" t="n">
        <v>0</v>
      </c>
      <c r="F3" s="18">
        <f>TM!F8*CapacityMW*1000*4383.0*CapacityFactor*Availability/Efficiency</f>
        <v/>
      </c>
      <c r="G3" s="18">
        <f>TM!G8*CapacityMW*1000*4383.0*CapacityFactor*Availability/Efficiency</f>
        <v/>
      </c>
      <c r="H3" s="18">
        <f>TM!H8*CapacityMW*1000*4383.0*CapacityFactor*Availability/Efficiency</f>
        <v/>
      </c>
      <c r="I3" s="18">
        <f>TM!I8*CapacityMW*1000*4383.0*CapacityFactor*Availability/Efficiency</f>
        <v/>
      </c>
      <c r="J3" s="18">
        <f>TM!J8*CapacityMW*1000*4383.0*CapacityFactor*Availability/Efficiency</f>
        <v/>
      </c>
      <c r="K3" s="18">
        <f>TM!K8*CapacityMW*1000*4383.0*CapacityFactor*Availability/Efficiency</f>
        <v/>
      </c>
      <c r="L3" s="18">
        <f>TM!L8*CapacityMW*1000*4383.0*CapacityFactor*Availability/Efficiency</f>
        <v/>
      </c>
      <c r="M3" s="18">
        <f>TM!M8*CapacityMW*1000*4383.0*CapacityFactor*Availability/Efficiency</f>
        <v/>
      </c>
      <c r="N3" s="18">
        <f>TM!N8*CapacityMW*1000*4383.0*CapacityFactor*Availability/Efficiency</f>
        <v/>
      </c>
      <c r="O3" s="18">
        <f>TM!O8*CapacityMW*1000*4383.0*CapacityFactor*Availability/Efficiency</f>
        <v/>
      </c>
      <c r="P3" s="18">
        <f>TM!P8*CapacityMW*1000*4383.0*CapacityFactor*Availability/Efficiency</f>
        <v/>
      </c>
      <c r="Q3" s="18">
        <f>TM!Q8*CapacityMW*1000*4383.0*CapacityFactor*Availability/Efficiency</f>
        <v/>
      </c>
      <c r="R3" s="18">
        <f>TM!R8*CapacityMW*1000*4383.0*CapacityFactor*Availability/Efficiency</f>
        <v/>
      </c>
      <c r="S3" s="18">
        <f>TM!S8*CapacityMW*1000*4383.0*CapacityFactor*Availability/Efficiency</f>
        <v/>
      </c>
      <c r="T3" s="18">
        <f>TM!T8*CapacityMW*1000*4383.0*CapacityFactor*Availability/Efficiency</f>
        <v/>
      </c>
      <c r="U3" s="18">
        <f>TM!U8*CapacityMW*1000*4383.0*CapacityFactor*Availability/Efficiency</f>
        <v/>
      </c>
      <c r="V3" s="18">
        <f>TM!V8*CapacityMW*1000*4383.0*CapacityFactor*Availability/Efficiency</f>
        <v/>
      </c>
      <c r="W3" s="18">
        <f>TM!W8*CapacityMW*1000*4383.0*CapacityFactor*Availability/Efficiency</f>
        <v/>
      </c>
      <c r="X3" s="18">
        <f>TM!X8*CapacityMW*1000*4383.0*CapacityFactor*Availability/Efficiency</f>
        <v/>
      </c>
      <c r="Y3" s="18">
        <f>TM!Y8*CapacityMW*1000*4383.0*CapacityFactor*Availability/Efficiency</f>
        <v/>
      </c>
      <c r="Z3" s="18">
        <f>TM!Z8*CapacityMW*1000*4383.0*CapacityFactor*Availability/Efficiency</f>
        <v/>
      </c>
      <c r="AA3" s="18">
        <f>TM!AA8*CapacityMW*1000*4383.0*CapacityFactor*Availability/Efficiency</f>
        <v/>
      </c>
      <c r="AB3" s="18">
        <f>TM!AB8*CapacityMW*1000*4383.0*CapacityFactor*Availability/Efficiency</f>
        <v/>
      </c>
      <c r="AC3" s="18">
        <f>TM!AC8*CapacityMW*1000*4383.0*CapacityFactor*Availability/Efficiency</f>
        <v/>
      </c>
      <c r="AD3" s="18">
        <f>TM!AD8*CapacityMW*1000*4383.0*CapacityFactor*Availability/Efficiency</f>
        <v/>
      </c>
      <c r="AE3" s="18">
        <f>TM!AE8*CapacityMW*1000*4383.0*CapacityFactor*Availability/Efficiency</f>
        <v/>
      </c>
      <c r="AF3" s="18">
        <f>TM!AF8*CapacityMW*1000*4383.0*CapacityFactor*Availability/Efficiency</f>
        <v/>
      </c>
      <c r="AG3" s="18">
        <f>TM!AG8*CapacityMW*1000*4383.0*CapacityFactor*Availability/Efficiency</f>
        <v/>
      </c>
      <c r="AH3" s="18">
        <f>TM!AH8*CapacityMW*1000*4383.0*CapacityFactor*Availability/Efficiency</f>
        <v/>
      </c>
      <c r="AI3" s="18">
        <f>TM!AI8*CapacityMW*1000*4383.0*CapacityFactor*Availability/Efficiency</f>
        <v/>
      </c>
      <c r="AJ3" s="18">
        <f>TM!AJ8*CapacityMW*1000*4383.0*CapacityFactor*Availability/Efficiency</f>
        <v/>
      </c>
      <c r="AK3" s="18">
        <f>TM!AK8*CapacityMW*1000*4383.0*CapacityFactor*Availability/Efficiency</f>
        <v/>
      </c>
      <c r="AL3" s="18">
        <f>TM!AL8*CapacityMW*1000*4383.0*CapacityFactor*Availability/Efficiency</f>
        <v/>
      </c>
      <c r="AM3" s="18">
        <f>TM!AM8*CapacityMW*1000*4383.0*CapacityFactor*Availability/Efficiency</f>
        <v/>
      </c>
      <c r="AN3" s="18">
        <f>TM!AN8*CapacityMW*1000*4383.0*CapacityFactor*Availability/Efficiency</f>
        <v/>
      </c>
      <c r="AO3" s="18">
        <f>TM!AO8*CapacityMW*1000*4383.0*CapacityFactor*Availability/Efficiency</f>
        <v/>
      </c>
      <c r="AP3" s="18">
        <f>TM!AP8*CapacityMW*1000*4383.0*CapacityFactor*Availability/Efficiency</f>
        <v/>
      </c>
      <c r="AQ3" s="18">
        <f>TM!AQ8*CapacityMW*1000*4383.0*CapacityFactor*Availability/Efficiency</f>
        <v/>
      </c>
      <c r="AR3" s="18">
        <f>TM!AR8*CapacityMW*1000*4383.0*CapacityFactor*Availability/Efficiency</f>
        <v/>
      </c>
      <c r="AS3" s="18">
        <f>TM!AS8*CapacityMW*1000*4383.0*CapacityFactor*Availability/Efficiency</f>
        <v/>
      </c>
      <c r="AT3" s="18">
        <f>TM!AT8*CapacityMW*1000*4383.0*CapacityFactor*Availability/Efficiency</f>
        <v/>
      </c>
      <c r="AU3" s="18">
        <f>TM!AU8*CapacityMW*1000*4383.0*CapacityFactor*Availability/Efficiency</f>
        <v/>
      </c>
      <c r="AV3" s="18">
        <f>TM!AV8*CapacityMW*1000*4383.0*CapacityFactor*Availability/Efficiency</f>
        <v/>
      </c>
      <c r="AW3" s="18">
        <f>TM!AW8*CapacityMW*1000*4383.0*CapacityFactor*Availability/Efficiency</f>
        <v/>
      </c>
      <c r="AX3" s="18">
        <f>TM!AX8*CapacityMW*1000*4383.0*CapacityFactor*Availability/Efficiency</f>
        <v/>
      </c>
      <c r="AY3" s="18">
        <f>TM!AY8*CapacityMW*1000*4383.0*CapacityFactor*Availability/Efficiency</f>
        <v/>
      </c>
      <c r="AZ3" s="18">
        <f>TM!AZ8*CapacityMW*1000*4383.0*CapacityFactor*Availability/Efficiency</f>
        <v/>
      </c>
      <c r="BA3" s="18">
        <f>TM!BA8*CapacityMW*1000*4383.0*CapacityFactor*Availability/Efficiency</f>
        <v/>
      </c>
      <c r="BB3" s="18">
        <f>TM!BB8*CapacityMW*1000*4383.0*CapacityFactor*Availability/Efficiency</f>
        <v/>
      </c>
      <c r="BC3" s="18">
        <f>TM!BC8*CapacityMW*1000*4383.0*CapacityFactor*Availability/Efficiency</f>
        <v/>
      </c>
      <c r="BD3" s="18">
        <f>TM!BD8*CapacityMW*1000*4383.0*CapacityFactor*Availability/Efficiency</f>
        <v/>
      </c>
      <c r="BE3" s="18">
        <f>TM!BE8*CapacityMW*1000*4383.0*CapacityFactor*Availability/Efficiency</f>
        <v/>
      </c>
      <c r="BF3" s="18">
        <f>TM!BF8*CapacityMW*1000*4383.0*CapacityFactor*Availability/Efficiency</f>
        <v/>
      </c>
      <c r="BG3" s="18">
        <f>TM!BG8*CapacityMW*1000*4383.0*CapacityFactor*Availability/Efficiency</f>
        <v/>
      </c>
    </row>
    <row r="4">
      <c r="A4" t="inlineStr">
        <is>
          <t>Degradation factor</t>
        </is>
      </c>
      <c r="C4" s="10" t="inlineStr">
        <is>
          <t>x</t>
        </is>
      </c>
      <c r="E4" s="22" t="n">
        <v>1</v>
      </c>
      <c r="F4" s="22">
        <f>(1-Degradation)^TM!F12</f>
        <v/>
      </c>
      <c r="G4" s="22">
        <f>(1-Degradation)^TM!G12</f>
        <v/>
      </c>
      <c r="H4" s="22">
        <f>(1-Degradation)^TM!H12</f>
        <v/>
      </c>
      <c r="I4" s="22">
        <f>(1-Degradation)^TM!I12</f>
        <v/>
      </c>
      <c r="J4" s="22">
        <f>(1-Degradation)^TM!J12</f>
        <v/>
      </c>
      <c r="K4" s="22">
        <f>(1-Degradation)^TM!K12</f>
        <v/>
      </c>
      <c r="L4" s="22">
        <f>(1-Degradation)^TM!L12</f>
        <v/>
      </c>
      <c r="M4" s="22">
        <f>(1-Degradation)^TM!M12</f>
        <v/>
      </c>
      <c r="N4" s="22">
        <f>(1-Degradation)^TM!N12</f>
        <v/>
      </c>
      <c r="O4" s="22">
        <f>(1-Degradation)^TM!O12</f>
        <v/>
      </c>
      <c r="P4" s="22">
        <f>(1-Degradation)^TM!P12</f>
        <v/>
      </c>
      <c r="Q4" s="22">
        <f>(1-Degradation)^TM!Q12</f>
        <v/>
      </c>
      <c r="R4" s="22">
        <f>(1-Degradation)^TM!R12</f>
        <v/>
      </c>
      <c r="S4" s="22">
        <f>(1-Degradation)^TM!S12</f>
        <v/>
      </c>
      <c r="T4" s="22">
        <f>(1-Degradation)^TM!T12</f>
        <v/>
      </c>
      <c r="U4" s="22">
        <f>(1-Degradation)^TM!U12</f>
        <v/>
      </c>
      <c r="V4" s="22">
        <f>(1-Degradation)^TM!V12</f>
        <v/>
      </c>
      <c r="W4" s="22">
        <f>(1-Degradation)^TM!W12</f>
        <v/>
      </c>
      <c r="X4" s="22">
        <f>(1-Degradation)^TM!X12</f>
        <v/>
      </c>
      <c r="Y4" s="22">
        <f>(1-Degradation)^TM!Y12</f>
        <v/>
      </c>
      <c r="Z4" s="22">
        <f>(1-Degradation)^TM!Z12</f>
        <v/>
      </c>
      <c r="AA4" s="22">
        <f>(1-Degradation)^TM!AA12</f>
        <v/>
      </c>
      <c r="AB4" s="22">
        <f>(1-Degradation)^TM!AB12</f>
        <v/>
      </c>
      <c r="AC4" s="22">
        <f>(1-Degradation)^TM!AC12</f>
        <v/>
      </c>
      <c r="AD4" s="22">
        <f>(1-Degradation)^TM!AD12</f>
        <v/>
      </c>
      <c r="AE4" s="22">
        <f>(1-Degradation)^TM!AE12</f>
        <v/>
      </c>
      <c r="AF4" s="22">
        <f>(1-Degradation)^TM!AF12</f>
        <v/>
      </c>
      <c r="AG4" s="22">
        <f>(1-Degradation)^TM!AG12</f>
        <v/>
      </c>
      <c r="AH4" s="22">
        <f>(1-Degradation)^TM!AH12</f>
        <v/>
      </c>
      <c r="AI4" s="22">
        <f>(1-Degradation)^TM!AI12</f>
        <v/>
      </c>
      <c r="AJ4" s="22">
        <f>(1-Degradation)^TM!AJ12</f>
        <v/>
      </c>
      <c r="AK4" s="22">
        <f>(1-Degradation)^TM!AK12</f>
        <v/>
      </c>
      <c r="AL4" s="22">
        <f>(1-Degradation)^TM!AL12</f>
        <v/>
      </c>
      <c r="AM4" s="22">
        <f>(1-Degradation)^TM!AM12</f>
        <v/>
      </c>
      <c r="AN4" s="22">
        <f>(1-Degradation)^TM!AN12</f>
        <v/>
      </c>
      <c r="AO4" s="22">
        <f>(1-Degradation)^TM!AO12</f>
        <v/>
      </c>
      <c r="AP4" s="22">
        <f>(1-Degradation)^TM!AP12</f>
        <v/>
      </c>
      <c r="AQ4" s="22">
        <f>(1-Degradation)^TM!AQ12</f>
        <v/>
      </c>
      <c r="AR4" s="22">
        <f>(1-Degradation)^TM!AR12</f>
        <v/>
      </c>
      <c r="AS4" s="22">
        <f>(1-Degradation)^TM!AS12</f>
        <v/>
      </c>
      <c r="AT4" s="22">
        <f>(1-Degradation)^TM!AT12</f>
        <v/>
      </c>
      <c r="AU4" s="22">
        <f>(1-Degradation)^TM!AU12</f>
        <v/>
      </c>
      <c r="AV4" s="22">
        <f>(1-Degradation)^TM!AV12</f>
        <v/>
      </c>
      <c r="AW4" s="22">
        <f>(1-Degradation)^TM!AW12</f>
        <v/>
      </c>
      <c r="AX4" s="22">
        <f>(1-Degradation)^TM!AX12</f>
        <v/>
      </c>
      <c r="AY4" s="22">
        <f>(1-Degradation)^TM!AY12</f>
        <v/>
      </c>
      <c r="AZ4" s="22">
        <f>(1-Degradation)^TM!AZ12</f>
        <v/>
      </c>
      <c r="BA4" s="22">
        <f>(1-Degradation)^TM!BA12</f>
        <v/>
      </c>
      <c r="BB4" s="22">
        <f>(1-Degradation)^TM!BB12</f>
        <v/>
      </c>
      <c r="BC4" s="22">
        <f>(1-Degradation)^TM!BC12</f>
        <v/>
      </c>
      <c r="BD4" s="22">
        <f>(1-Degradation)^TM!BD12</f>
        <v/>
      </c>
      <c r="BE4" s="22">
        <f>(1-Degradation)^TM!BE12</f>
        <v/>
      </c>
      <c r="BF4" s="22">
        <f>(1-Degradation)^TM!BF12</f>
        <v/>
      </c>
      <c r="BG4" s="22">
        <f>(1-Degradation)^TM!BG12</f>
        <v/>
      </c>
    </row>
    <row r="5">
      <c r="A5" t="inlineStr">
        <is>
          <t>H2 produced</t>
        </is>
      </c>
      <c r="C5" s="10" t="inlineStr">
        <is>
          <t>kg</t>
        </is>
      </c>
      <c r="E5" s="18" t="n">
        <v>0</v>
      </c>
      <c r="F5" s="18">
        <f>F3*F4</f>
        <v/>
      </c>
      <c r="G5" s="18">
        <f>G3*G4</f>
        <v/>
      </c>
      <c r="H5" s="18">
        <f>H3*H4</f>
        <v/>
      </c>
      <c r="I5" s="18">
        <f>I3*I4</f>
        <v/>
      </c>
      <c r="J5" s="18">
        <f>J3*J4</f>
        <v/>
      </c>
      <c r="K5" s="18">
        <f>K3*K4</f>
        <v/>
      </c>
      <c r="L5" s="18">
        <f>L3*L4</f>
        <v/>
      </c>
      <c r="M5" s="18">
        <f>M3*M4</f>
        <v/>
      </c>
      <c r="N5" s="18">
        <f>N3*N4</f>
        <v/>
      </c>
      <c r="O5" s="18">
        <f>O3*O4</f>
        <v/>
      </c>
      <c r="P5" s="18">
        <f>P3*P4</f>
        <v/>
      </c>
      <c r="Q5" s="18">
        <f>Q3*Q4</f>
        <v/>
      </c>
      <c r="R5" s="18">
        <f>R3*R4</f>
        <v/>
      </c>
      <c r="S5" s="18">
        <f>S3*S4</f>
        <v/>
      </c>
      <c r="T5" s="18">
        <f>T3*T4</f>
        <v/>
      </c>
      <c r="U5" s="18">
        <f>U3*U4</f>
        <v/>
      </c>
      <c r="V5" s="18">
        <f>V3*V4</f>
        <v/>
      </c>
      <c r="W5" s="18">
        <f>W3*W4</f>
        <v/>
      </c>
      <c r="X5" s="18">
        <f>X3*X4</f>
        <v/>
      </c>
      <c r="Y5" s="18">
        <f>Y3*Y4</f>
        <v/>
      </c>
      <c r="Z5" s="18">
        <f>Z3*Z4</f>
        <v/>
      </c>
      <c r="AA5" s="18">
        <f>AA3*AA4</f>
        <v/>
      </c>
      <c r="AB5" s="18">
        <f>AB3*AB4</f>
        <v/>
      </c>
      <c r="AC5" s="18">
        <f>AC3*AC4</f>
        <v/>
      </c>
      <c r="AD5" s="18">
        <f>AD3*AD4</f>
        <v/>
      </c>
      <c r="AE5" s="18">
        <f>AE3*AE4</f>
        <v/>
      </c>
      <c r="AF5" s="18">
        <f>AF3*AF4</f>
        <v/>
      </c>
      <c r="AG5" s="18">
        <f>AG3*AG4</f>
        <v/>
      </c>
      <c r="AH5" s="18">
        <f>AH3*AH4</f>
        <v/>
      </c>
      <c r="AI5" s="18">
        <f>AI3*AI4</f>
        <v/>
      </c>
      <c r="AJ5" s="18">
        <f>AJ3*AJ4</f>
        <v/>
      </c>
      <c r="AK5" s="18">
        <f>AK3*AK4</f>
        <v/>
      </c>
      <c r="AL5" s="18">
        <f>AL3*AL4</f>
        <v/>
      </c>
      <c r="AM5" s="18">
        <f>AM3*AM4</f>
        <v/>
      </c>
      <c r="AN5" s="18">
        <f>AN3*AN4</f>
        <v/>
      </c>
      <c r="AO5" s="18">
        <f>AO3*AO4</f>
        <v/>
      </c>
      <c r="AP5" s="18">
        <f>AP3*AP4</f>
        <v/>
      </c>
      <c r="AQ5" s="18">
        <f>AQ3*AQ4</f>
        <v/>
      </c>
      <c r="AR5" s="18">
        <f>AR3*AR4</f>
        <v/>
      </c>
      <c r="AS5" s="18">
        <f>AS3*AS4</f>
        <v/>
      </c>
      <c r="AT5" s="18">
        <f>AT3*AT4</f>
        <v/>
      </c>
      <c r="AU5" s="18">
        <f>AU3*AU4</f>
        <v/>
      </c>
      <c r="AV5" s="18">
        <f>AV3*AV4</f>
        <v/>
      </c>
      <c r="AW5" s="18">
        <f>AW3*AW4</f>
        <v/>
      </c>
      <c r="AX5" s="18">
        <f>AX3*AX4</f>
        <v/>
      </c>
      <c r="AY5" s="18">
        <f>AY3*AY4</f>
        <v/>
      </c>
      <c r="AZ5" s="18">
        <f>AZ3*AZ4</f>
        <v/>
      </c>
      <c r="BA5" s="18">
        <f>BA3*BA4</f>
        <v/>
      </c>
      <c r="BB5" s="18">
        <f>BB3*BB4</f>
        <v/>
      </c>
      <c r="BC5" s="18">
        <f>BC3*BC4</f>
        <v/>
      </c>
      <c r="BD5" s="18">
        <f>BD3*BD4</f>
        <v/>
      </c>
      <c r="BE5" s="18">
        <f>BE3*BE4</f>
        <v/>
      </c>
      <c r="BF5" s="18">
        <f>BF3*BF4</f>
        <v/>
      </c>
      <c r="BG5" s="18">
        <f>BG3*BG4</f>
        <v/>
      </c>
    </row>
    <row r="6">
      <c r="A6" t="inlineStr">
        <is>
          <t>Offtake price (escalated)</t>
        </is>
      </c>
      <c r="C6" s="10" t="inlineStr">
        <is>
          <t>$/kg</t>
        </is>
      </c>
      <c r="E6" s="25" t="n">
        <v>0</v>
      </c>
      <c r="F6" s="25">
        <f>OfftakePrice*TM!F14</f>
        <v/>
      </c>
      <c r="G6" s="25">
        <f>OfftakePrice*TM!G14</f>
        <v/>
      </c>
      <c r="H6" s="25">
        <f>OfftakePrice*TM!H14</f>
        <v/>
      </c>
      <c r="I6" s="25">
        <f>OfftakePrice*TM!I14</f>
        <v/>
      </c>
      <c r="J6" s="25">
        <f>OfftakePrice*TM!J14</f>
        <v/>
      </c>
      <c r="K6" s="25">
        <f>OfftakePrice*TM!K14</f>
        <v/>
      </c>
      <c r="L6" s="25">
        <f>OfftakePrice*TM!L14</f>
        <v/>
      </c>
      <c r="M6" s="25">
        <f>OfftakePrice*TM!M14</f>
        <v/>
      </c>
      <c r="N6" s="25">
        <f>OfftakePrice*TM!N14</f>
        <v/>
      </c>
      <c r="O6" s="25">
        <f>OfftakePrice*TM!O14</f>
        <v/>
      </c>
      <c r="P6" s="25">
        <f>OfftakePrice*TM!P14</f>
        <v/>
      </c>
      <c r="Q6" s="25">
        <f>OfftakePrice*TM!Q14</f>
        <v/>
      </c>
      <c r="R6" s="25">
        <f>OfftakePrice*TM!R14</f>
        <v/>
      </c>
      <c r="S6" s="25">
        <f>OfftakePrice*TM!S14</f>
        <v/>
      </c>
      <c r="T6" s="25">
        <f>OfftakePrice*TM!T14</f>
        <v/>
      </c>
      <c r="U6" s="25">
        <f>OfftakePrice*TM!U14</f>
        <v/>
      </c>
      <c r="V6" s="25">
        <f>OfftakePrice*TM!V14</f>
        <v/>
      </c>
      <c r="W6" s="25">
        <f>OfftakePrice*TM!W14</f>
        <v/>
      </c>
      <c r="X6" s="25">
        <f>OfftakePrice*TM!X14</f>
        <v/>
      </c>
      <c r="Y6" s="25">
        <f>OfftakePrice*TM!Y14</f>
        <v/>
      </c>
      <c r="Z6" s="25">
        <f>OfftakePrice*TM!Z14</f>
        <v/>
      </c>
      <c r="AA6" s="25">
        <f>OfftakePrice*TM!AA14</f>
        <v/>
      </c>
      <c r="AB6" s="25">
        <f>OfftakePrice*TM!AB14</f>
        <v/>
      </c>
      <c r="AC6" s="25">
        <f>OfftakePrice*TM!AC14</f>
        <v/>
      </c>
      <c r="AD6" s="25">
        <f>OfftakePrice*TM!AD14</f>
        <v/>
      </c>
      <c r="AE6" s="25">
        <f>OfftakePrice*TM!AE14</f>
        <v/>
      </c>
      <c r="AF6" s="25">
        <f>OfftakePrice*TM!AF14</f>
        <v/>
      </c>
      <c r="AG6" s="25">
        <f>OfftakePrice*TM!AG14</f>
        <v/>
      </c>
      <c r="AH6" s="25">
        <f>OfftakePrice*TM!AH14</f>
        <v/>
      </c>
      <c r="AI6" s="25">
        <f>OfftakePrice*TM!AI14</f>
        <v/>
      </c>
      <c r="AJ6" s="25">
        <f>OfftakePrice*TM!AJ14</f>
        <v/>
      </c>
      <c r="AK6" s="25">
        <f>OfftakePrice*TM!AK14</f>
        <v/>
      </c>
      <c r="AL6" s="25">
        <f>OfftakePrice*TM!AL14</f>
        <v/>
      </c>
      <c r="AM6" s="25">
        <f>OfftakePrice*TM!AM14</f>
        <v/>
      </c>
      <c r="AN6" s="25">
        <f>OfftakePrice*TM!AN14</f>
        <v/>
      </c>
      <c r="AO6" s="25">
        <f>OfftakePrice*TM!AO14</f>
        <v/>
      </c>
      <c r="AP6" s="25">
        <f>OfftakePrice*TM!AP14</f>
        <v/>
      </c>
      <c r="AQ6" s="25">
        <f>OfftakePrice*TM!AQ14</f>
        <v/>
      </c>
      <c r="AR6" s="25">
        <f>OfftakePrice*TM!AR14</f>
        <v/>
      </c>
      <c r="AS6" s="25">
        <f>OfftakePrice*TM!AS14</f>
        <v/>
      </c>
      <c r="AT6" s="25">
        <f>OfftakePrice*TM!AT14</f>
        <v/>
      </c>
      <c r="AU6" s="25">
        <f>OfftakePrice*TM!AU14</f>
        <v/>
      </c>
      <c r="AV6" s="25">
        <f>OfftakePrice*TM!AV14</f>
        <v/>
      </c>
      <c r="AW6" s="25">
        <f>OfftakePrice*TM!AW14</f>
        <v/>
      </c>
      <c r="AX6" s="25">
        <f>OfftakePrice*TM!AX14</f>
        <v/>
      </c>
      <c r="AY6" s="25">
        <f>OfftakePrice*TM!AY14</f>
        <v/>
      </c>
      <c r="AZ6" s="25">
        <f>OfftakePrice*TM!AZ14</f>
        <v/>
      </c>
      <c r="BA6" s="25">
        <f>OfftakePrice*TM!BA14</f>
        <v/>
      </c>
      <c r="BB6" s="25">
        <f>OfftakePrice*TM!BB14</f>
        <v/>
      </c>
      <c r="BC6" s="25">
        <f>OfftakePrice*TM!BC14</f>
        <v/>
      </c>
      <c r="BD6" s="25">
        <f>OfftakePrice*TM!BD14</f>
        <v/>
      </c>
      <c r="BE6" s="25">
        <f>OfftakePrice*TM!BE14</f>
        <v/>
      </c>
      <c r="BF6" s="25">
        <f>OfftakePrice*TM!BF14</f>
        <v/>
      </c>
      <c r="BG6" s="25">
        <f>OfftakePrice*TM!BG14</f>
        <v/>
      </c>
    </row>
    <row r="7">
      <c r="A7" t="inlineStr">
        <is>
          <t>Revenue</t>
        </is>
      </c>
      <c r="C7" s="10" t="inlineStr">
        <is>
          <t>$</t>
        </is>
      </c>
      <c r="E7" s="18" t="n">
        <v>0</v>
      </c>
      <c r="F7" s="18">
        <f>F5*F6</f>
        <v/>
      </c>
      <c r="G7" s="18">
        <f>G5*G6</f>
        <v/>
      </c>
      <c r="H7" s="18">
        <f>H5*H6</f>
        <v/>
      </c>
      <c r="I7" s="18">
        <f>I5*I6</f>
        <v/>
      </c>
      <c r="J7" s="18">
        <f>J5*J6</f>
        <v/>
      </c>
      <c r="K7" s="18">
        <f>K5*K6</f>
        <v/>
      </c>
      <c r="L7" s="18">
        <f>L5*L6</f>
        <v/>
      </c>
      <c r="M7" s="18">
        <f>M5*M6</f>
        <v/>
      </c>
      <c r="N7" s="18">
        <f>N5*N6</f>
        <v/>
      </c>
      <c r="O7" s="18">
        <f>O5*O6</f>
        <v/>
      </c>
      <c r="P7" s="18">
        <f>P5*P6</f>
        <v/>
      </c>
      <c r="Q7" s="18">
        <f>Q5*Q6</f>
        <v/>
      </c>
      <c r="R7" s="18">
        <f>R5*R6</f>
        <v/>
      </c>
      <c r="S7" s="18">
        <f>S5*S6</f>
        <v/>
      </c>
      <c r="T7" s="18">
        <f>T5*T6</f>
        <v/>
      </c>
      <c r="U7" s="18">
        <f>U5*U6</f>
        <v/>
      </c>
      <c r="V7" s="18">
        <f>V5*V6</f>
        <v/>
      </c>
      <c r="W7" s="18">
        <f>W5*W6</f>
        <v/>
      </c>
      <c r="X7" s="18">
        <f>X5*X6</f>
        <v/>
      </c>
      <c r="Y7" s="18">
        <f>Y5*Y6</f>
        <v/>
      </c>
      <c r="Z7" s="18">
        <f>Z5*Z6</f>
        <v/>
      </c>
      <c r="AA7" s="18">
        <f>AA5*AA6</f>
        <v/>
      </c>
      <c r="AB7" s="18">
        <f>AB5*AB6</f>
        <v/>
      </c>
      <c r="AC7" s="18">
        <f>AC5*AC6</f>
        <v/>
      </c>
      <c r="AD7" s="18">
        <f>AD5*AD6</f>
        <v/>
      </c>
      <c r="AE7" s="18">
        <f>AE5*AE6</f>
        <v/>
      </c>
      <c r="AF7" s="18">
        <f>AF5*AF6</f>
        <v/>
      </c>
      <c r="AG7" s="18">
        <f>AG5*AG6</f>
        <v/>
      </c>
      <c r="AH7" s="18">
        <f>AH5*AH6</f>
        <v/>
      </c>
      <c r="AI7" s="18">
        <f>AI5*AI6</f>
        <v/>
      </c>
      <c r="AJ7" s="18">
        <f>AJ5*AJ6</f>
        <v/>
      </c>
      <c r="AK7" s="18">
        <f>AK5*AK6</f>
        <v/>
      </c>
      <c r="AL7" s="18">
        <f>AL5*AL6</f>
        <v/>
      </c>
      <c r="AM7" s="18">
        <f>AM5*AM6</f>
        <v/>
      </c>
      <c r="AN7" s="18">
        <f>AN5*AN6</f>
        <v/>
      </c>
      <c r="AO7" s="18">
        <f>AO5*AO6</f>
        <v/>
      </c>
      <c r="AP7" s="18">
        <f>AP5*AP6</f>
        <v/>
      </c>
      <c r="AQ7" s="18">
        <f>AQ5*AQ6</f>
        <v/>
      </c>
      <c r="AR7" s="18">
        <f>AR5*AR6</f>
        <v/>
      </c>
      <c r="AS7" s="18">
        <f>AS5*AS6</f>
        <v/>
      </c>
      <c r="AT7" s="18">
        <f>AT5*AT6</f>
        <v/>
      </c>
      <c r="AU7" s="18">
        <f>AU5*AU6</f>
        <v/>
      </c>
      <c r="AV7" s="18">
        <f>AV5*AV6</f>
        <v/>
      </c>
      <c r="AW7" s="18">
        <f>AW5*AW6</f>
        <v/>
      </c>
      <c r="AX7" s="18">
        <f>AX5*AX6</f>
        <v/>
      </c>
      <c r="AY7" s="18">
        <f>AY5*AY6</f>
        <v/>
      </c>
      <c r="AZ7" s="18">
        <f>AZ5*AZ6</f>
        <v/>
      </c>
      <c r="BA7" s="18">
        <f>BA5*BA6</f>
        <v/>
      </c>
      <c r="BB7" s="18">
        <f>BB5*BB6</f>
        <v/>
      </c>
      <c r="BC7" s="18">
        <f>BC5*BC6</f>
        <v/>
      </c>
      <c r="BD7" s="18">
        <f>BD5*BD6</f>
        <v/>
      </c>
      <c r="BE7" s="18">
        <f>BE5*BE6</f>
        <v/>
      </c>
      <c r="BF7" s="18">
        <f>BF5*BF6</f>
        <v/>
      </c>
      <c r="BG7" s="18">
        <f>BG5*BG6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G1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OPERATING COSTS  (escalated by inflation index)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Power cost</t>
        </is>
      </c>
      <c r="C3" s="10" t="inlineStr">
        <is>
          <t>$</t>
        </is>
      </c>
      <c r="E3" s="18" t="n">
        <v>0</v>
      </c>
      <c r="F3" s="18">
        <f>PR!F5*Efficiency/1000*PowerPrice*TM!F13</f>
        <v/>
      </c>
      <c r="G3" s="18">
        <f>PR!G5*Efficiency/1000*PowerPrice*TM!G13</f>
        <v/>
      </c>
      <c r="H3" s="18">
        <f>PR!H5*Efficiency/1000*PowerPrice*TM!H13</f>
        <v/>
      </c>
      <c r="I3" s="18">
        <f>PR!I5*Efficiency/1000*PowerPrice*TM!I13</f>
        <v/>
      </c>
      <c r="J3" s="18">
        <f>PR!J5*Efficiency/1000*PowerPrice*TM!J13</f>
        <v/>
      </c>
      <c r="K3" s="18">
        <f>PR!K5*Efficiency/1000*PowerPrice*TM!K13</f>
        <v/>
      </c>
      <c r="L3" s="18">
        <f>PR!L5*Efficiency/1000*PowerPrice*TM!L13</f>
        <v/>
      </c>
      <c r="M3" s="18">
        <f>PR!M5*Efficiency/1000*PowerPrice*TM!M13</f>
        <v/>
      </c>
      <c r="N3" s="18">
        <f>PR!N5*Efficiency/1000*PowerPrice*TM!N13</f>
        <v/>
      </c>
      <c r="O3" s="18">
        <f>PR!O5*Efficiency/1000*PowerPrice*TM!O13</f>
        <v/>
      </c>
      <c r="P3" s="18">
        <f>PR!P5*Efficiency/1000*PowerPrice*TM!P13</f>
        <v/>
      </c>
      <c r="Q3" s="18">
        <f>PR!Q5*Efficiency/1000*PowerPrice*TM!Q13</f>
        <v/>
      </c>
      <c r="R3" s="18">
        <f>PR!R5*Efficiency/1000*PowerPrice*TM!R13</f>
        <v/>
      </c>
      <c r="S3" s="18">
        <f>PR!S5*Efficiency/1000*PowerPrice*TM!S13</f>
        <v/>
      </c>
      <c r="T3" s="18">
        <f>PR!T5*Efficiency/1000*PowerPrice*TM!T13</f>
        <v/>
      </c>
      <c r="U3" s="18">
        <f>PR!U5*Efficiency/1000*PowerPrice*TM!U13</f>
        <v/>
      </c>
      <c r="V3" s="18">
        <f>PR!V5*Efficiency/1000*PowerPrice*TM!V13</f>
        <v/>
      </c>
      <c r="W3" s="18">
        <f>PR!W5*Efficiency/1000*PowerPrice*TM!W13</f>
        <v/>
      </c>
      <c r="X3" s="18">
        <f>PR!X5*Efficiency/1000*PowerPrice*TM!X13</f>
        <v/>
      </c>
      <c r="Y3" s="18">
        <f>PR!Y5*Efficiency/1000*PowerPrice*TM!Y13</f>
        <v/>
      </c>
      <c r="Z3" s="18">
        <f>PR!Z5*Efficiency/1000*PowerPrice*TM!Z13</f>
        <v/>
      </c>
      <c r="AA3" s="18">
        <f>PR!AA5*Efficiency/1000*PowerPrice*TM!AA13</f>
        <v/>
      </c>
      <c r="AB3" s="18">
        <f>PR!AB5*Efficiency/1000*PowerPrice*TM!AB13</f>
        <v/>
      </c>
      <c r="AC3" s="18">
        <f>PR!AC5*Efficiency/1000*PowerPrice*TM!AC13</f>
        <v/>
      </c>
      <c r="AD3" s="18">
        <f>PR!AD5*Efficiency/1000*PowerPrice*TM!AD13</f>
        <v/>
      </c>
      <c r="AE3" s="18">
        <f>PR!AE5*Efficiency/1000*PowerPrice*TM!AE13</f>
        <v/>
      </c>
      <c r="AF3" s="18">
        <f>PR!AF5*Efficiency/1000*PowerPrice*TM!AF13</f>
        <v/>
      </c>
      <c r="AG3" s="18">
        <f>PR!AG5*Efficiency/1000*PowerPrice*TM!AG13</f>
        <v/>
      </c>
      <c r="AH3" s="18">
        <f>PR!AH5*Efficiency/1000*PowerPrice*TM!AH13</f>
        <v/>
      </c>
      <c r="AI3" s="18">
        <f>PR!AI5*Efficiency/1000*PowerPrice*TM!AI13</f>
        <v/>
      </c>
      <c r="AJ3" s="18">
        <f>PR!AJ5*Efficiency/1000*PowerPrice*TM!AJ13</f>
        <v/>
      </c>
      <c r="AK3" s="18">
        <f>PR!AK5*Efficiency/1000*PowerPrice*TM!AK13</f>
        <v/>
      </c>
      <c r="AL3" s="18">
        <f>PR!AL5*Efficiency/1000*PowerPrice*TM!AL13</f>
        <v/>
      </c>
      <c r="AM3" s="18">
        <f>PR!AM5*Efficiency/1000*PowerPrice*TM!AM13</f>
        <v/>
      </c>
      <c r="AN3" s="18">
        <f>PR!AN5*Efficiency/1000*PowerPrice*TM!AN13</f>
        <v/>
      </c>
      <c r="AO3" s="18">
        <f>PR!AO5*Efficiency/1000*PowerPrice*TM!AO13</f>
        <v/>
      </c>
      <c r="AP3" s="18">
        <f>PR!AP5*Efficiency/1000*PowerPrice*TM!AP13</f>
        <v/>
      </c>
      <c r="AQ3" s="18">
        <f>PR!AQ5*Efficiency/1000*PowerPrice*TM!AQ13</f>
        <v/>
      </c>
      <c r="AR3" s="18">
        <f>PR!AR5*Efficiency/1000*PowerPrice*TM!AR13</f>
        <v/>
      </c>
      <c r="AS3" s="18">
        <f>PR!AS5*Efficiency/1000*PowerPrice*TM!AS13</f>
        <v/>
      </c>
      <c r="AT3" s="18">
        <f>PR!AT5*Efficiency/1000*PowerPrice*TM!AT13</f>
        <v/>
      </c>
      <c r="AU3" s="18">
        <f>PR!AU5*Efficiency/1000*PowerPrice*TM!AU13</f>
        <v/>
      </c>
      <c r="AV3" s="18">
        <f>PR!AV5*Efficiency/1000*PowerPrice*TM!AV13</f>
        <v/>
      </c>
      <c r="AW3" s="18">
        <f>PR!AW5*Efficiency/1000*PowerPrice*TM!AW13</f>
        <v/>
      </c>
      <c r="AX3" s="18">
        <f>PR!AX5*Efficiency/1000*PowerPrice*TM!AX13</f>
        <v/>
      </c>
      <c r="AY3" s="18">
        <f>PR!AY5*Efficiency/1000*PowerPrice*TM!AY13</f>
        <v/>
      </c>
      <c r="AZ3" s="18">
        <f>PR!AZ5*Efficiency/1000*PowerPrice*TM!AZ13</f>
        <v/>
      </c>
      <c r="BA3" s="18">
        <f>PR!BA5*Efficiency/1000*PowerPrice*TM!BA13</f>
        <v/>
      </c>
      <c r="BB3" s="18">
        <f>PR!BB5*Efficiency/1000*PowerPrice*TM!BB13</f>
        <v/>
      </c>
      <c r="BC3" s="18">
        <f>PR!BC5*Efficiency/1000*PowerPrice*TM!BC13</f>
        <v/>
      </c>
      <c r="BD3" s="18">
        <f>PR!BD5*Efficiency/1000*PowerPrice*TM!BD13</f>
        <v/>
      </c>
      <c r="BE3" s="18">
        <f>PR!BE5*Efficiency/1000*PowerPrice*TM!BE13</f>
        <v/>
      </c>
      <c r="BF3" s="18">
        <f>PR!BF5*Efficiency/1000*PowerPrice*TM!BF13</f>
        <v/>
      </c>
      <c r="BG3" s="18">
        <f>PR!BG5*Efficiency/1000*PowerPrice*TM!BG13</f>
        <v/>
      </c>
    </row>
    <row r="4">
      <c r="A4" t="inlineStr">
        <is>
          <t>Water cost</t>
        </is>
      </c>
      <c r="C4" s="10" t="inlineStr">
        <is>
          <t>$</t>
        </is>
      </c>
      <c r="E4" s="18" t="n">
        <v>0</v>
      </c>
      <c r="F4" s="18">
        <f>PR!F5*WaterCostPerKg*TM!F13</f>
        <v/>
      </c>
      <c r="G4" s="18">
        <f>PR!G5*WaterCostPerKg*TM!G13</f>
        <v/>
      </c>
      <c r="H4" s="18">
        <f>PR!H5*WaterCostPerKg*TM!H13</f>
        <v/>
      </c>
      <c r="I4" s="18">
        <f>PR!I5*WaterCostPerKg*TM!I13</f>
        <v/>
      </c>
      <c r="J4" s="18">
        <f>PR!J5*WaterCostPerKg*TM!J13</f>
        <v/>
      </c>
      <c r="K4" s="18">
        <f>PR!K5*WaterCostPerKg*TM!K13</f>
        <v/>
      </c>
      <c r="L4" s="18">
        <f>PR!L5*WaterCostPerKg*TM!L13</f>
        <v/>
      </c>
      <c r="M4" s="18">
        <f>PR!M5*WaterCostPerKg*TM!M13</f>
        <v/>
      </c>
      <c r="N4" s="18">
        <f>PR!N5*WaterCostPerKg*TM!N13</f>
        <v/>
      </c>
      <c r="O4" s="18">
        <f>PR!O5*WaterCostPerKg*TM!O13</f>
        <v/>
      </c>
      <c r="P4" s="18">
        <f>PR!P5*WaterCostPerKg*TM!P13</f>
        <v/>
      </c>
      <c r="Q4" s="18">
        <f>PR!Q5*WaterCostPerKg*TM!Q13</f>
        <v/>
      </c>
      <c r="R4" s="18">
        <f>PR!R5*WaterCostPerKg*TM!R13</f>
        <v/>
      </c>
      <c r="S4" s="18">
        <f>PR!S5*WaterCostPerKg*TM!S13</f>
        <v/>
      </c>
      <c r="T4" s="18">
        <f>PR!T5*WaterCostPerKg*TM!T13</f>
        <v/>
      </c>
      <c r="U4" s="18">
        <f>PR!U5*WaterCostPerKg*TM!U13</f>
        <v/>
      </c>
      <c r="V4" s="18">
        <f>PR!V5*WaterCostPerKg*TM!V13</f>
        <v/>
      </c>
      <c r="W4" s="18">
        <f>PR!W5*WaterCostPerKg*TM!W13</f>
        <v/>
      </c>
      <c r="X4" s="18">
        <f>PR!X5*WaterCostPerKg*TM!X13</f>
        <v/>
      </c>
      <c r="Y4" s="18">
        <f>PR!Y5*WaterCostPerKg*TM!Y13</f>
        <v/>
      </c>
      <c r="Z4" s="18">
        <f>PR!Z5*WaterCostPerKg*TM!Z13</f>
        <v/>
      </c>
      <c r="AA4" s="18">
        <f>PR!AA5*WaterCostPerKg*TM!AA13</f>
        <v/>
      </c>
      <c r="AB4" s="18">
        <f>PR!AB5*WaterCostPerKg*TM!AB13</f>
        <v/>
      </c>
      <c r="AC4" s="18">
        <f>PR!AC5*WaterCostPerKg*TM!AC13</f>
        <v/>
      </c>
      <c r="AD4" s="18">
        <f>PR!AD5*WaterCostPerKg*TM!AD13</f>
        <v/>
      </c>
      <c r="AE4" s="18">
        <f>PR!AE5*WaterCostPerKg*TM!AE13</f>
        <v/>
      </c>
      <c r="AF4" s="18">
        <f>PR!AF5*WaterCostPerKg*TM!AF13</f>
        <v/>
      </c>
      <c r="AG4" s="18">
        <f>PR!AG5*WaterCostPerKg*TM!AG13</f>
        <v/>
      </c>
      <c r="AH4" s="18">
        <f>PR!AH5*WaterCostPerKg*TM!AH13</f>
        <v/>
      </c>
      <c r="AI4" s="18">
        <f>PR!AI5*WaterCostPerKg*TM!AI13</f>
        <v/>
      </c>
      <c r="AJ4" s="18">
        <f>PR!AJ5*WaterCostPerKg*TM!AJ13</f>
        <v/>
      </c>
      <c r="AK4" s="18">
        <f>PR!AK5*WaterCostPerKg*TM!AK13</f>
        <v/>
      </c>
      <c r="AL4" s="18">
        <f>PR!AL5*WaterCostPerKg*TM!AL13</f>
        <v/>
      </c>
      <c r="AM4" s="18">
        <f>PR!AM5*WaterCostPerKg*TM!AM13</f>
        <v/>
      </c>
      <c r="AN4" s="18">
        <f>PR!AN5*WaterCostPerKg*TM!AN13</f>
        <v/>
      </c>
      <c r="AO4" s="18">
        <f>PR!AO5*WaterCostPerKg*TM!AO13</f>
        <v/>
      </c>
      <c r="AP4" s="18">
        <f>PR!AP5*WaterCostPerKg*TM!AP13</f>
        <v/>
      </c>
      <c r="AQ4" s="18">
        <f>PR!AQ5*WaterCostPerKg*TM!AQ13</f>
        <v/>
      </c>
      <c r="AR4" s="18">
        <f>PR!AR5*WaterCostPerKg*TM!AR13</f>
        <v/>
      </c>
      <c r="AS4" s="18">
        <f>PR!AS5*WaterCostPerKg*TM!AS13</f>
        <v/>
      </c>
      <c r="AT4" s="18">
        <f>PR!AT5*WaterCostPerKg*TM!AT13</f>
        <v/>
      </c>
      <c r="AU4" s="18">
        <f>PR!AU5*WaterCostPerKg*TM!AU13</f>
        <v/>
      </c>
      <c r="AV4" s="18">
        <f>PR!AV5*WaterCostPerKg*TM!AV13</f>
        <v/>
      </c>
      <c r="AW4" s="18">
        <f>PR!AW5*WaterCostPerKg*TM!AW13</f>
        <v/>
      </c>
      <c r="AX4" s="18">
        <f>PR!AX5*WaterCostPerKg*TM!AX13</f>
        <v/>
      </c>
      <c r="AY4" s="18">
        <f>PR!AY5*WaterCostPerKg*TM!AY13</f>
        <v/>
      </c>
      <c r="AZ4" s="18">
        <f>PR!AZ5*WaterCostPerKg*TM!AZ13</f>
        <v/>
      </c>
      <c r="BA4" s="18">
        <f>PR!BA5*WaterCostPerKg*TM!BA13</f>
        <v/>
      </c>
      <c r="BB4" s="18">
        <f>PR!BB5*WaterCostPerKg*TM!BB13</f>
        <v/>
      </c>
      <c r="BC4" s="18">
        <f>PR!BC5*WaterCostPerKg*TM!BC13</f>
        <v/>
      </c>
      <c r="BD4" s="18">
        <f>PR!BD5*WaterCostPerKg*TM!BD13</f>
        <v/>
      </c>
      <c r="BE4" s="18">
        <f>PR!BE5*WaterCostPerKg*TM!BE13</f>
        <v/>
      </c>
      <c r="BF4" s="18">
        <f>PR!BF5*WaterCostPerKg*TM!BF13</f>
        <v/>
      </c>
      <c r="BG4" s="18">
        <f>PR!BG5*WaterCostPerKg*TM!BG13</f>
        <v/>
      </c>
    </row>
    <row r="5">
      <c r="A5" t="inlineStr">
        <is>
          <t>Fixed O&amp;M</t>
        </is>
      </c>
      <c r="C5" s="10" t="inlineStr">
        <is>
          <t>$</t>
        </is>
      </c>
      <c r="E5" s="18" t="n">
        <v>0</v>
      </c>
      <c r="F5" s="18">
        <f>TM!F8*FixedOMAnnual*PeriodYears*TM!F13</f>
        <v/>
      </c>
      <c r="G5" s="18">
        <f>TM!G8*FixedOMAnnual*PeriodYears*TM!G13</f>
        <v/>
      </c>
      <c r="H5" s="18">
        <f>TM!H8*FixedOMAnnual*PeriodYears*TM!H13</f>
        <v/>
      </c>
      <c r="I5" s="18">
        <f>TM!I8*FixedOMAnnual*PeriodYears*TM!I13</f>
        <v/>
      </c>
      <c r="J5" s="18">
        <f>TM!J8*FixedOMAnnual*PeriodYears*TM!J13</f>
        <v/>
      </c>
      <c r="K5" s="18">
        <f>TM!K8*FixedOMAnnual*PeriodYears*TM!K13</f>
        <v/>
      </c>
      <c r="L5" s="18">
        <f>TM!L8*FixedOMAnnual*PeriodYears*TM!L13</f>
        <v/>
      </c>
      <c r="M5" s="18">
        <f>TM!M8*FixedOMAnnual*PeriodYears*TM!M13</f>
        <v/>
      </c>
      <c r="N5" s="18">
        <f>TM!N8*FixedOMAnnual*PeriodYears*TM!N13</f>
        <v/>
      </c>
      <c r="O5" s="18">
        <f>TM!O8*FixedOMAnnual*PeriodYears*TM!O13</f>
        <v/>
      </c>
      <c r="P5" s="18">
        <f>TM!P8*FixedOMAnnual*PeriodYears*TM!P13</f>
        <v/>
      </c>
      <c r="Q5" s="18">
        <f>TM!Q8*FixedOMAnnual*PeriodYears*TM!Q13</f>
        <v/>
      </c>
      <c r="R5" s="18">
        <f>TM!R8*FixedOMAnnual*PeriodYears*TM!R13</f>
        <v/>
      </c>
      <c r="S5" s="18">
        <f>TM!S8*FixedOMAnnual*PeriodYears*TM!S13</f>
        <v/>
      </c>
      <c r="T5" s="18">
        <f>TM!T8*FixedOMAnnual*PeriodYears*TM!T13</f>
        <v/>
      </c>
      <c r="U5" s="18">
        <f>TM!U8*FixedOMAnnual*PeriodYears*TM!U13</f>
        <v/>
      </c>
      <c r="V5" s="18">
        <f>TM!V8*FixedOMAnnual*PeriodYears*TM!V13</f>
        <v/>
      </c>
      <c r="W5" s="18">
        <f>TM!W8*FixedOMAnnual*PeriodYears*TM!W13</f>
        <v/>
      </c>
      <c r="X5" s="18">
        <f>TM!X8*FixedOMAnnual*PeriodYears*TM!X13</f>
        <v/>
      </c>
      <c r="Y5" s="18">
        <f>TM!Y8*FixedOMAnnual*PeriodYears*TM!Y13</f>
        <v/>
      </c>
      <c r="Z5" s="18">
        <f>TM!Z8*FixedOMAnnual*PeriodYears*TM!Z13</f>
        <v/>
      </c>
      <c r="AA5" s="18">
        <f>TM!AA8*FixedOMAnnual*PeriodYears*TM!AA13</f>
        <v/>
      </c>
      <c r="AB5" s="18">
        <f>TM!AB8*FixedOMAnnual*PeriodYears*TM!AB13</f>
        <v/>
      </c>
      <c r="AC5" s="18">
        <f>TM!AC8*FixedOMAnnual*PeriodYears*TM!AC13</f>
        <v/>
      </c>
      <c r="AD5" s="18">
        <f>TM!AD8*FixedOMAnnual*PeriodYears*TM!AD13</f>
        <v/>
      </c>
      <c r="AE5" s="18">
        <f>TM!AE8*FixedOMAnnual*PeriodYears*TM!AE13</f>
        <v/>
      </c>
      <c r="AF5" s="18">
        <f>TM!AF8*FixedOMAnnual*PeriodYears*TM!AF13</f>
        <v/>
      </c>
      <c r="AG5" s="18">
        <f>TM!AG8*FixedOMAnnual*PeriodYears*TM!AG13</f>
        <v/>
      </c>
      <c r="AH5" s="18">
        <f>TM!AH8*FixedOMAnnual*PeriodYears*TM!AH13</f>
        <v/>
      </c>
      <c r="AI5" s="18">
        <f>TM!AI8*FixedOMAnnual*PeriodYears*TM!AI13</f>
        <v/>
      </c>
      <c r="AJ5" s="18">
        <f>TM!AJ8*FixedOMAnnual*PeriodYears*TM!AJ13</f>
        <v/>
      </c>
      <c r="AK5" s="18">
        <f>TM!AK8*FixedOMAnnual*PeriodYears*TM!AK13</f>
        <v/>
      </c>
      <c r="AL5" s="18">
        <f>TM!AL8*FixedOMAnnual*PeriodYears*TM!AL13</f>
        <v/>
      </c>
      <c r="AM5" s="18">
        <f>TM!AM8*FixedOMAnnual*PeriodYears*TM!AM13</f>
        <v/>
      </c>
      <c r="AN5" s="18">
        <f>TM!AN8*FixedOMAnnual*PeriodYears*TM!AN13</f>
        <v/>
      </c>
      <c r="AO5" s="18">
        <f>TM!AO8*FixedOMAnnual*PeriodYears*TM!AO13</f>
        <v/>
      </c>
      <c r="AP5" s="18">
        <f>TM!AP8*FixedOMAnnual*PeriodYears*TM!AP13</f>
        <v/>
      </c>
      <c r="AQ5" s="18">
        <f>TM!AQ8*FixedOMAnnual*PeriodYears*TM!AQ13</f>
        <v/>
      </c>
      <c r="AR5" s="18">
        <f>TM!AR8*FixedOMAnnual*PeriodYears*TM!AR13</f>
        <v/>
      </c>
      <c r="AS5" s="18">
        <f>TM!AS8*FixedOMAnnual*PeriodYears*TM!AS13</f>
        <v/>
      </c>
      <c r="AT5" s="18">
        <f>TM!AT8*FixedOMAnnual*PeriodYears*TM!AT13</f>
        <v/>
      </c>
      <c r="AU5" s="18">
        <f>TM!AU8*FixedOMAnnual*PeriodYears*TM!AU13</f>
        <v/>
      </c>
      <c r="AV5" s="18">
        <f>TM!AV8*FixedOMAnnual*PeriodYears*TM!AV13</f>
        <v/>
      </c>
      <c r="AW5" s="18">
        <f>TM!AW8*FixedOMAnnual*PeriodYears*TM!AW13</f>
        <v/>
      </c>
      <c r="AX5" s="18">
        <f>TM!AX8*FixedOMAnnual*PeriodYears*TM!AX13</f>
        <v/>
      </c>
      <c r="AY5" s="18">
        <f>TM!AY8*FixedOMAnnual*PeriodYears*TM!AY13</f>
        <v/>
      </c>
      <c r="AZ5" s="18">
        <f>TM!AZ8*FixedOMAnnual*PeriodYears*TM!AZ13</f>
        <v/>
      </c>
      <c r="BA5" s="18">
        <f>TM!BA8*FixedOMAnnual*PeriodYears*TM!BA13</f>
        <v/>
      </c>
      <c r="BB5" s="18">
        <f>TM!BB8*FixedOMAnnual*PeriodYears*TM!BB13</f>
        <v/>
      </c>
      <c r="BC5" s="18">
        <f>TM!BC8*FixedOMAnnual*PeriodYears*TM!BC13</f>
        <v/>
      </c>
      <c r="BD5" s="18">
        <f>TM!BD8*FixedOMAnnual*PeriodYears*TM!BD13</f>
        <v/>
      </c>
      <c r="BE5" s="18">
        <f>TM!BE8*FixedOMAnnual*PeriodYears*TM!BE13</f>
        <v/>
      </c>
      <c r="BF5" s="18">
        <f>TM!BF8*FixedOMAnnual*PeriodYears*TM!BF13</f>
        <v/>
      </c>
      <c r="BG5" s="18">
        <f>TM!BG8*FixedOMAnnual*PeriodYears*TM!BG13</f>
        <v/>
      </c>
    </row>
    <row r="6">
      <c r="A6" t="inlineStr">
        <is>
          <t>Variable O&amp;M</t>
        </is>
      </c>
      <c r="C6" s="10" t="inlineStr">
        <is>
          <t>$</t>
        </is>
      </c>
      <c r="E6" s="18" t="n">
        <v>0</v>
      </c>
      <c r="F6" s="18">
        <f>PR!F5*VarOMPerKg*TM!F13</f>
        <v/>
      </c>
      <c r="G6" s="18">
        <f>PR!G5*VarOMPerKg*TM!G13</f>
        <v/>
      </c>
      <c r="H6" s="18">
        <f>PR!H5*VarOMPerKg*TM!H13</f>
        <v/>
      </c>
      <c r="I6" s="18">
        <f>PR!I5*VarOMPerKg*TM!I13</f>
        <v/>
      </c>
      <c r="J6" s="18">
        <f>PR!J5*VarOMPerKg*TM!J13</f>
        <v/>
      </c>
      <c r="K6" s="18">
        <f>PR!K5*VarOMPerKg*TM!K13</f>
        <v/>
      </c>
      <c r="L6" s="18">
        <f>PR!L5*VarOMPerKg*TM!L13</f>
        <v/>
      </c>
      <c r="M6" s="18">
        <f>PR!M5*VarOMPerKg*TM!M13</f>
        <v/>
      </c>
      <c r="N6" s="18">
        <f>PR!N5*VarOMPerKg*TM!N13</f>
        <v/>
      </c>
      <c r="O6" s="18">
        <f>PR!O5*VarOMPerKg*TM!O13</f>
        <v/>
      </c>
      <c r="P6" s="18">
        <f>PR!P5*VarOMPerKg*TM!P13</f>
        <v/>
      </c>
      <c r="Q6" s="18">
        <f>PR!Q5*VarOMPerKg*TM!Q13</f>
        <v/>
      </c>
      <c r="R6" s="18">
        <f>PR!R5*VarOMPerKg*TM!R13</f>
        <v/>
      </c>
      <c r="S6" s="18">
        <f>PR!S5*VarOMPerKg*TM!S13</f>
        <v/>
      </c>
      <c r="T6" s="18">
        <f>PR!T5*VarOMPerKg*TM!T13</f>
        <v/>
      </c>
      <c r="U6" s="18">
        <f>PR!U5*VarOMPerKg*TM!U13</f>
        <v/>
      </c>
      <c r="V6" s="18">
        <f>PR!V5*VarOMPerKg*TM!V13</f>
        <v/>
      </c>
      <c r="W6" s="18">
        <f>PR!W5*VarOMPerKg*TM!W13</f>
        <v/>
      </c>
      <c r="X6" s="18">
        <f>PR!X5*VarOMPerKg*TM!X13</f>
        <v/>
      </c>
      <c r="Y6" s="18">
        <f>PR!Y5*VarOMPerKg*TM!Y13</f>
        <v/>
      </c>
      <c r="Z6" s="18">
        <f>PR!Z5*VarOMPerKg*TM!Z13</f>
        <v/>
      </c>
      <c r="AA6" s="18">
        <f>PR!AA5*VarOMPerKg*TM!AA13</f>
        <v/>
      </c>
      <c r="AB6" s="18">
        <f>PR!AB5*VarOMPerKg*TM!AB13</f>
        <v/>
      </c>
      <c r="AC6" s="18">
        <f>PR!AC5*VarOMPerKg*TM!AC13</f>
        <v/>
      </c>
      <c r="AD6" s="18">
        <f>PR!AD5*VarOMPerKg*TM!AD13</f>
        <v/>
      </c>
      <c r="AE6" s="18">
        <f>PR!AE5*VarOMPerKg*TM!AE13</f>
        <v/>
      </c>
      <c r="AF6" s="18">
        <f>PR!AF5*VarOMPerKg*TM!AF13</f>
        <v/>
      </c>
      <c r="AG6" s="18">
        <f>PR!AG5*VarOMPerKg*TM!AG13</f>
        <v/>
      </c>
      <c r="AH6" s="18">
        <f>PR!AH5*VarOMPerKg*TM!AH13</f>
        <v/>
      </c>
      <c r="AI6" s="18">
        <f>PR!AI5*VarOMPerKg*TM!AI13</f>
        <v/>
      </c>
      <c r="AJ6" s="18">
        <f>PR!AJ5*VarOMPerKg*TM!AJ13</f>
        <v/>
      </c>
      <c r="AK6" s="18">
        <f>PR!AK5*VarOMPerKg*TM!AK13</f>
        <v/>
      </c>
      <c r="AL6" s="18">
        <f>PR!AL5*VarOMPerKg*TM!AL13</f>
        <v/>
      </c>
      <c r="AM6" s="18">
        <f>PR!AM5*VarOMPerKg*TM!AM13</f>
        <v/>
      </c>
      <c r="AN6" s="18">
        <f>PR!AN5*VarOMPerKg*TM!AN13</f>
        <v/>
      </c>
      <c r="AO6" s="18">
        <f>PR!AO5*VarOMPerKg*TM!AO13</f>
        <v/>
      </c>
      <c r="AP6" s="18">
        <f>PR!AP5*VarOMPerKg*TM!AP13</f>
        <v/>
      </c>
      <c r="AQ6" s="18">
        <f>PR!AQ5*VarOMPerKg*TM!AQ13</f>
        <v/>
      </c>
      <c r="AR6" s="18">
        <f>PR!AR5*VarOMPerKg*TM!AR13</f>
        <v/>
      </c>
      <c r="AS6" s="18">
        <f>PR!AS5*VarOMPerKg*TM!AS13</f>
        <v/>
      </c>
      <c r="AT6" s="18">
        <f>PR!AT5*VarOMPerKg*TM!AT13</f>
        <v/>
      </c>
      <c r="AU6" s="18">
        <f>PR!AU5*VarOMPerKg*TM!AU13</f>
        <v/>
      </c>
      <c r="AV6" s="18">
        <f>PR!AV5*VarOMPerKg*TM!AV13</f>
        <v/>
      </c>
      <c r="AW6" s="18">
        <f>PR!AW5*VarOMPerKg*TM!AW13</f>
        <v/>
      </c>
      <c r="AX6" s="18">
        <f>PR!AX5*VarOMPerKg*TM!AX13</f>
        <v/>
      </c>
      <c r="AY6" s="18">
        <f>PR!AY5*VarOMPerKg*TM!AY13</f>
        <v/>
      </c>
      <c r="AZ6" s="18">
        <f>PR!AZ5*VarOMPerKg*TM!AZ13</f>
        <v/>
      </c>
      <c r="BA6" s="18">
        <f>PR!BA5*VarOMPerKg*TM!BA13</f>
        <v/>
      </c>
      <c r="BB6" s="18">
        <f>PR!BB5*VarOMPerKg*TM!BB13</f>
        <v/>
      </c>
      <c r="BC6" s="18">
        <f>PR!BC5*VarOMPerKg*TM!BC13</f>
        <v/>
      </c>
      <c r="BD6" s="18">
        <f>PR!BD5*VarOMPerKg*TM!BD13</f>
        <v/>
      </c>
      <c r="BE6" s="18">
        <f>PR!BE5*VarOMPerKg*TM!BE13</f>
        <v/>
      </c>
      <c r="BF6" s="18">
        <f>PR!BF5*VarOMPerKg*TM!BF13</f>
        <v/>
      </c>
      <c r="BG6" s="18">
        <f>PR!BG5*VarOMPerKg*TM!BG13</f>
        <v/>
      </c>
    </row>
    <row r="7">
      <c r="A7" t="inlineStr">
        <is>
          <t>Insurance</t>
        </is>
      </c>
      <c r="C7" s="10" t="inlineStr">
        <is>
          <t>$</t>
        </is>
      </c>
      <c r="E7" s="18" t="n">
        <v>0</v>
      </c>
      <c r="F7" s="18">
        <f>TM!F8*InsuranceAnnual*PeriodYears*TM!F13</f>
        <v/>
      </c>
      <c r="G7" s="18">
        <f>TM!G8*InsuranceAnnual*PeriodYears*TM!G13</f>
        <v/>
      </c>
      <c r="H7" s="18">
        <f>TM!H8*InsuranceAnnual*PeriodYears*TM!H13</f>
        <v/>
      </c>
      <c r="I7" s="18">
        <f>TM!I8*InsuranceAnnual*PeriodYears*TM!I13</f>
        <v/>
      </c>
      <c r="J7" s="18">
        <f>TM!J8*InsuranceAnnual*PeriodYears*TM!J13</f>
        <v/>
      </c>
      <c r="K7" s="18">
        <f>TM!K8*InsuranceAnnual*PeriodYears*TM!K13</f>
        <v/>
      </c>
      <c r="L7" s="18">
        <f>TM!L8*InsuranceAnnual*PeriodYears*TM!L13</f>
        <v/>
      </c>
      <c r="M7" s="18">
        <f>TM!M8*InsuranceAnnual*PeriodYears*TM!M13</f>
        <v/>
      </c>
      <c r="N7" s="18">
        <f>TM!N8*InsuranceAnnual*PeriodYears*TM!N13</f>
        <v/>
      </c>
      <c r="O7" s="18">
        <f>TM!O8*InsuranceAnnual*PeriodYears*TM!O13</f>
        <v/>
      </c>
      <c r="P7" s="18">
        <f>TM!P8*InsuranceAnnual*PeriodYears*TM!P13</f>
        <v/>
      </c>
      <c r="Q7" s="18">
        <f>TM!Q8*InsuranceAnnual*PeriodYears*TM!Q13</f>
        <v/>
      </c>
      <c r="R7" s="18">
        <f>TM!R8*InsuranceAnnual*PeriodYears*TM!R13</f>
        <v/>
      </c>
      <c r="S7" s="18">
        <f>TM!S8*InsuranceAnnual*PeriodYears*TM!S13</f>
        <v/>
      </c>
      <c r="T7" s="18">
        <f>TM!T8*InsuranceAnnual*PeriodYears*TM!T13</f>
        <v/>
      </c>
      <c r="U7" s="18">
        <f>TM!U8*InsuranceAnnual*PeriodYears*TM!U13</f>
        <v/>
      </c>
      <c r="V7" s="18">
        <f>TM!V8*InsuranceAnnual*PeriodYears*TM!V13</f>
        <v/>
      </c>
      <c r="W7" s="18">
        <f>TM!W8*InsuranceAnnual*PeriodYears*TM!W13</f>
        <v/>
      </c>
      <c r="X7" s="18">
        <f>TM!X8*InsuranceAnnual*PeriodYears*TM!X13</f>
        <v/>
      </c>
      <c r="Y7" s="18">
        <f>TM!Y8*InsuranceAnnual*PeriodYears*TM!Y13</f>
        <v/>
      </c>
      <c r="Z7" s="18">
        <f>TM!Z8*InsuranceAnnual*PeriodYears*TM!Z13</f>
        <v/>
      </c>
      <c r="AA7" s="18">
        <f>TM!AA8*InsuranceAnnual*PeriodYears*TM!AA13</f>
        <v/>
      </c>
      <c r="AB7" s="18">
        <f>TM!AB8*InsuranceAnnual*PeriodYears*TM!AB13</f>
        <v/>
      </c>
      <c r="AC7" s="18">
        <f>TM!AC8*InsuranceAnnual*PeriodYears*TM!AC13</f>
        <v/>
      </c>
      <c r="AD7" s="18">
        <f>TM!AD8*InsuranceAnnual*PeriodYears*TM!AD13</f>
        <v/>
      </c>
      <c r="AE7" s="18">
        <f>TM!AE8*InsuranceAnnual*PeriodYears*TM!AE13</f>
        <v/>
      </c>
      <c r="AF7" s="18">
        <f>TM!AF8*InsuranceAnnual*PeriodYears*TM!AF13</f>
        <v/>
      </c>
      <c r="AG7" s="18">
        <f>TM!AG8*InsuranceAnnual*PeriodYears*TM!AG13</f>
        <v/>
      </c>
      <c r="AH7" s="18">
        <f>TM!AH8*InsuranceAnnual*PeriodYears*TM!AH13</f>
        <v/>
      </c>
      <c r="AI7" s="18">
        <f>TM!AI8*InsuranceAnnual*PeriodYears*TM!AI13</f>
        <v/>
      </c>
      <c r="AJ7" s="18">
        <f>TM!AJ8*InsuranceAnnual*PeriodYears*TM!AJ13</f>
        <v/>
      </c>
      <c r="AK7" s="18">
        <f>TM!AK8*InsuranceAnnual*PeriodYears*TM!AK13</f>
        <v/>
      </c>
      <c r="AL7" s="18">
        <f>TM!AL8*InsuranceAnnual*PeriodYears*TM!AL13</f>
        <v/>
      </c>
      <c r="AM7" s="18">
        <f>TM!AM8*InsuranceAnnual*PeriodYears*TM!AM13</f>
        <v/>
      </c>
      <c r="AN7" s="18">
        <f>TM!AN8*InsuranceAnnual*PeriodYears*TM!AN13</f>
        <v/>
      </c>
      <c r="AO7" s="18">
        <f>TM!AO8*InsuranceAnnual*PeriodYears*TM!AO13</f>
        <v/>
      </c>
      <c r="AP7" s="18">
        <f>TM!AP8*InsuranceAnnual*PeriodYears*TM!AP13</f>
        <v/>
      </c>
      <c r="AQ7" s="18">
        <f>TM!AQ8*InsuranceAnnual*PeriodYears*TM!AQ13</f>
        <v/>
      </c>
      <c r="AR7" s="18">
        <f>TM!AR8*InsuranceAnnual*PeriodYears*TM!AR13</f>
        <v/>
      </c>
      <c r="AS7" s="18">
        <f>TM!AS8*InsuranceAnnual*PeriodYears*TM!AS13</f>
        <v/>
      </c>
      <c r="AT7" s="18">
        <f>TM!AT8*InsuranceAnnual*PeriodYears*TM!AT13</f>
        <v/>
      </c>
      <c r="AU7" s="18">
        <f>TM!AU8*InsuranceAnnual*PeriodYears*TM!AU13</f>
        <v/>
      </c>
      <c r="AV7" s="18">
        <f>TM!AV8*InsuranceAnnual*PeriodYears*TM!AV13</f>
        <v/>
      </c>
      <c r="AW7" s="18">
        <f>TM!AW8*InsuranceAnnual*PeriodYears*TM!AW13</f>
        <v/>
      </c>
      <c r="AX7" s="18">
        <f>TM!AX8*InsuranceAnnual*PeriodYears*TM!AX13</f>
        <v/>
      </c>
      <c r="AY7" s="18">
        <f>TM!AY8*InsuranceAnnual*PeriodYears*TM!AY13</f>
        <v/>
      </c>
      <c r="AZ7" s="18">
        <f>TM!AZ8*InsuranceAnnual*PeriodYears*TM!AZ13</f>
        <v/>
      </c>
      <c r="BA7" s="18">
        <f>TM!BA8*InsuranceAnnual*PeriodYears*TM!BA13</f>
        <v/>
      </c>
      <c r="BB7" s="18">
        <f>TM!BB8*InsuranceAnnual*PeriodYears*TM!BB13</f>
        <v/>
      </c>
      <c r="BC7" s="18">
        <f>TM!BC8*InsuranceAnnual*PeriodYears*TM!BC13</f>
        <v/>
      </c>
      <c r="BD7" s="18">
        <f>TM!BD8*InsuranceAnnual*PeriodYears*TM!BD13</f>
        <v/>
      </c>
      <c r="BE7" s="18">
        <f>TM!BE8*InsuranceAnnual*PeriodYears*TM!BE13</f>
        <v/>
      </c>
      <c r="BF7" s="18">
        <f>TM!BF8*InsuranceAnnual*PeriodYears*TM!BF13</f>
        <v/>
      </c>
      <c r="BG7" s="18">
        <f>TM!BG8*InsuranceAnnual*PeriodYears*TM!BG13</f>
        <v/>
      </c>
    </row>
    <row r="8">
      <c r="A8" t="inlineStr">
        <is>
          <t>Stack replacement</t>
        </is>
      </c>
      <c r="C8" s="10" t="inlineStr">
        <is>
          <t>$</t>
        </is>
      </c>
      <c r="E8" s="18" t="n">
        <v>0</v>
      </c>
      <c r="F8" s="18">
        <f>IF(AND(TM!F8=1,TM!F12&gt;0,MOD(ROUND(TM!F12,4),StackIntervalYears)=0),StackCost*TM!F13,0)</f>
        <v/>
      </c>
      <c r="G8" s="18">
        <f>IF(AND(TM!G8=1,TM!G12&gt;0,MOD(ROUND(TM!G12,4),StackIntervalYears)=0),StackCost*TM!G13,0)</f>
        <v/>
      </c>
      <c r="H8" s="18">
        <f>IF(AND(TM!H8=1,TM!H12&gt;0,MOD(ROUND(TM!H12,4),StackIntervalYears)=0),StackCost*TM!H13,0)</f>
        <v/>
      </c>
      <c r="I8" s="18">
        <f>IF(AND(TM!I8=1,TM!I12&gt;0,MOD(ROUND(TM!I12,4),StackIntervalYears)=0),StackCost*TM!I13,0)</f>
        <v/>
      </c>
      <c r="J8" s="18">
        <f>IF(AND(TM!J8=1,TM!J12&gt;0,MOD(ROUND(TM!J12,4),StackIntervalYears)=0),StackCost*TM!J13,0)</f>
        <v/>
      </c>
      <c r="K8" s="18">
        <f>IF(AND(TM!K8=1,TM!K12&gt;0,MOD(ROUND(TM!K12,4),StackIntervalYears)=0),StackCost*TM!K13,0)</f>
        <v/>
      </c>
      <c r="L8" s="18">
        <f>IF(AND(TM!L8=1,TM!L12&gt;0,MOD(ROUND(TM!L12,4),StackIntervalYears)=0),StackCost*TM!L13,0)</f>
        <v/>
      </c>
      <c r="M8" s="18">
        <f>IF(AND(TM!M8=1,TM!M12&gt;0,MOD(ROUND(TM!M12,4),StackIntervalYears)=0),StackCost*TM!M13,0)</f>
        <v/>
      </c>
      <c r="N8" s="18">
        <f>IF(AND(TM!N8=1,TM!N12&gt;0,MOD(ROUND(TM!N12,4),StackIntervalYears)=0),StackCost*TM!N13,0)</f>
        <v/>
      </c>
      <c r="O8" s="18">
        <f>IF(AND(TM!O8=1,TM!O12&gt;0,MOD(ROUND(TM!O12,4),StackIntervalYears)=0),StackCost*TM!O13,0)</f>
        <v/>
      </c>
      <c r="P8" s="18">
        <f>IF(AND(TM!P8=1,TM!P12&gt;0,MOD(ROUND(TM!P12,4),StackIntervalYears)=0),StackCost*TM!P13,0)</f>
        <v/>
      </c>
      <c r="Q8" s="18">
        <f>IF(AND(TM!Q8=1,TM!Q12&gt;0,MOD(ROUND(TM!Q12,4),StackIntervalYears)=0),StackCost*TM!Q13,0)</f>
        <v/>
      </c>
      <c r="R8" s="18">
        <f>IF(AND(TM!R8=1,TM!R12&gt;0,MOD(ROUND(TM!R12,4),StackIntervalYears)=0),StackCost*TM!R13,0)</f>
        <v/>
      </c>
      <c r="S8" s="18">
        <f>IF(AND(TM!S8=1,TM!S12&gt;0,MOD(ROUND(TM!S12,4),StackIntervalYears)=0),StackCost*TM!S13,0)</f>
        <v/>
      </c>
      <c r="T8" s="18">
        <f>IF(AND(TM!T8=1,TM!T12&gt;0,MOD(ROUND(TM!T12,4),StackIntervalYears)=0),StackCost*TM!T13,0)</f>
        <v/>
      </c>
      <c r="U8" s="18">
        <f>IF(AND(TM!U8=1,TM!U12&gt;0,MOD(ROUND(TM!U12,4),StackIntervalYears)=0),StackCost*TM!U13,0)</f>
        <v/>
      </c>
      <c r="V8" s="18">
        <f>IF(AND(TM!V8=1,TM!V12&gt;0,MOD(ROUND(TM!V12,4),StackIntervalYears)=0),StackCost*TM!V13,0)</f>
        <v/>
      </c>
      <c r="W8" s="18">
        <f>IF(AND(TM!W8=1,TM!W12&gt;0,MOD(ROUND(TM!W12,4),StackIntervalYears)=0),StackCost*TM!W13,0)</f>
        <v/>
      </c>
      <c r="X8" s="18">
        <f>IF(AND(TM!X8=1,TM!X12&gt;0,MOD(ROUND(TM!X12,4),StackIntervalYears)=0),StackCost*TM!X13,0)</f>
        <v/>
      </c>
      <c r="Y8" s="18">
        <f>IF(AND(TM!Y8=1,TM!Y12&gt;0,MOD(ROUND(TM!Y12,4),StackIntervalYears)=0),StackCost*TM!Y13,0)</f>
        <v/>
      </c>
      <c r="Z8" s="18">
        <f>IF(AND(TM!Z8=1,TM!Z12&gt;0,MOD(ROUND(TM!Z12,4),StackIntervalYears)=0),StackCost*TM!Z13,0)</f>
        <v/>
      </c>
      <c r="AA8" s="18">
        <f>IF(AND(TM!AA8=1,TM!AA12&gt;0,MOD(ROUND(TM!AA12,4),StackIntervalYears)=0),StackCost*TM!AA13,0)</f>
        <v/>
      </c>
      <c r="AB8" s="18">
        <f>IF(AND(TM!AB8=1,TM!AB12&gt;0,MOD(ROUND(TM!AB12,4),StackIntervalYears)=0),StackCost*TM!AB13,0)</f>
        <v/>
      </c>
      <c r="AC8" s="18">
        <f>IF(AND(TM!AC8=1,TM!AC12&gt;0,MOD(ROUND(TM!AC12,4),StackIntervalYears)=0),StackCost*TM!AC13,0)</f>
        <v/>
      </c>
      <c r="AD8" s="18">
        <f>IF(AND(TM!AD8=1,TM!AD12&gt;0,MOD(ROUND(TM!AD12,4),StackIntervalYears)=0),StackCost*TM!AD13,0)</f>
        <v/>
      </c>
      <c r="AE8" s="18">
        <f>IF(AND(TM!AE8=1,TM!AE12&gt;0,MOD(ROUND(TM!AE12,4),StackIntervalYears)=0),StackCost*TM!AE13,0)</f>
        <v/>
      </c>
      <c r="AF8" s="18">
        <f>IF(AND(TM!AF8=1,TM!AF12&gt;0,MOD(ROUND(TM!AF12,4),StackIntervalYears)=0),StackCost*TM!AF13,0)</f>
        <v/>
      </c>
      <c r="AG8" s="18">
        <f>IF(AND(TM!AG8=1,TM!AG12&gt;0,MOD(ROUND(TM!AG12,4),StackIntervalYears)=0),StackCost*TM!AG13,0)</f>
        <v/>
      </c>
      <c r="AH8" s="18">
        <f>IF(AND(TM!AH8=1,TM!AH12&gt;0,MOD(ROUND(TM!AH12,4),StackIntervalYears)=0),StackCost*TM!AH13,0)</f>
        <v/>
      </c>
      <c r="AI8" s="18">
        <f>IF(AND(TM!AI8=1,TM!AI12&gt;0,MOD(ROUND(TM!AI12,4),StackIntervalYears)=0),StackCost*TM!AI13,0)</f>
        <v/>
      </c>
      <c r="AJ8" s="18">
        <f>IF(AND(TM!AJ8=1,TM!AJ12&gt;0,MOD(ROUND(TM!AJ12,4),StackIntervalYears)=0),StackCost*TM!AJ13,0)</f>
        <v/>
      </c>
      <c r="AK8" s="18">
        <f>IF(AND(TM!AK8=1,TM!AK12&gt;0,MOD(ROUND(TM!AK12,4),StackIntervalYears)=0),StackCost*TM!AK13,0)</f>
        <v/>
      </c>
      <c r="AL8" s="18">
        <f>IF(AND(TM!AL8=1,TM!AL12&gt;0,MOD(ROUND(TM!AL12,4),StackIntervalYears)=0),StackCost*TM!AL13,0)</f>
        <v/>
      </c>
      <c r="AM8" s="18">
        <f>IF(AND(TM!AM8=1,TM!AM12&gt;0,MOD(ROUND(TM!AM12,4),StackIntervalYears)=0),StackCost*TM!AM13,0)</f>
        <v/>
      </c>
      <c r="AN8" s="18">
        <f>IF(AND(TM!AN8=1,TM!AN12&gt;0,MOD(ROUND(TM!AN12,4),StackIntervalYears)=0),StackCost*TM!AN13,0)</f>
        <v/>
      </c>
      <c r="AO8" s="18">
        <f>IF(AND(TM!AO8=1,TM!AO12&gt;0,MOD(ROUND(TM!AO12,4),StackIntervalYears)=0),StackCost*TM!AO13,0)</f>
        <v/>
      </c>
      <c r="AP8" s="18">
        <f>IF(AND(TM!AP8=1,TM!AP12&gt;0,MOD(ROUND(TM!AP12,4),StackIntervalYears)=0),StackCost*TM!AP13,0)</f>
        <v/>
      </c>
      <c r="AQ8" s="18">
        <f>IF(AND(TM!AQ8=1,TM!AQ12&gt;0,MOD(ROUND(TM!AQ12,4),StackIntervalYears)=0),StackCost*TM!AQ13,0)</f>
        <v/>
      </c>
      <c r="AR8" s="18">
        <f>IF(AND(TM!AR8=1,TM!AR12&gt;0,MOD(ROUND(TM!AR12,4),StackIntervalYears)=0),StackCost*TM!AR13,0)</f>
        <v/>
      </c>
      <c r="AS8" s="18">
        <f>IF(AND(TM!AS8=1,TM!AS12&gt;0,MOD(ROUND(TM!AS12,4),StackIntervalYears)=0),StackCost*TM!AS13,0)</f>
        <v/>
      </c>
      <c r="AT8" s="18">
        <f>IF(AND(TM!AT8=1,TM!AT12&gt;0,MOD(ROUND(TM!AT12,4),StackIntervalYears)=0),StackCost*TM!AT13,0)</f>
        <v/>
      </c>
      <c r="AU8" s="18">
        <f>IF(AND(TM!AU8=1,TM!AU12&gt;0,MOD(ROUND(TM!AU12,4),StackIntervalYears)=0),StackCost*TM!AU13,0)</f>
        <v/>
      </c>
      <c r="AV8" s="18">
        <f>IF(AND(TM!AV8=1,TM!AV12&gt;0,MOD(ROUND(TM!AV12,4),StackIntervalYears)=0),StackCost*TM!AV13,0)</f>
        <v/>
      </c>
      <c r="AW8" s="18">
        <f>IF(AND(TM!AW8=1,TM!AW12&gt;0,MOD(ROUND(TM!AW12,4),StackIntervalYears)=0),StackCost*TM!AW13,0)</f>
        <v/>
      </c>
      <c r="AX8" s="18">
        <f>IF(AND(TM!AX8=1,TM!AX12&gt;0,MOD(ROUND(TM!AX12,4),StackIntervalYears)=0),StackCost*TM!AX13,0)</f>
        <v/>
      </c>
      <c r="AY8" s="18">
        <f>IF(AND(TM!AY8=1,TM!AY12&gt;0,MOD(ROUND(TM!AY12,4),StackIntervalYears)=0),StackCost*TM!AY13,0)</f>
        <v/>
      </c>
      <c r="AZ8" s="18">
        <f>IF(AND(TM!AZ8=1,TM!AZ12&gt;0,MOD(ROUND(TM!AZ12,4),StackIntervalYears)=0),StackCost*TM!AZ13,0)</f>
        <v/>
      </c>
      <c r="BA8" s="18">
        <f>IF(AND(TM!BA8=1,TM!BA12&gt;0,MOD(ROUND(TM!BA12,4),StackIntervalYears)=0),StackCost*TM!BA13,0)</f>
        <v/>
      </c>
      <c r="BB8" s="18">
        <f>IF(AND(TM!BB8=1,TM!BB12&gt;0,MOD(ROUND(TM!BB12,4),StackIntervalYears)=0),StackCost*TM!BB13,0)</f>
        <v/>
      </c>
      <c r="BC8" s="18">
        <f>IF(AND(TM!BC8=1,TM!BC12&gt;0,MOD(ROUND(TM!BC12,4),StackIntervalYears)=0),StackCost*TM!BC13,0)</f>
        <v/>
      </c>
      <c r="BD8" s="18">
        <f>IF(AND(TM!BD8=1,TM!BD12&gt;0,MOD(ROUND(TM!BD12,4),StackIntervalYears)=0),StackCost*TM!BD13,0)</f>
        <v/>
      </c>
      <c r="BE8" s="18">
        <f>IF(AND(TM!BE8=1,TM!BE12&gt;0,MOD(ROUND(TM!BE12,4),StackIntervalYears)=0),StackCost*TM!BE13,0)</f>
        <v/>
      </c>
      <c r="BF8" s="18">
        <f>IF(AND(TM!BF8=1,TM!BF12&gt;0,MOD(ROUND(TM!BF12,4),StackIntervalYears)=0),StackCost*TM!BF13,0)</f>
        <v/>
      </c>
      <c r="BG8" s="18">
        <f>IF(AND(TM!BG8=1,TM!BG12&gt;0,MOD(ROUND(TM!BG12,4),StackIntervalYears)=0),StackCost*TM!BG13,0)</f>
        <v/>
      </c>
    </row>
    <row r="9">
      <c r="A9" s="3" t="inlineStr">
        <is>
          <t>Total cash opex (excl. stack)</t>
        </is>
      </c>
      <c r="C9" s="10" t="inlineStr">
        <is>
          <t>$</t>
        </is>
      </c>
      <c r="E9" s="18" t="n">
        <v>0</v>
      </c>
      <c r="F9" s="18">
        <f>F3+F4+F5+F6+F7</f>
        <v/>
      </c>
      <c r="G9" s="18">
        <f>G3+G4+G5+G6+G7</f>
        <v/>
      </c>
      <c r="H9" s="18">
        <f>H3+H4+H5+H6+H7</f>
        <v/>
      </c>
      <c r="I9" s="18">
        <f>I3+I4+I5+I6+I7</f>
        <v/>
      </c>
      <c r="J9" s="18">
        <f>J3+J4+J5+J6+J7</f>
        <v/>
      </c>
      <c r="K9" s="18">
        <f>K3+K4+K5+K6+K7</f>
        <v/>
      </c>
      <c r="L9" s="18">
        <f>L3+L4+L5+L6+L7</f>
        <v/>
      </c>
      <c r="M9" s="18">
        <f>M3+M4+M5+M6+M7</f>
        <v/>
      </c>
      <c r="N9" s="18">
        <f>N3+N4+N5+N6+N7</f>
        <v/>
      </c>
      <c r="O9" s="18">
        <f>O3+O4+O5+O6+O7</f>
        <v/>
      </c>
      <c r="P9" s="18">
        <f>P3+P4+P5+P6+P7</f>
        <v/>
      </c>
      <c r="Q9" s="18">
        <f>Q3+Q4+Q5+Q6+Q7</f>
        <v/>
      </c>
      <c r="R9" s="18">
        <f>R3+R4+R5+R6+R7</f>
        <v/>
      </c>
      <c r="S9" s="18">
        <f>S3+S4+S5+S6+S7</f>
        <v/>
      </c>
      <c r="T9" s="18">
        <f>T3+T4+T5+T6+T7</f>
        <v/>
      </c>
      <c r="U9" s="18">
        <f>U3+U4+U5+U6+U7</f>
        <v/>
      </c>
      <c r="V9" s="18">
        <f>V3+V4+V5+V6+V7</f>
        <v/>
      </c>
      <c r="W9" s="18">
        <f>W3+W4+W5+W6+W7</f>
        <v/>
      </c>
      <c r="X9" s="18">
        <f>X3+X4+X5+X6+X7</f>
        <v/>
      </c>
      <c r="Y9" s="18">
        <f>Y3+Y4+Y5+Y6+Y7</f>
        <v/>
      </c>
      <c r="Z9" s="18">
        <f>Z3+Z4+Z5+Z6+Z7</f>
        <v/>
      </c>
      <c r="AA9" s="18">
        <f>AA3+AA4+AA5+AA6+AA7</f>
        <v/>
      </c>
      <c r="AB9" s="18">
        <f>AB3+AB4+AB5+AB6+AB7</f>
        <v/>
      </c>
      <c r="AC9" s="18">
        <f>AC3+AC4+AC5+AC6+AC7</f>
        <v/>
      </c>
      <c r="AD9" s="18">
        <f>AD3+AD4+AD5+AD6+AD7</f>
        <v/>
      </c>
      <c r="AE9" s="18">
        <f>AE3+AE4+AE5+AE6+AE7</f>
        <v/>
      </c>
      <c r="AF9" s="18">
        <f>AF3+AF4+AF5+AF6+AF7</f>
        <v/>
      </c>
      <c r="AG9" s="18">
        <f>AG3+AG4+AG5+AG6+AG7</f>
        <v/>
      </c>
      <c r="AH9" s="18">
        <f>AH3+AH4+AH5+AH6+AH7</f>
        <v/>
      </c>
      <c r="AI9" s="18">
        <f>AI3+AI4+AI5+AI6+AI7</f>
        <v/>
      </c>
      <c r="AJ9" s="18">
        <f>AJ3+AJ4+AJ5+AJ6+AJ7</f>
        <v/>
      </c>
      <c r="AK9" s="18">
        <f>AK3+AK4+AK5+AK6+AK7</f>
        <v/>
      </c>
      <c r="AL9" s="18">
        <f>AL3+AL4+AL5+AL6+AL7</f>
        <v/>
      </c>
      <c r="AM9" s="18">
        <f>AM3+AM4+AM5+AM6+AM7</f>
        <v/>
      </c>
      <c r="AN9" s="18">
        <f>AN3+AN4+AN5+AN6+AN7</f>
        <v/>
      </c>
      <c r="AO9" s="18">
        <f>AO3+AO4+AO5+AO6+AO7</f>
        <v/>
      </c>
      <c r="AP9" s="18">
        <f>AP3+AP4+AP5+AP6+AP7</f>
        <v/>
      </c>
      <c r="AQ9" s="18">
        <f>AQ3+AQ4+AQ5+AQ6+AQ7</f>
        <v/>
      </c>
      <c r="AR9" s="18">
        <f>AR3+AR4+AR5+AR6+AR7</f>
        <v/>
      </c>
      <c r="AS9" s="18">
        <f>AS3+AS4+AS5+AS6+AS7</f>
        <v/>
      </c>
      <c r="AT9" s="18">
        <f>AT3+AT4+AT5+AT6+AT7</f>
        <v/>
      </c>
      <c r="AU9" s="18">
        <f>AU3+AU4+AU5+AU6+AU7</f>
        <v/>
      </c>
      <c r="AV9" s="18">
        <f>AV3+AV4+AV5+AV6+AV7</f>
        <v/>
      </c>
      <c r="AW9" s="18">
        <f>AW3+AW4+AW5+AW6+AW7</f>
        <v/>
      </c>
      <c r="AX9" s="18">
        <f>AX3+AX4+AX5+AX6+AX7</f>
        <v/>
      </c>
      <c r="AY9" s="18">
        <f>AY3+AY4+AY5+AY6+AY7</f>
        <v/>
      </c>
      <c r="AZ9" s="18">
        <f>AZ3+AZ4+AZ5+AZ6+AZ7</f>
        <v/>
      </c>
      <c r="BA9" s="18">
        <f>BA3+BA4+BA5+BA6+BA7</f>
        <v/>
      </c>
      <c r="BB9" s="18">
        <f>BB3+BB4+BB5+BB6+BB7</f>
        <v/>
      </c>
      <c r="BC9" s="18">
        <f>BC3+BC4+BC5+BC6+BC7</f>
        <v/>
      </c>
      <c r="BD9" s="18">
        <f>BD3+BD4+BD5+BD6+BD7</f>
        <v/>
      </c>
      <c r="BE9" s="18">
        <f>BE3+BE4+BE5+BE6+BE7</f>
        <v/>
      </c>
      <c r="BF9" s="18">
        <f>BF3+BF4+BF5+BF6+BF7</f>
        <v/>
      </c>
      <c r="BG9" s="18">
        <f>BG3+BG4+BG5+BG6+BG7</f>
        <v/>
      </c>
    </row>
    <row r="10">
      <c r="A10" s="3" t="inlineStr">
        <is>
          <t>EBITDA</t>
        </is>
      </c>
      <c r="C10" s="10" t="inlineStr">
        <is>
          <t>$</t>
        </is>
      </c>
      <c r="E10" s="18" t="n">
        <v>0</v>
      </c>
      <c r="F10" s="18">
        <f>PR!F7-F9</f>
        <v/>
      </c>
      <c r="G10" s="18">
        <f>PR!G7-G9</f>
        <v/>
      </c>
      <c r="H10" s="18">
        <f>PR!H7-H9</f>
        <v/>
      </c>
      <c r="I10" s="18">
        <f>PR!I7-I9</f>
        <v/>
      </c>
      <c r="J10" s="18">
        <f>PR!J7-J9</f>
        <v/>
      </c>
      <c r="K10" s="18">
        <f>PR!K7-K9</f>
        <v/>
      </c>
      <c r="L10" s="18">
        <f>PR!L7-L9</f>
        <v/>
      </c>
      <c r="M10" s="18">
        <f>PR!M7-M9</f>
        <v/>
      </c>
      <c r="N10" s="18">
        <f>PR!N7-N9</f>
        <v/>
      </c>
      <c r="O10" s="18">
        <f>PR!O7-O9</f>
        <v/>
      </c>
      <c r="P10" s="18">
        <f>PR!P7-P9</f>
        <v/>
      </c>
      <c r="Q10" s="18">
        <f>PR!Q7-Q9</f>
        <v/>
      </c>
      <c r="R10" s="18">
        <f>PR!R7-R9</f>
        <v/>
      </c>
      <c r="S10" s="18">
        <f>PR!S7-S9</f>
        <v/>
      </c>
      <c r="T10" s="18">
        <f>PR!T7-T9</f>
        <v/>
      </c>
      <c r="U10" s="18">
        <f>PR!U7-U9</f>
        <v/>
      </c>
      <c r="V10" s="18">
        <f>PR!V7-V9</f>
        <v/>
      </c>
      <c r="W10" s="18">
        <f>PR!W7-W9</f>
        <v/>
      </c>
      <c r="X10" s="18">
        <f>PR!X7-X9</f>
        <v/>
      </c>
      <c r="Y10" s="18">
        <f>PR!Y7-Y9</f>
        <v/>
      </c>
      <c r="Z10" s="18">
        <f>PR!Z7-Z9</f>
        <v/>
      </c>
      <c r="AA10" s="18">
        <f>PR!AA7-AA9</f>
        <v/>
      </c>
      <c r="AB10" s="18">
        <f>PR!AB7-AB9</f>
        <v/>
      </c>
      <c r="AC10" s="18">
        <f>PR!AC7-AC9</f>
        <v/>
      </c>
      <c r="AD10" s="18">
        <f>PR!AD7-AD9</f>
        <v/>
      </c>
      <c r="AE10" s="18">
        <f>PR!AE7-AE9</f>
        <v/>
      </c>
      <c r="AF10" s="18">
        <f>PR!AF7-AF9</f>
        <v/>
      </c>
      <c r="AG10" s="18">
        <f>PR!AG7-AG9</f>
        <v/>
      </c>
      <c r="AH10" s="18">
        <f>PR!AH7-AH9</f>
        <v/>
      </c>
      <c r="AI10" s="18">
        <f>PR!AI7-AI9</f>
        <v/>
      </c>
      <c r="AJ10" s="18">
        <f>PR!AJ7-AJ9</f>
        <v/>
      </c>
      <c r="AK10" s="18">
        <f>PR!AK7-AK9</f>
        <v/>
      </c>
      <c r="AL10" s="18">
        <f>PR!AL7-AL9</f>
        <v/>
      </c>
      <c r="AM10" s="18">
        <f>PR!AM7-AM9</f>
        <v/>
      </c>
      <c r="AN10" s="18">
        <f>PR!AN7-AN9</f>
        <v/>
      </c>
      <c r="AO10" s="18">
        <f>PR!AO7-AO9</f>
        <v/>
      </c>
      <c r="AP10" s="18">
        <f>PR!AP7-AP9</f>
        <v/>
      </c>
      <c r="AQ10" s="18">
        <f>PR!AQ7-AQ9</f>
        <v/>
      </c>
      <c r="AR10" s="18">
        <f>PR!AR7-AR9</f>
        <v/>
      </c>
      <c r="AS10" s="18">
        <f>PR!AS7-AS9</f>
        <v/>
      </c>
      <c r="AT10" s="18">
        <f>PR!AT7-AT9</f>
        <v/>
      </c>
      <c r="AU10" s="18">
        <f>PR!AU7-AU9</f>
        <v/>
      </c>
      <c r="AV10" s="18">
        <f>PR!AV7-AV9</f>
        <v/>
      </c>
      <c r="AW10" s="18">
        <f>PR!AW7-AW9</f>
        <v/>
      </c>
      <c r="AX10" s="18">
        <f>PR!AX7-AX9</f>
        <v/>
      </c>
      <c r="AY10" s="18">
        <f>PR!AY7-AY9</f>
        <v/>
      </c>
      <c r="AZ10" s="18">
        <f>PR!AZ7-AZ9</f>
        <v/>
      </c>
      <c r="BA10" s="18">
        <f>PR!BA7-BA9</f>
        <v/>
      </c>
      <c r="BB10" s="18">
        <f>PR!BB7-BB9</f>
        <v/>
      </c>
      <c r="BC10" s="18">
        <f>PR!BC7-BC9</f>
        <v/>
      </c>
      <c r="BD10" s="18">
        <f>PR!BD7-BD9</f>
        <v/>
      </c>
      <c r="BE10" s="18">
        <f>PR!BE7-BE9</f>
        <v/>
      </c>
      <c r="BF10" s="18">
        <f>PR!BF7-BF9</f>
        <v/>
      </c>
      <c r="BG10" s="18">
        <f>PR!BG7-BG9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G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WORKING CAPITAL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Debtors (receivables)</t>
        </is>
      </c>
      <c r="C3" s="10" t="inlineStr">
        <is>
          <t>$</t>
        </is>
      </c>
      <c r="E3" s="18" t="n">
        <v>0</v>
      </c>
      <c r="F3" s="18">
        <f>PR!F7/(365.25*PeriodYears)*DebtorDays</f>
        <v/>
      </c>
      <c r="G3" s="18">
        <f>PR!G7/(365.25*PeriodYears)*DebtorDays</f>
        <v/>
      </c>
      <c r="H3" s="18">
        <f>PR!H7/(365.25*PeriodYears)*DebtorDays</f>
        <v/>
      </c>
      <c r="I3" s="18">
        <f>PR!I7/(365.25*PeriodYears)*DebtorDays</f>
        <v/>
      </c>
      <c r="J3" s="18">
        <f>PR!J7/(365.25*PeriodYears)*DebtorDays</f>
        <v/>
      </c>
      <c r="K3" s="18">
        <f>PR!K7/(365.25*PeriodYears)*DebtorDays</f>
        <v/>
      </c>
      <c r="L3" s="18">
        <f>PR!L7/(365.25*PeriodYears)*DebtorDays</f>
        <v/>
      </c>
      <c r="M3" s="18">
        <f>PR!M7/(365.25*PeriodYears)*DebtorDays</f>
        <v/>
      </c>
      <c r="N3" s="18">
        <f>PR!N7/(365.25*PeriodYears)*DebtorDays</f>
        <v/>
      </c>
      <c r="O3" s="18">
        <f>PR!O7/(365.25*PeriodYears)*DebtorDays</f>
        <v/>
      </c>
      <c r="P3" s="18">
        <f>PR!P7/(365.25*PeriodYears)*DebtorDays</f>
        <v/>
      </c>
      <c r="Q3" s="18">
        <f>PR!Q7/(365.25*PeriodYears)*DebtorDays</f>
        <v/>
      </c>
      <c r="R3" s="18">
        <f>PR!R7/(365.25*PeriodYears)*DebtorDays</f>
        <v/>
      </c>
      <c r="S3" s="18">
        <f>PR!S7/(365.25*PeriodYears)*DebtorDays</f>
        <v/>
      </c>
      <c r="T3" s="18">
        <f>PR!T7/(365.25*PeriodYears)*DebtorDays</f>
        <v/>
      </c>
      <c r="U3" s="18">
        <f>PR!U7/(365.25*PeriodYears)*DebtorDays</f>
        <v/>
      </c>
      <c r="V3" s="18">
        <f>PR!V7/(365.25*PeriodYears)*DebtorDays</f>
        <v/>
      </c>
      <c r="W3" s="18">
        <f>PR!W7/(365.25*PeriodYears)*DebtorDays</f>
        <v/>
      </c>
      <c r="X3" s="18">
        <f>PR!X7/(365.25*PeriodYears)*DebtorDays</f>
        <v/>
      </c>
      <c r="Y3" s="18">
        <f>PR!Y7/(365.25*PeriodYears)*DebtorDays</f>
        <v/>
      </c>
      <c r="Z3" s="18">
        <f>PR!Z7/(365.25*PeriodYears)*DebtorDays</f>
        <v/>
      </c>
      <c r="AA3" s="18">
        <f>PR!AA7/(365.25*PeriodYears)*DebtorDays</f>
        <v/>
      </c>
      <c r="AB3" s="18">
        <f>PR!AB7/(365.25*PeriodYears)*DebtorDays</f>
        <v/>
      </c>
      <c r="AC3" s="18">
        <f>PR!AC7/(365.25*PeriodYears)*DebtorDays</f>
        <v/>
      </c>
      <c r="AD3" s="18">
        <f>PR!AD7/(365.25*PeriodYears)*DebtorDays</f>
        <v/>
      </c>
      <c r="AE3" s="18">
        <f>PR!AE7/(365.25*PeriodYears)*DebtorDays</f>
        <v/>
      </c>
      <c r="AF3" s="18">
        <f>PR!AF7/(365.25*PeriodYears)*DebtorDays</f>
        <v/>
      </c>
      <c r="AG3" s="18">
        <f>PR!AG7/(365.25*PeriodYears)*DebtorDays</f>
        <v/>
      </c>
      <c r="AH3" s="18">
        <f>PR!AH7/(365.25*PeriodYears)*DebtorDays</f>
        <v/>
      </c>
      <c r="AI3" s="18">
        <f>PR!AI7/(365.25*PeriodYears)*DebtorDays</f>
        <v/>
      </c>
      <c r="AJ3" s="18">
        <f>PR!AJ7/(365.25*PeriodYears)*DebtorDays</f>
        <v/>
      </c>
      <c r="AK3" s="18">
        <f>PR!AK7/(365.25*PeriodYears)*DebtorDays</f>
        <v/>
      </c>
      <c r="AL3" s="18">
        <f>PR!AL7/(365.25*PeriodYears)*DebtorDays</f>
        <v/>
      </c>
      <c r="AM3" s="18">
        <f>PR!AM7/(365.25*PeriodYears)*DebtorDays</f>
        <v/>
      </c>
      <c r="AN3" s="18">
        <f>PR!AN7/(365.25*PeriodYears)*DebtorDays</f>
        <v/>
      </c>
      <c r="AO3" s="18">
        <f>PR!AO7/(365.25*PeriodYears)*DebtorDays</f>
        <v/>
      </c>
      <c r="AP3" s="18">
        <f>PR!AP7/(365.25*PeriodYears)*DebtorDays</f>
        <v/>
      </c>
      <c r="AQ3" s="18">
        <f>PR!AQ7/(365.25*PeriodYears)*DebtorDays</f>
        <v/>
      </c>
      <c r="AR3" s="18">
        <f>PR!AR7/(365.25*PeriodYears)*DebtorDays</f>
        <v/>
      </c>
      <c r="AS3" s="18">
        <f>PR!AS7/(365.25*PeriodYears)*DebtorDays</f>
        <v/>
      </c>
      <c r="AT3" s="18">
        <f>PR!AT7/(365.25*PeriodYears)*DebtorDays</f>
        <v/>
      </c>
      <c r="AU3" s="18">
        <f>PR!AU7/(365.25*PeriodYears)*DebtorDays</f>
        <v/>
      </c>
      <c r="AV3" s="18">
        <f>PR!AV7/(365.25*PeriodYears)*DebtorDays</f>
        <v/>
      </c>
      <c r="AW3" s="18">
        <f>PR!AW7/(365.25*PeriodYears)*DebtorDays</f>
        <v/>
      </c>
      <c r="AX3" s="18">
        <f>PR!AX7/(365.25*PeriodYears)*DebtorDays</f>
        <v/>
      </c>
      <c r="AY3" s="18">
        <f>PR!AY7/(365.25*PeriodYears)*DebtorDays</f>
        <v/>
      </c>
      <c r="AZ3" s="18">
        <f>PR!AZ7/(365.25*PeriodYears)*DebtorDays</f>
        <v/>
      </c>
      <c r="BA3" s="18">
        <f>PR!BA7/(365.25*PeriodYears)*DebtorDays</f>
        <v/>
      </c>
      <c r="BB3" s="18">
        <f>PR!BB7/(365.25*PeriodYears)*DebtorDays</f>
        <v/>
      </c>
      <c r="BC3" s="18">
        <f>PR!BC7/(365.25*PeriodYears)*DebtorDays</f>
        <v/>
      </c>
      <c r="BD3" s="18">
        <f>PR!BD7/(365.25*PeriodYears)*DebtorDays</f>
        <v/>
      </c>
      <c r="BE3" s="18">
        <f>PR!BE7/(365.25*PeriodYears)*DebtorDays</f>
        <v/>
      </c>
      <c r="BF3" s="18">
        <f>PR!BF7/(365.25*PeriodYears)*DebtorDays</f>
        <v/>
      </c>
      <c r="BG3" s="18">
        <f>PR!BG7/(365.25*PeriodYears)*DebtorDays</f>
        <v/>
      </c>
    </row>
    <row r="4">
      <c r="A4" t="inlineStr">
        <is>
          <t>Creditors (payables)</t>
        </is>
      </c>
      <c r="C4" s="10" t="inlineStr">
        <is>
          <t>$</t>
        </is>
      </c>
      <c r="E4" s="18" t="n">
        <v>0</v>
      </c>
      <c r="F4" s="18">
        <f>OP!F9/(365.25*PeriodYears)*CreditorDays</f>
        <v/>
      </c>
      <c r="G4" s="18">
        <f>OP!G9/(365.25*PeriodYears)*CreditorDays</f>
        <v/>
      </c>
      <c r="H4" s="18">
        <f>OP!H9/(365.25*PeriodYears)*CreditorDays</f>
        <v/>
      </c>
      <c r="I4" s="18">
        <f>OP!I9/(365.25*PeriodYears)*CreditorDays</f>
        <v/>
      </c>
      <c r="J4" s="18">
        <f>OP!J9/(365.25*PeriodYears)*CreditorDays</f>
        <v/>
      </c>
      <c r="K4" s="18">
        <f>OP!K9/(365.25*PeriodYears)*CreditorDays</f>
        <v/>
      </c>
      <c r="L4" s="18">
        <f>OP!L9/(365.25*PeriodYears)*CreditorDays</f>
        <v/>
      </c>
      <c r="M4" s="18">
        <f>OP!M9/(365.25*PeriodYears)*CreditorDays</f>
        <v/>
      </c>
      <c r="N4" s="18">
        <f>OP!N9/(365.25*PeriodYears)*CreditorDays</f>
        <v/>
      </c>
      <c r="O4" s="18">
        <f>OP!O9/(365.25*PeriodYears)*CreditorDays</f>
        <v/>
      </c>
      <c r="P4" s="18">
        <f>OP!P9/(365.25*PeriodYears)*CreditorDays</f>
        <v/>
      </c>
      <c r="Q4" s="18">
        <f>OP!Q9/(365.25*PeriodYears)*CreditorDays</f>
        <v/>
      </c>
      <c r="R4" s="18">
        <f>OP!R9/(365.25*PeriodYears)*CreditorDays</f>
        <v/>
      </c>
      <c r="S4" s="18">
        <f>OP!S9/(365.25*PeriodYears)*CreditorDays</f>
        <v/>
      </c>
      <c r="T4" s="18">
        <f>OP!T9/(365.25*PeriodYears)*CreditorDays</f>
        <v/>
      </c>
      <c r="U4" s="18">
        <f>OP!U9/(365.25*PeriodYears)*CreditorDays</f>
        <v/>
      </c>
      <c r="V4" s="18">
        <f>OP!V9/(365.25*PeriodYears)*CreditorDays</f>
        <v/>
      </c>
      <c r="W4" s="18">
        <f>OP!W9/(365.25*PeriodYears)*CreditorDays</f>
        <v/>
      </c>
      <c r="X4" s="18">
        <f>OP!X9/(365.25*PeriodYears)*CreditorDays</f>
        <v/>
      </c>
      <c r="Y4" s="18">
        <f>OP!Y9/(365.25*PeriodYears)*CreditorDays</f>
        <v/>
      </c>
      <c r="Z4" s="18">
        <f>OP!Z9/(365.25*PeriodYears)*CreditorDays</f>
        <v/>
      </c>
      <c r="AA4" s="18">
        <f>OP!AA9/(365.25*PeriodYears)*CreditorDays</f>
        <v/>
      </c>
      <c r="AB4" s="18">
        <f>OP!AB9/(365.25*PeriodYears)*CreditorDays</f>
        <v/>
      </c>
      <c r="AC4" s="18">
        <f>OP!AC9/(365.25*PeriodYears)*CreditorDays</f>
        <v/>
      </c>
      <c r="AD4" s="18">
        <f>OP!AD9/(365.25*PeriodYears)*CreditorDays</f>
        <v/>
      </c>
      <c r="AE4" s="18">
        <f>OP!AE9/(365.25*PeriodYears)*CreditorDays</f>
        <v/>
      </c>
      <c r="AF4" s="18">
        <f>OP!AF9/(365.25*PeriodYears)*CreditorDays</f>
        <v/>
      </c>
      <c r="AG4" s="18">
        <f>OP!AG9/(365.25*PeriodYears)*CreditorDays</f>
        <v/>
      </c>
      <c r="AH4" s="18">
        <f>OP!AH9/(365.25*PeriodYears)*CreditorDays</f>
        <v/>
      </c>
      <c r="AI4" s="18">
        <f>OP!AI9/(365.25*PeriodYears)*CreditorDays</f>
        <v/>
      </c>
      <c r="AJ4" s="18">
        <f>OP!AJ9/(365.25*PeriodYears)*CreditorDays</f>
        <v/>
      </c>
      <c r="AK4" s="18">
        <f>OP!AK9/(365.25*PeriodYears)*CreditorDays</f>
        <v/>
      </c>
      <c r="AL4" s="18">
        <f>OP!AL9/(365.25*PeriodYears)*CreditorDays</f>
        <v/>
      </c>
      <c r="AM4" s="18">
        <f>OP!AM9/(365.25*PeriodYears)*CreditorDays</f>
        <v/>
      </c>
      <c r="AN4" s="18">
        <f>OP!AN9/(365.25*PeriodYears)*CreditorDays</f>
        <v/>
      </c>
      <c r="AO4" s="18">
        <f>OP!AO9/(365.25*PeriodYears)*CreditorDays</f>
        <v/>
      </c>
      <c r="AP4" s="18">
        <f>OP!AP9/(365.25*PeriodYears)*CreditorDays</f>
        <v/>
      </c>
      <c r="AQ4" s="18">
        <f>OP!AQ9/(365.25*PeriodYears)*CreditorDays</f>
        <v/>
      </c>
      <c r="AR4" s="18">
        <f>OP!AR9/(365.25*PeriodYears)*CreditorDays</f>
        <v/>
      </c>
      <c r="AS4" s="18">
        <f>OP!AS9/(365.25*PeriodYears)*CreditorDays</f>
        <v/>
      </c>
      <c r="AT4" s="18">
        <f>OP!AT9/(365.25*PeriodYears)*CreditorDays</f>
        <v/>
      </c>
      <c r="AU4" s="18">
        <f>OP!AU9/(365.25*PeriodYears)*CreditorDays</f>
        <v/>
      </c>
      <c r="AV4" s="18">
        <f>OP!AV9/(365.25*PeriodYears)*CreditorDays</f>
        <v/>
      </c>
      <c r="AW4" s="18">
        <f>OP!AW9/(365.25*PeriodYears)*CreditorDays</f>
        <v/>
      </c>
      <c r="AX4" s="18">
        <f>OP!AX9/(365.25*PeriodYears)*CreditorDays</f>
        <v/>
      </c>
      <c r="AY4" s="18">
        <f>OP!AY9/(365.25*PeriodYears)*CreditorDays</f>
        <v/>
      </c>
      <c r="AZ4" s="18">
        <f>OP!AZ9/(365.25*PeriodYears)*CreditorDays</f>
        <v/>
      </c>
      <c r="BA4" s="18">
        <f>OP!BA9/(365.25*PeriodYears)*CreditorDays</f>
        <v/>
      </c>
      <c r="BB4" s="18">
        <f>OP!BB9/(365.25*PeriodYears)*CreditorDays</f>
        <v/>
      </c>
      <c r="BC4" s="18">
        <f>OP!BC9/(365.25*PeriodYears)*CreditorDays</f>
        <v/>
      </c>
      <c r="BD4" s="18">
        <f>OP!BD9/(365.25*PeriodYears)*CreditorDays</f>
        <v/>
      </c>
      <c r="BE4" s="18">
        <f>OP!BE9/(365.25*PeriodYears)*CreditorDays</f>
        <v/>
      </c>
      <c r="BF4" s="18">
        <f>OP!BF9/(365.25*PeriodYears)*CreditorDays</f>
        <v/>
      </c>
      <c r="BG4" s="18">
        <f>OP!BG9/(365.25*PeriodYears)*CreditorDays</f>
        <v/>
      </c>
    </row>
    <row r="5">
      <c r="A5" t="inlineStr">
        <is>
          <t>Net working capital</t>
        </is>
      </c>
      <c r="C5" s="10" t="inlineStr">
        <is>
          <t>$</t>
        </is>
      </c>
      <c r="E5" s="18" t="n">
        <v>0</v>
      </c>
      <c r="F5" s="18">
        <f>F3-F4</f>
        <v/>
      </c>
      <c r="G5" s="18">
        <f>G3-G4</f>
        <v/>
      </c>
      <c r="H5" s="18">
        <f>H3-H4</f>
        <v/>
      </c>
      <c r="I5" s="18">
        <f>I3-I4</f>
        <v/>
      </c>
      <c r="J5" s="18">
        <f>J3-J4</f>
        <v/>
      </c>
      <c r="K5" s="18">
        <f>K3-K4</f>
        <v/>
      </c>
      <c r="L5" s="18">
        <f>L3-L4</f>
        <v/>
      </c>
      <c r="M5" s="18">
        <f>M3-M4</f>
        <v/>
      </c>
      <c r="N5" s="18">
        <f>N3-N4</f>
        <v/>
      </c>
      <c r="O5" s="18">
        <f>O3-O4</f>
        <v/>
      </c>
      <c r="P5" s="18">
        <f>P3-P4</f>
        <v/>
      </c>
      <c r="Q5" s="18">
        <f>Q3-Q4</f>
        <v/>
      </c>
      <c r="R5" s="18">
        <f>R3-R4</f>
        <v/>
      </c>
      <c r="S5" s="18">
        <f>S3-S4</f>
        <v/>
      </c>
      <c r="T5" s="18">
        <f>T3-T4</f>
        <v/>
      </c>
      <c r="U5" s="18">
        <f>U3-U4</f>
        <v/>
      </c>
      <c r="V5" s="18">
        <f>V3-V4</f>
        <v/>
      </c>
      <c r="W5" s="18">
        <f>W3-W4</f>
        <v/>
      </c>
      <c r="X5" s="18">
        <f>X3-X4</f>
        <v/>
      </c>
      <c r="Y5" s="18">
        <f>Y3-Y4</f>
        <v/>
      </c>
      <c r="Z5" s="18">
        <f>Z3-Z4</f>
        <v/>
      </c>
      <c r="AA5" s="18">
        <f>AA3-AA4</f>
        <v/>
      </c>
      <c r="AB5" s="18">
        <f>AB3-AB4</f>
        <v/>
      </c>
      <c r="AC5" s="18">
        <f>AC3-AC4</f>
        <v/>
      </c>
      <c r="AD5" s="18">
        <f>AD3-AD4</f>
        <v/>
      </c>
      <c r="AE5" s="18">
        <f>AE3-AE4</f>
        <v/>
      </c>
      <c r="AF5" s="18">
        <f>AF3-AF4</f>
        <v/>
      </c>
      <c r="AG5" s="18">
        <f>AG3-AG4</f>
        <v/>
      </c>
      <c r="AH5" s="18">
        <f>AH3-AH4</f>
        <v/>
      </c>
      <c r="AI5" s="18">
        <f>AI3-AI4</f>
        <v/>
      </c>
      <c r="AJ5" s="18">
        <f>AJ3-AJ4</f>
        <v/>
      </c>
      <c r="AK5" s="18">
        <f>AK3-AK4</f>
        <v/>
      </c>
      <c r="AL5" s="18">
        <f>AL3-AL4</f>
        <v/>
      </c>
      <c r="AM5" s="18">
        <f>AM3-AM4</f>
        <v/>
      </c>
      <c r="AN5" s="18">
        <f>AN3-AN4</f>
        <v/>
      </c>
      <c r="AO5" s="18">
        <f>AO3-AO4</f>
        <v/>
      </c>
      <c r="AP5" s="18">
        <f>AP3-AP4</f>
        <v/>
      </c>
      <c r="AQ5" s="18">
        <f>AQ3-AQ4</f>
        <v/>
      </c>
      <c r="AR5" s="18">
        <f>AR3-AR4</f>
        <v/>
      </c>
      <c r="AS5" s="18">
        <f>AS3-AS4</f>
        <v/>
      </c>
      <c r="AT5" s="18">
        <f>AT3-AT4</f>
        <v/>
      </c>
      <c r="AU5" s="18">
        <f>AU3-AU4</f>
        <v/>
      </c>
      <c r="AV5" s="18">
        <f>AV3-AV4</f>
        <v/>
      </c>
      <c r="AW5" s="18">
        <f>AW3-AW4</f>
        <v/>
      </c>
      <c r="AX5" s="18">
        <f>AX3-AX4</f>
        <v/>
      </c>
      <c r="AY5" s="18">
        <f>AY3-AY4</f>
        <v/>
      </c>
      <c r="AZ5" s="18">
        <f>AZ3-AZ4</f>
        <v/>
      </c>
      <c r="BA5" s="18">
        <f>BA3-BA4</f>
        <v/>
      </c>
      <c r="BB5" s="18">
        <f>BB3-BB4</f>
        <v/>
      </c>
      <c r="BC5" s="18">
        <f>BC3-BC4</f>
        <v/>
      </c>
      <c r="BD5" s="18">
        <f>BD3-BD4</f>
        <v/>
      </c>
      <c r="BE5" s="18">
        <f>BE3-BE4</f>
        <v/>
      </c>
      <c r="BF5" s="18">
        <f>BF3-BF4</f>
        <v/>
      </c>
      <c r="BG5" s="18">
        <f>BG3-BG4</f>
        <v/>
      </c>
    </row>
    <row r="6">
      <c r="A6" t="inlineStr">
        <is>
          <t>Increase in NWC (cash outflow)</t>
        </is>
      </c>
      <c r="C6" s="10" t="inlineStr">
        <is>
          <t>$</t>
        </is>
      </c>
      <c r="E6" s="18" t="n">
        <v>0</v>
      </c>
      <c r="F6" s="18">
        <f>F5-E5</f>
        <v/>
      </c>
      <c r="G6" s="18">
        <f>G5-F5</f>
        <v/>
      </c>
      <c r="H6" s="18">
        <f>H5-G5</f>
        <v/>
      </c>
      <c r="I6" s="18">
        <f>I5-H5</f>
        <v/>
      </c>
      <c r="J6" s="18">
        <f>J5-I5</f>
        <v/>
      </c>
      <c r="K6" s="18">
        <f>K5-J5</f>
        <v/>
      </c>
      <c r="L6" s="18">
        <f>L5-K5</f>
        <v/>
      </c>
      <c r="M6" s="18">
        <f>M5-L5</f>
        <v/>
      </c>
      <c r="N6" s="18">
        <f>N5-M5</f>
        <v/>
      </c>
      <c r="O6" s="18">
        <f>O5-N5</f>
        <v/>
      </c>
      <c r="P6" s="18">
        <f>P5-O5</f>
        <v/>
      </c>
      <c r="Q6" s="18">
        <f>Q5-P5</f>
        <v/>
      </c>
      <c r="R6" s="18">
        <f>R5-Q5</f>
        <v/>
      </c>
      <c r="S6" s="18">
        <f>S5-R5</f>
        <v/>
      </c>
      <c r="T6" s="18">
        <f>T5-S5</f>
        <v/>
      </c>
      <c r="U6" s="18">
        <f>U5-T5</f>
        <v/>
      </c>
      <c r="V6" s="18">
        <f>V5-U5</f>
        <v/>
      </c>
      <c r="W6" s="18">
        <f>W5-V5</f>
        <v/>
      </c>
      <c r="X6" s="18">
        <f>X5-W5</f>
        <v/>
      </c>
      <c r="Y6" s="18">
        <f>Y5-X5</f>
        <v/>
      </c>
      <c r="Z6" s="18">
        <f>Z5-Y5</f>
        <v/>
      </c>
      <c r="AA6" s="18">
        <f>AA5-Z5</f>
        <v/>
      </c>
      <c r="AB6" s="18">
        <f>AB5-AA5</f>
        <v/>
      </c>
      <c r="AC6" s="18">
        <f>AC5-AB5</f>
        <v/>
      </c>
      <c r="AD6" s="18">
        <f>AD5-AC5</f>
        <v/>
      </c>
      <c r="AE6" s="18">
        <f>AE5-AD5</f>
        <v/>
      </c>
      <c r="AF6" s="18">
        <f>AF5-AE5</f>
        <v/>
      </c>
      <c r="AG6" s="18">
        <f>AG5-AF5</f>
        <v/>
      </c>
      <c r="AH6" s="18">
        <f>AH5-AG5</f>
        <v/>
      </c>
      <c r="AI6" s="18">
        <f>AI5-AH5</f>
        <v/>
      </c>
      <c r="AJ6" s="18">
        <f>AJ5-AI5</f>
        <v/>
      </c>
      <c r="AK6" s="18">
        <f>AK5-AJ5</f>
        <v/>
      </c>
      <c r="AL6" s="18">
        <f>AL5-AK5</f>
        <v/>
      </c>
      <c r="AM6" s="18">
        <f>AM5-AL5</f>
        <v/>
      </c>
      <c r="AN6" s="18">
        <f>AN5-AM5</f>
        <v/>
      </c>
      <c r="AO6" s="18">
        <f>AO5-AN5</f>
        <v/>
      </c>
      <c r="AP6" s="18">
        <f>AP5-AO5</f>
        <v/>
      </c>
      <c r="AQ6" s="18">
        <f>AQ5-AP5</f>
        <v/>
      </c>
      <c r="AR6" s="18">
        <f>AR5-AQ5</f>
        <v/>
      </c>
      <c r="AS6" s="18">
        <f>AS5-AR5</f>
        <v/>
      </c>
      <c r="AT6" s="18">
        <f>AT5-AS5</f>
        <v/>
      </c>
      <c r="AU6" s="18">
        <f>AU5-AT5</f>
        <v/>
      </c>
      <c r="AV6" s="18">
        <f>AV5-AU5</f>
        <v/>
      </c>
      <c r="AW6" s="18">
        <f>AW5-AV5</f>
        <v/>
      </c>
      <c r="AX6" s="18">
        <f>AX5-AW5</f>
        <v/>
      </c>
      <c r="AY6" s="18">
        <f>AY5-AX5</f>
        <v/>
      </c>
      <c r="AZ6" s="18">
        <f>AZ5-AY5</f>
        <v/>
      </c>
      <c r="BA6" s="18">
        <f>BA5-AZ5</f>
        <v/>
      </c>
      <c r="BB6" s="18">
        <f>BB5-BA5</f>
        <v/>
      </c>
      <c r="BC6" s="18">
        <f>BC5-BB5</f>
        <v/>
      </c>
      <c r="BD6" s="18">
        <f>BD5-BC5</f>
        <v/>
      </c>
      <c r="BE6" s="18">
        <f>BE5-BD5</f>
        <v/>
      </c>
      <c r="BF6" s="18">
        <f>BF5-BE5</f>
        <v/>
      </c>
      <c r="BG6" s="18">
        <f>BG5-BF5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G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TAX  —  depreciation, losses, charge (paid one period in arrears)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Depreciation base added</t>
        </is>
      </c>
      <c r="C3" s="10" t="inlineStr">
        <is>
          <t>$</t>
        </is>
      </c>
      <c r="E3" s="18" t="n">
        <v>0</v>
      </c>
      <c r="F3" s="18">
        <f>CX!F12</f>
        <v/>
      </c>
      <c r="G3" s="18">
        <f>CX!G12</f>
        <v/>
      </c>
      <c r="H3" s="18">
        <f>CX!H12</f>
        <v/>
      </c>
      <c r="I3" s="18">
        <f>CX!I12</f>
        <v/>
      </c>
      <c r="J3" s="18">
        <f>CX!J12</f>
        <v/>
      </c>
      <c r="K3" s="18">
        <f>CX!K12</f>
        <v/>
      </c>
      <c r="L3" s="18">
        <f>CX!L12</f>
        <v/>
      </c>
      <c r="M3" s="18">
        <f>CX!M12</f>
        <v/>
      </c>
      <c r="N3" s="18">
        <f>CX!N12</f>
        <v/>
      </c>
      <c r="O3" s="18">
        <f>CX!O12</f>
        <v/>
      </c>
      <c r="P3" s="18">
        <f>CX!P12</f>
        <v/>
      </c>
      <c r="Q3" s="18">
        <f>CX!Q12</f>
        <v/>
      </c>
      <c r="R3" s="18">
        <f>CX!R12</f>
        <v/>
      </c>
      <c r="S3" s="18">
        <f>CX!S12</f>
        <v/>
      </c>
      <c r="T3" s="18">
        <f>CX!T12</f>
        <v/>
      </c>
      <c r="U3" s="18">
        <f>CX!U12</f>
        <v/>
      </c>
      <c r="V3" s="18">
        <f>CX!V12</f>
        <v/>
      </c>
      <c r="W3" s="18">
        <f>CX!W12</f>
        <v/>
      </c>
      <c r="X3" s="18">
        <f>CX!X12</f>
        <v/>
      </c>
      <c r="Y3" s="18">
        <f>CX!Y12</f>
        <v/>
      </c>
      <c r="Z3" s="18">
        <f>CX!Z12</f>
        <v/>
      </c>
      <c r="AA3" s="18">
        <f>CX!AA12</f>
        <v/>
      </c>
      <c r="AB3" s="18">
        <f>CX!AB12</f>
        <v/>
      </c>
      <c r="AC3" s="18">
        <f>CX!AC12</f>
        <v/>
      </c>
      <c r="AD3" s="18">
        <f>CX!AD12</f>
        <v/>
      </c>
      <c r="AE3" s="18">
        <f>CX!AE12</f>
        <v/>
      </c>
      <c r="AF3" s="18">
        <f>CX!AF12</f>
        <v/>
      </c>
      <c r="AG3" s="18">
        <f>CX!AG12</f>
        <v/>
      </c>
      <c r="AH3" s="18">
        <f>CX!AH12</f>
        <v/>
      </c>
      <c r="AI3" s="18">
        <f>CX!AI12</f>
        <v/>
      </c>
      <c r="AJ3" s="18">
        <f>CX!AJ12</f>
        <v/>
      </c>
      <c r="AK3" s="18">
        <f>CX!AK12</f>
        <v/>
      </c>
      <c r="AL3" s="18">
        <f>CX!AL12</f>
        <v/>
      </c>
      <c r="AM3" s="18">
        <f>CX!AM12</f>
        <v/>
      </c>
      <c r="AN3" s="18">
        <f>CX!AN12</f>
        <v/>
      </c>
      <c r="AO3" s="18">
        <f>CX!AO12</f>
        <v/>
      </c>
      <c r="AP3" s="18">
        <f>CX!AP12</f>
        <v/>
      </c>
      <c r="AQ3" s="18">
        <f>CX!AQ12</f>
        <v/>
      </c>
      <c r="AR3" s="18">
        <f>CX!AR12</f>
        <v/>
      </c>
      <c r="AS3" s="18">
        <f>CX!AS12</f>
        <v/>
      </c>
      <c r="AT3" s="18">
        <f>CX!AT12</f>
        <v/>
      </c>
      <c r="AU3" s="18">
        <f>CX!AU12</f>
        <v/>
      </c>
      <c r="AV3" s="18">
        <f>CX!AV12</f>
        <v/>
      </c>
      <c r="AW3" s="18">
        <f>CX!AW12</f>
        <v/>
      </c>
      <c r="AX3" s="18">
        <f>CX!AX12</f>
        <v/>
      </c>
      <c r="AY3" s="18">
        <f>CX!AY12</f>
        <v/>
      </c>
      <c r="AZ3" s="18">
        <f>CX!AZ12</f>
        <v/>
      </c>
      <c r="BA3" s="18">
        <f>CX!BA12</f>
        <v/>
      </c>
      <c r="BB3" s="18">
        <f>CX!BB12</f>
        <v/>
      </c>
      <c r="BC3" s="18">
        <f>CX!BC12</f>
        <v/>
      </c>
      <c r="BD3" s="18">
        <f>CX!BD12</f>
        <v/>
      </c>
      <c r="BE3" s="18">
        <f>CX!BE12</f>
        <v/>
      </c>
      <c r="BF3" s="18">
        <f>CX!BF12</f>
        <v/>
      </c>
      <c r="BG3" s="18">
        <f>CX!BG12</f>
        <v/>
      </c>
    </row>
    <row r="4">
      <c r="A4" t="inlineStr">
        <is>
          <t>Remaining depreciable — opening</t>
        </is>
      </c>
      <c r="C4" s="10" t="inlineStr">
        <is>
          <t>$</t>
        </is>
      </c>
      <c r="E4" s="18" t="n">
        <v>0</v>
      </c>
      <c r="F4" s="18">
        <f>E6+F3</f>
        <v/>
      </c>
      <c r="G4" s="18">
        <f>F6+G3</f>
        <v/>
      </c>
      <c r="H4" s="18">
        <f>G6+H3</f>
        <v/>
      </c>
      <c r="I4" s="18">
        <f>H6+I3</f>
        <v/>
      </c>
      <c r="J4" s="18">
        <f>I6+J3</f>
        <v/>
      </c>
      <c r="K4" s="18">
        <f>J6+K3</f>
        <v/>
      </c>
      <c r="L4" s="18">
        <f>K6+L3</f>
        <v/>
      </c>
      <c r="M4" s="18">
        <f>L6+M3</f>
        <v/>
      </c>
      <c r="N4" s="18">
        <f>M6+N3</f>
        <v/>
      </c>
      <c r="O4" s="18">
        <f>N6+O3</f>
        <v/>
      </c>
      <c r="P4" s="18">
        <f>O6+P3</f>
        <v/>
      </c>
      <c r="Q4" s="18">
        <f>P6+Q3</f>
        <v/>
      </c>
      <c r="R4" s="18">
        <f>Q6+R3</f>
        <v/>
      </c>
      <c r="S4" s="18">
        <f>R6+S3</f>
        <v/>
      </c>
      <c r="T4" s="18">
        <f>S6+T3</f>
        <v/>
      </c>
      <c r="U4" s="18">
        <f>T6+U3</f>
        <v/>
      </c>
      <c r="V4" s="18">
        <f>U6+V3</f>
        <v/>
      </c>
      <c r="W4" s="18">
        <f>V6+W3</f>
        <v/>
      </c>
      <c r="X4" s="18">
        <f>W6+X3</f>
        <v/>
      </c>
      <c r="Y4" s="18">
        <f>X6+Y3</f>
        <v/>
      </c>
      <c r="Z4" s="18">
        <f>Y6+Z3</f>
        <v/>
      </c>
      <c r="AA4" s="18">
        <f>Z6+AA3</f>
        <v/>
      </c>
      <c r="AB4" s="18">
        <f>AA6+AB3</f>
        <v/>
      </c>
      <c r="AC4" s="18">
        <f>AB6+AC3</f>
        <v/>
      </c>
      <c r="AD4" s="18">
        <f>AC6+AD3</f>
        <v/>
      </c>
      <c r="AE4" s="18">
        <f>AD6+AE3</f>
        <v/>
      </c>
      <c r="AF4" s="18">
        <f>AE6+AF3</f>
        <v/>
      </c>
      <c r="AG4" s="18">
        <f>AF6+AG3</f>
        <v/>
      </c>
      <c r="AH4" s="18">
        <f>AG6+AH3</f>
        <v/>
      </c>
      <c r="AI4" s="18">
        <f>AH6+AI3</f>
        <v/>
      </c>
      <c r="AJ4" s="18">
        <f>AI6+AJ3</f>
        <v/>
      </c>
      <c r="AK4" s="18">
        <f>AJ6+AK3</f>
        <v/>
      </c>
      <c r="AL4" s="18">
        <f>AK6+AL3</f>
        <v/>
      </c>
      <c r="AM4" s="18">
        <f>AL6+AM3</f>
        <v/>
      </c>
      <c r="AN4" s="18">
        <f>AM6+AN3</f>
        <v/>
      </c>
      <c r="AO4" s="18">
        <f>AN6+AO3</f>
        <v/>
      </c>
      <c r="AP4" s="18">
        <f>AO6+AP3</f>
        <v/>
      </c>
      <c r="AQ4" s="18">
        <f>AP6+AQ3</f>
        <v/>
      </c>
      <c r="AR4" s="18">
        <f>AQ6+AR3</f>
        <v/>
      </c>
      <c r="AS4" s="18">
        <f>AR6+AS3</f>
        <v/>
      </c>
      <c r="AT4" s="18">
        <f>AS6+AT3</f>
        <v/>
      </c>
      <c r="AU4" s="18">
        <f>AT6+AU3</f>
        <v/>
      </c>
      <c r="AV4" s="18">
        <f>AU6+AV3</f>
        <v/>
      </c>
      <c r="AW4" s="18">
        <f>AV6+AW3</f>
        <v/>
      </c>
      <c r="AX4" s="18">
        <f>AW6+AX3</f>
        <v/>
      </c>
      <c r="AY4" s="18">
        <f>AX6+AY3</f>
        <v/>
      </c>
      <c r="AZ4" s="18">
        <f>AY6+AZ3</f>
        <v/>
      </c>
      <c r="BA4" s="18">
        <f>AZ6+BA3</f>
        <v/>
      </c>
      <c r="BB4" s="18">
        <f>BA6+BB3</f>
        <v/>
      </c>
      <c r="BC4" s="18">
        <f>BB6+BC3</f>
        <v/>
      </c>
      <c r="BD4" s="18">
        <f>BC6+BD3</f>
        <v/>
      </c>
      <c r="BE4" s="18">
        <f>BD6+BE3</f>
        <v/>
      </c>
      <c r="BF4" s="18">
        <f>BE6+BF3</f>
        <v/>
      </c>
      <c r="BG4" s="18">
        <f>BF6+BG3</f>
        <v/>
      </c>
    </row>
    <row r="5">
      <c r="A5" t="inlineStr">
        <is>
          <t>Tax depreciation (SL)</t>
        </is>
      </c>
      <c r="C5" s="10" t="inlineStr">
        <is>
          <t>$</t>
        </is>
      </c>
      <c r="E5" s="18" t="n">
        <v>0</v>
      </c>
      <c r="F5" s="18">
        <f>MIN(F4,TM!F19*CX!BG11/TaxDepLifeYears*PeriodYears)</f>
        <v/>
      </c>
      <c r="G5" s="18">
        <f>MIN(G4,TM!G19*CX!BG11/TaxDepLifeYears*PeriodYears)</f>
        <v/>
      </c>
      <c r="H5" s="18">
        <f>MIN(H4,TM!H19*CX!BG11/TaxDepLifeYears*PeriodYears)</f>
        <v/>
      </c>
      <c r="I5" s="18">
        <f>MIN(I4,TM!I19*CX!BG11/TaxDepLifeYears*PeriodYears)</f>
        <v/>
      </c>
      <c r="J5" s="18">
        <f>MIN(J4,TM!J19*CX!BG11/TaxDepLifeYears*PeriodYears)</f>
        <v/>
      </c>
      <c r="K5" s="18">
        <f>MIN(K4,TM!K19*CX!BG11/TaxDepLifeYears*PeriodYears)</f>
        <v/>
      </c>
      <c r="L5" s="18">
        <f>MIN(L4,TM!L19*CX!BG11/TaxDepLifeYears*PeriodYears)</f>
        <v/>
      </c>
      <c r="M5" s="18">
        <f>MIN(M4,TM!M19*CX!BG11/TaxDepLifeYears*PeriodYears)</f>
        <v/>
      </c>
      <c r="N5" s="18">
        <f>MIN(N4,TM!N19*CX!BG11/TaxDepLifeYears*PeriodYears)</f>
        <v/>
      </c>
      <c r="O5" s="18">
        <f>MIN(O4,TM!O19*CX!BG11/TaxDepLifeYears*PeriodYears)</f>
        <v/>
      </c>
      <c r="P5" s="18">
        <f>MIN(P4,TM!P19*CX!BG11/TaxDepLifeYears*PeriodYears)</f>
        <v/>
      </c>
      <c r="Q5" s="18">
        <f>MIN(Q4,TM!Q19*CX!BG11/TaxDepLifeYears*PeriodYears)</f>
        <v/>
      </c>
      <c r="R5" s="18">
        <f>MIN(R4,TM!R19*CX!BG11/TaxDepLifeYears*PeriodYears)</f>
        <v/>
      </c>
      <c r="S5" s="18">
        <f>MIN(S4,TM!S19*CX!BG11/TaxDepLifeYears*PeriodYears)</f>
        <v/>
      </c>
      <c r="T5" s="18">
        <f>MIN(T4,TM!T19*CX!BG11/TaxDepLifeYears*PeriodYears)</f>
        <v/>
      </c>
      <c r="U5" s="18">
        <f>MIN(U4,TM!U19*CX!BG11/TaxDepLifeYears*PeriodYears)</f>
        <v/>
      </c>
      <c r="V5" s="18">
        <f>MIN(V4,TM!V19*CX!BG11/TaxDepLifeYears*PeriodYears)</f>
        <v/>
      </c>
      <c r="W5" s="18">
        <f>MIN(W4,TM!W19*CX!BG11/TaxDepLifeYears*PeriodYears)</f>
        <v/>
      </c>
      <c r="X5" s="18">
        <f>MIN(X4,TM!X19*CX!BG11/TaxDepLifeYears*PeriodYears)</f>
        <v/>
      </c>
      <c r="Y5" s="18">
        <f>MIN(Y4,TM!Y19*CX!BG11/TaxDepLifeYears*PeriodYears)</f>
        <v/>
      </c>
      <c r="Z5" s="18">
        <f>MIN(Z4,TM!Z19*CX!BG11/TaxDepLifeYears*PeriodYears)</f>
        <v/>
      </c>
      <c r="AA5" s="18">
        <f>MIN(AA4,TM!AA19*CX!BG11/TaxDepLifeYears*PeriodYears)</f>
        <v/>
      </c>
      <c r="AB5" s="18">
        <f>MIN(AB4,TM!AB19*CX!BG11/TaxDepLifeYears*PeriodYears)</f>
        <v/>
      </c>
      <c r="AC5" s="18">
        <f>MIN(AC4,TM!AC19*CX!BG11/TaxDepLifeYears*PeriodYears)</f>
        <v/>
      </c>
      <c r="AD5" s="18">
        <f>MIN(AD4,TM!AD19*CX!BG11/TaxDepLifeYears*PeriodYears)</f>
        <v/>
      </c>
      <c r="AE5" s="18">
        <f>MIN(AE4,TM!AE19*CX!BG11/TaxDepLifeYears*PeriodYears)</f>
        <v/>
      </c>
      <c r="AF5" s="18">
        <f>MIN(AF4,TM!AF19*CX!BG11/TaxDepLifeYears*PeriodYears)</f>
        <v/>
      </c>
      <c r="AG5" s="18">
        <f>MIN(AG4,TM!AG19*CX!BG11/TaxDepLifeYears*PeriodYears)</f>
        <v/>
      </c>
      <c r="AH5" s="18">
        <f>MIN(AH4,TM!AH19*CX!BG11/TaxDepLifeYears*PeriodYears)</f>
        <v/>
      </c>
      <c r="AI5" s="18">
        <f>MIN(AI4,TM!AI19*CX!BG11/TaxDepLifeYears*PeriodYears)</f>
        <v/>
      </c>
      <c r="AJ5" s="18">
        <f>MIN(AJ4,TM!AJ19*CX!BG11/TaxDepLifeYears*PeriodYears)</f>
        <v/>
      </c>
      <c r="AK5" s="18">
        <f>MIN(AK4,TM!AK19*CX!BG11/TaxDepLifeYears*PeriodYears)</f>
        <v/>
      </c>
      <c r="AL5" s="18">
        <f>MIN(AL4,TM!AL19*CX!BG11/TaxDepLifeYears*PeriodYears)</f>
        <v/>
      </c>
      <c r="AM5" s="18">
        <f>MIN(AM4,TM!AM19*CX!BG11/TaxDepLifeYears*PeriodYears)</f>
        <v/>
      </c>
      <c r="AN5" s="18">
        <f>MIN(AN4,TM!AN19*CX!BG11/TaxDepLifeYears*PeriodYears)</f>
        <v/>
      </c>
      <c r="AO5" s="18">
        <f>MIN(AO4,TM!AO19*CX!BG11/TaxDepLifeYears*PeriodYears)</f>
        <v/>
      </c>
      <c r="AP5" s="18">
        <f>MIN(AP4,TM!AP19*CX!BG11/TaxDepLifeYears*PeriodYears)</f>
        <v/>
      </c>
      <c r="AQ5" s="18">
        <f>MIN(AQ4,TM!AQ19*CX!BG11/TaxDepLifeYears*PeriodYears)</f>
        <v/>
      </c>
      <c r="AR5" s="18">
        <f>MIN(AR4,TM!AR19*CX!BG11/TaxDepLifeYears*PeriodYears)</f>
        <v/>
      </c>
      <c r="AS5" s="18">
        <f>MIN(AS4,TM!AS19*CX!BG11/TaxDepLifeYears*PeriodYears)</f>
        <v/>
      </c>
      <c r="AT5" s="18">
        <f>MIN(AT4,TM!AT19*CX!BG11/TaxDepLifeYears*PeriodYears)</f>
        <v/>
      </c>
      <c r="AU5" s="18">
        <f>MIN(AU4,TM!AU19*CX!BG11/TaxDepLifeYears*PeriodYears)</f>
        <v/>
      </c>
      <c r="AV5" s="18">
        <f>MIN(AV4,TM!AV19*CX!BG11/TaxDepLifeYears*PeriodYears)</f>
        <v/>
      </c>
      <c r="AW5" s="18">
        <f>MIN(AW4,TM!AW19*CX!BG11/TaxDepLifeYears*PeriodYears)</f>
        <v/>
      </c>
      <c r="AX5" s="18">
        <f>MIN(AX4,TM!AX19*CX!BG11/TaxDepLifeYears*PeriodYears)</f>
        <v/>
      </c>
      <c r="AY5" s="18">
        <f>MIN(AY4,TM!AY19*CX!BG11/TaxDepLifeYears*PeriodYears)</f>
        <v/>
      </c>
      <c r="AZ5" s="18">
        <f>MIN(AZ4,TM!AZ19*CX!BG11/TaxDepLifeYears*PeriodYears)</f>
        <v/>
      </c>
      <c r="BA5" s="18">
        <f>MIN(BA4,TM!BA19*CX!BG11/TaxDepLifeYears*PeriodYears)</f>
        <v/>
      </c>
      <c r="BB5" s="18">
        <f>MIN(BB4,TM!BB19*CX!BG11/TaxDepLifeYears*PeriodYears)</f>
        <v/>
      </c>
      <c r="BC5" s="18">
        <f>MIN(BC4,TM!BC19*CX!BG11/TaxDepLifeYears*PeriodYears)</f>
        <v/>
      </c>
      <c r="BD5" s="18">
        <f>MIN(BD4,TM!BD19*CX!BG11/TaxDepLifeYears*PeriodYears)</f>
        <v/>
      </c>
      <c r="BE5" s="18">
        <f>MIN(BE4,TM!BE19*CX!BG11/TaxDepLifeYears*PeriodYears)</f>
        <v/>
      </c>
      <c r="BF5" s="18">
        <f>MIN(BF4,TM!BF19*CX!BG11/TaxDepLifeYears*PeriodYears)</f>
        <v/>
      </c>
      <c r="BG5" s="18">
        <f>MIN(BG4,TM!BG19*CX!BG11/TaxDepLifeYears*PeriodYears)</f>
        <v/>
      </c>
    </row>
    <row r="6">
      <c r="A6" t="inlineStr">
        <is>
          <t>Remaining depreciable — closing</t>
        </is>
      </c>
      <c r="C6" s="10" t="inlineStr">
        <is>
          <t>$</t>
        </is>
      </c>
      <c r="E6" s="18" t="n">
        <v>0</v>
      </c>
      <c r="F6" s="18">
        <f>F4-F5</f>
        <v/>
      </c>
      <c r="G6" s="18">
        <f>G4-G5</f>
        <v/>
      </c>
      <c r="H6" s="18">
        <f>H4-H5</f>
        <v/>
      </c>
      <c r="I6" s="18">
        <f>I4-I5</f>
        <v/>
      </c>
      <c r="J6" s="18">
        <f>J4-J5</f>
        <v/>
      </c>
      <c r="K6" s="18">
        <f>K4-K5</f>
        <v/>
      </c>
      <c r="L6" s="18">
        <f>L4-L5</f>
        <v/>
      </c>
      <c r="M6" s="18">
        <f>M4-M5</f>
        <v/>
      </c>
      <c r="N6" s="18">
        <f>N4-N5</f>
        <v/>
      </c>
      <c r="O6" s="18">
        <f>O4-O5</f>
        <v/>
      </c>
      <c r="P6" s="18">
        <f>P4-P5</f>
        <v/>
      </c>
      <c r="Q6" s="18">
        <f>Q4-Q5</f>
        <v/>
      </c>
      <c r="R6" s="18">
        <f>R4-R5</f>
        <v/>
      </c>
      <c r="S6" s="18">
        <f>S4-S5</f>
        <v/>
      </c>
      <c r="T6" s="18">
        <f>T4-T5</f>
        <v/>
      </c>
      <c r="U6" s="18">
        <f>U4-U5</f>
        <v/>
      </c>
      <c r="V6" s="18">
        <f>V4-V5</f>
        <v/>
      </c>
      <c r="W6" s="18">
        <f>W4-W5</f>
        <v/>
      </c>
      <c r="X6" s="18">
        <f>X4-X5</f>
        <v/>
      </c>
      <c r="Y6" s="18">
        <f>Y4-Y5</f>
        <v/>
      </c>
      <c r="Z6" s="18">
        <f>Z4-Z5</f>
        <v/>
      </c>
      <c r="AA6" s="18">
        <f>AA4-AA5</f>
        <v/>
      </c>
      <c r="AB6" s="18">
        <f>AB4-AB5</f>
        <v/>
      </c>
      <c r="AC6" s="18">
        <f>AC4-AC5</f>
        <v/>
      </c>
      <c r="AD6" s="18">
        <f>AD4-AD5</f>
        <v/>
      </c>
      <c r="AE6" s="18">
        <f>AE4-AE5</f>
        <v/>
      </c>
      <c r="AF6" s="18">
        <f>AF4-AF5</f>
        <v/>
      </c>
      <c r="AG6" s="18">
        <f>AG4-AG5</f>
        <v/>
      </c>
      <c r="AH6" s="18">
        <f>AH4-AH5</f>
        <v/>
      </c>
      <c r="AI6" s="18">
        <f>AI4-AI5</f>
        <v/>
      </c>
      <c r="AJ6" s="18">
        <f>AJ4-AJ5</f>
        <v/>
      </c>
      <c r="AK6" s="18">
        <f>AK4-AK5</f>
        <v/>
      </c>
      <c r="AL6" s="18">
        <f>AL4-AL5</f>
        <v/>
      </c>
      <c r="AM6" s="18">
        <f>AM4-AM5</f>
        <v/>
      </c>
      <c r="AN6" s="18">
        <f>AN4-AN5</f>
        <v/>
      </c>
      <c r="AO6" s="18">
        <f>AO4-AO5</f>
        <v/>
      </c>
      <c r="AP6" s="18">
        <f>AP4-AP5</f>
        <v/>
      </c>
      <c r="AQ6" s="18">
        <f>AQ4-AQ5</f>
        <v/>
      </c>
      <c r="AR6" s="18">
        <f>AR4-AR5</f>
        <v/>
      </c>
      <c r="AS6" s="18">
        <f>AS4-AS5</f>
        <v/>
      </c>
      <c r="AT6" s="18">
        <f>AT4-AT5</f>
        <v/>
      </c>
      <c r="AU6" s="18">
        <f>AU4-AU5</f>
        <v/>
      </c>
      <c r="AV6" s="18">
        <f>AV4-AV5</f>
        <v/>
      </c>
      <c r="AW6" s="18">
        <f>AW4-AW5</f>
        <v/>
      </c>
      <c r="AX6" s="18">
        <f>AX4-AX5</f>
        <v/>
      </c>
      <c r="AY6" s="18">
        <f>AY4-AY5</f>
        <v/>
      </c>
      <c r="AZ6" s="18">
        <f>AZ4-AZ5</f>
        <v/>
      </c>
      <c r="BA6" s="18">
        <f>BA4-BA5</f>
        <v/>
      </c>
      <c r="BB6" s="18">
        <f>BB4-BB5</f>
        <v/>
      </c>
      <c r="BC6" s="18">
        <f>BC4-BC5</f>
        <v/>
      </c>
      <c r="BD6" s="18">
        <f>BD4-BD5</f>
        <v/>
      </c>
      <c r="BE6" s="18">
        <f>BE4-BE5</f>
        <v/>
      </c>
      <c r="BF6" s="18">
        <f>BF4-BF5</f>
        <v/>
      </c>
      <c r="BG6" s="18">
        <f>BG4-BG5</f>
        <v/>
      </c>
    </row>
    <row r="7">
      <c r="A7" t="inlineStr">
        <is>
          <t>EBIT (EBITDA − depreciation)</t>
        </is>
      </c>
      <c r="C7" s="10" t="inlineStr">
        <is>
          <t>$</t>
        </is>
      </c>
      <c r="E7" s="18" t="n">
        <v>0</v>
      </c>
      <c r="F7" s="18">
        <f>OP!F10-F5</f>
        <v/>
      </c>
      <c r="G7" s="18">
        <f>OP!G10-G5</f>
        <v/>
      </c>
      <c r="H7" s="18">
        <f>OP!H10-H5</f>
        <v/>
      </c>
      <c r="I7" s="18">
        <f>OP!I10-I5</f>
        <v/>
      </c>
      <c r="J7" s="18">
        <f>OP!J10-J5</f>
        <v/>
      </c>
      <c r="K7" s="18">
        <f>OP!K10-K5</f>
        <v/>
      </c>
      <c r="L7" s="18">
        <f>OP!L10-L5</f>
        <v/>
      </c>
      <c r="M7" s="18">
        <f>OP!M10-M5</f>
        <v/>
      </c>
      <c r="N7" s="18">
        <f>OP!N10-N5</f>
        <v/>
      </c>
      <c r="O7" s="18">
        <f>OP!O10-O5</f>
        <v/>
      </c>
      <c r="P7" s="18">
        <f>OP!P10-P5</f>
        <v/>
      </c>
      <c r="Q7" s="18">
        <f>OP!Q10-Q5</f>
        <v/>
      </c>
      <c r="R7" s="18">
        <f>OP!R10-R5</f>
        <v/>
      </c>
      <c r="S7" s="18">
        <f>OP!S10-S5</f>
        <v/>
      </c>
      <c r="T7" s="18">
        <f>OP!T10-T5</f>
        <v/>
      </c>
      <c r="U7" s="18">
        <f>OP!U10-U5</f>
        <v/>
      </c>
      <c r="V7" s="18">
        <f>OP!V10-V5</f>
        <v/>
      </c>
      <c r="W7" s="18">
        <f>OP!W10-W5</f>
        <v/>
      </c>
      <c r="X7" s="18">
        <f>OP!X10-X5</f>
        <v/>
      </c>
      <c r="Y7" s="18">
        <f>OP!Y10-Y5</f>
        <v/>
      </c>
      <c r="Z7" s="18">
        <f>OP!Z10-Z5</f>
        <v/>
      </c>
      <c r="AA7" s="18">
        <f>OP!AA10-AA5</f>
        <v/>
      </c>
      <c r="AB7" s="18">
        <f>OP!AB10-AB5</f>
        <v/>
      </c>
      <c r="AC7" s="18">
        <f>OP!AC10-AC5</f>
        <v/>
      </c>
      <c r="AD7" s="18">
        <f>OP!AD10-AD5</f>
        <v/>
      </c>
      <c r="AE7" s="18">
        <f>OP!AE10-AE5</f>
        <v/>
      </c>
      <c r="AF7" s="18">
        <f>OP!AF10-AF5</f>
        <v/>
      </c>
      <c r="AG7" s="18">
        <f>OP!AG10-AG5</f>
        <v/>
      </c>
      <c r="AH7" s="18">
        <f>OP!AH10-AH5</f>
        <v/>
      </c>
      <c r="AI7" s="18">
        <f>OP!AI10-AI5</f>
        <v/>
      </c>
      <c r="AJ7" s="18">
        <f>OP!AJ10-AJ5</f>
        <v/>
      </c>
      <c r="AK7" s="18">
        <f>OP!AK10-AK5</f>
        <v/>
      </c>
      <c r="AL7" s="18">
        <f>OP!AL10-AL5</f>
        <v/>
      </c>
      <c r="AM7" s="18">
        <f>OP!AM10-AM5</f>
        <v/>
      </c>
      <c r="AN7" s="18">
        <f>OP!AN10-AN5</f>
        <v/>
      </c>
      <c r="AO7" s="18">
        <f>OP!AO10-AO5</f>
        <v/>
      </c>
      <c r="AP7" s="18">
        <f>OP!AP10-AP5</f>
        <v/>
      </c>
      <c r="AQ7" s="18">
        <f>OP!AQ10-AQ5</f>
        <v/>
      </c>
      <c r="AR7" s="18">
        <f>OP!AR10-AR5</f>
        <v/>
      </c>
      <c r="AS7" s="18">
        <f>OP!AS10-AS5</f>
        <v/>
      </c>
      <c r="AT7" s="18">
        <f>OP!AT10-AT5</f>
        <v/>
      </c>
      <c r="AU7" s="18">
        <f>OP!AU10-AU5</f>
        <v/>
      </c>
      <c r="AV7" s="18">
        <f>OP!AV10-AV5</f>
        <v/>
      </c>
      <c r="AW7" s="18">
        <f>OP!AW10-AW5</f>
        <v/>
      </c>
      <c r="AX7" s="18">
        <f>OP!AX10-AX5</f>
        <v/>
      </c>
      <c r="AY7" s="18">
        <f>OP!AY10-AY5</f>
        <v/>
      </c>
      <c r="AZ7" s="18">
        <f>OP!AZ10-AZ5</f>
        <v/>
      </c>
      <c r="BA7" s="18">
        <f>OP!BA10-BA5</f>
        <v/>
      </c>
      <c r="BB7" s="18">
        <f>OP!BB10-BB5</f>
        <v/>
      </c>
      <c r="BC7" s="18">
        <f>OP!BC10-BC5</f>
        <v/>
      </c>
      <c r="BD7" s="18">
        <f>OP!BD10-BD5</f>
        <v/>
      </c>
      <c r="BE7" s="18">
        <f>OP!BE10-BE5</f>
        <v/>
      </c>
      <c r="BF7" s="18">
        <f>OP!BF10-BF5</f>
        <v/>
      </c>
      <c r="BG7" s="18">
        <f>OP!BG10-BG5</f>
        <v/>
      </c>
    </row>
    <row r="8">
      <c r="A8" t="inlineStr">
        <is>
          <t>Tax losses b/f (levered)</t>
        </is>
      </c>
      <c r="C8" s="10" t="inlineStr">
        <is>
          <t>$</t>
        </is>
      </c>
      <c r="E8" s="18" t="n">
        <v>0</v>
      </c>
      <c r="F8" s="18">
        <f>E10</f>
        <v/>
      </c>
      <c r="G8" s="18">
        <f>F10</f>
        <v/>
      </c>
      <c r="H8" s="18">
        <f>G10</f>
        <v/>
      </c>
      <c r="I8" s="18">
        <f>H10</f>
        <v/>
      </c>
      <c r="J8" s="18">
        <f>I10</f>
        <v/>
      </c>
      <c r="K8" s="18">
        <f>J10</f>
        <v/>
      </c>
      <c r="L8" s="18">
        <f>K10</f>
        <v/>
      </c>
      <c r="M8" s="18">
        <f>L10</f>
        <v/>
      </c>
      <c r="N8" s="18">
        <f>M10</f>
        <v/>
      </c>
      <c r="O8" s="18">
        <f>N10</f>
        <v/>
      </c>
      <c r="P8" s="18">
        <f>O10</f>
        <v/>
      </c>
      <c r="Q8" s="18">
        <f>P10</f>
        <v/>
      </c>
      <c r="R8" s="18">
        <f>Q10</f>
        <v/>
      </c>
      <c r="S8" s="18">
        <f>R10</f>
        <v/>
      </c>
      <c r="T8" s="18">
        <f>S10</f>
        <v/>
      </c>
      <c r="U8" s="18">
        <f>T10</f>
        <v/>
      </c>
      <c r="V8" s="18">
        <f>U10</f>
        <v/>
      </c>
      <c r="W8" s="18">
        <f>V10</f>
        <v/>
      </c>
      <c r="X8" s="18">
        <f>W10</f>
        <v/>
      </c>
      <c r="Y8" s="18">
        <f>X10</f>
        <v/>
      </c>
      <c r="Z8" s="18">
        <f>Y10</f>
        <v/>
      </c>
      <c r="AA8" s="18">
        <f>Z10</f>
        <v/>
      </c>
      <c r="AB8" s="18">
        <f>AA10</f>
        <v/>
      </c>
      <c r="AC8" s="18">
        <f>AB10</f>
        <v/>
      </c>
      <c r="AD8" s="18">
        <f>AC10</f>
        <v/>
      </c>
      <c r="AE8" s="18">
        <f>AD10</f>
        <v/>
      </c>
      <c r="AF8" s="18">
        <f>AE10</f>
        <v/>
      </c>
      <c r="AG8" s="18">
        <f>AF10</f>
        <v/>
      </c>
      <c r="AH8" s="18">
        <f>AG10</f>
        <v/>
      </c>
      <c r="AI8" s="18">
        <f>AH10</f>
        <v/>
      </c>
      <c r="AJ8" s="18">
        <f>AI10</f>
        <v/>
      </c>
      <c r="AK8" s="18">
        <f>AJ10</f>
        <v/>
      </c>
      <c r="AL8" s="18">
        <f>AK10</f>
        <v/>
      </c>
      <c r="AM8" s="18">
        <f>AL10</f>
        <v/>
      </c>
      <c r="AN8" s="18">
        <f>AM10</f>
        <v/>
      </c>
      <c r="AO8" s="18">
        <f>AN10</f>
        <v/>
      </c>
      <c r="AP8" s="18">
        <f>AO10</f>
        <v/>
      </c>
      <c r="AQ8" s="18">
        <f>AP10</f>
        <v/>
      </c>
      <c r="AR8" s="18">
        <f>AQ10</f>
        <v/>
      </c>
      <c r="AS8" s="18">
        <f>AR10</f>
        <v/>
      </c>
      <c r="AT8" s="18">
        <f>AS10</f>
        <v/>
      </c>
      <c r="AU8" s="18">
        <f>AT10</f>
        <v/>
      </c>
      <c r="AV8" s="18">
        <f>AU10</f>
        <v/>
      </c>
      <c r="AW8" s="18">
        <f>AV10</f>
        <v/>
      </c>
      <c r="AX8" s="18">
        <f>AW10</f>
        <v/>
      </c>
      <c r="AY8" s="18">
        <f>AX10</f>
        <v/>
      </c>
      <c r="AZ8" s="18">
        <f>AY10</f>
        <v/>
      </c>
      <c r="BA8" s="18">
        <f>AZ10</f>
        <v/>
      </c>
      <c r="BB8" s="18">
        <f>BA10</f>
        <v/>
      </c>
      <c r="BC8" s="18">
        <f>BB10</f>
        <v/>
      </c>
      <c r="BD8" s="18">
        <f>BC10</f>
        <v/>
      </c>
      <c r="BE8" s="18">
        <f>BD10</f>
        <v/>
      </c>
      <c r="BF8" s="18">
        <f>BE10</f>
        <v/>
      </c>
      <c r="BG8" s="18">
        <f>BF10</f>
        <v/>
      </c>
    </row>
    <row r="9">
      <c r="A9" t="inlineStr">
        <is>
          <t>Taxable income after interest (levered)</t>
        </is>
      </c>
      <c r="C9" s="10" t="inlineStr">
        <is>
          <t>$</t>
        </is>
      </c>
      <c r="E9" s="18" t="n">
        <v>0</v>
      </c>
      <c r="F9" s="18">
        <f>F7-DB!F4-CX!F8</f>
        <v/>
      </c>
      <c r="G9" s="18">
        <f>G7-DB!G4-CX!G8</f>
        <v/>
      </c>
      <c r="H9" s="18">
        <f>H7-DB!H4-CX!H8</f>
        <v/>
      </c>
      <c r="I9" s="18">
        <f>I7-DB!I4-CX!I8</f>
        <v/>
      </c>
      <c r="J9" s="18">
        <f>J7-DB!J4-CX!J8</f>
        <v/>
      </c>
      <c r="K9" s="18">
        <f>K7-DB!K4-CX!K8</f>
        <v/>
      </c>
      <c r="L9" s="18">
        <f>L7-DB!L4-CX!L8</f>
        <v/>
      </c>
      <c r="M9" s="18">
        <f>M7-DB!M4-CX!M8</f>
        <v/>
      </c>
      <c r="N9" s="18">
        <f>N7-DB!N4-CX!N8</f>
        <v/>
      </c>
      <c r="O9" s="18">
        <f>O7-DB!O4-CX!O8</f>
        <v/>
      </c>
      <c r="P9" s="18">
        <f>P7-DB!P4-CX!P8</f>
        <v/>
      </c>
      <c r="Q9" s="18">
        <f>Q7-DB!Q4-CX!Q8</f>
        <v/>
      </c>
      <c r="R9" s="18">
        <f>R7-DB!R4-CX!R8</f>
        <v/>
      </c>
      <c r="S9" s="18">
        <f>S7-DB!S4-CX!S8</f>
        <v/>
      </c>
      <c r="T9" s="18">
        <f>T7-DB!T4-CX!T8</f>
        <v/>
      </c>
      <c r="U9" s="18">
        <f>U7-DB!U4-CX!U8</f>
        <v/>
      </c>
      <c r="V9" s="18">
        <f>V7-DB!V4-CX!V8</f>
        <v/>
      </c>
      <c r="W9" s="18">
        <f>W7-DB!W4-CX!W8</f>
        <v/>
      </c>
      <c r="X9" s="18">
        <f>X7-DB!X4-CX!X8</f>
        <v/>
      </c>
      <c r="Y9" s="18">
        <f>Y7-DB!Y4-CX!Y8</f>
        <v/>
      </c>
      <c r="Z9" s="18">
        <f>Z7-DB!Z4-CX!Z8</f>
        <v/>
      </c>
      <c r="AA9" s="18">
        <f>AA7-DB!AA4-CX!AA8</f>
        <v/>
      </c>
      <c r="AB9" s="18">
        <f>AB7-DB!AB4-CX!AB8</f>
        <v/>
      </c>
      <c r="AC9" s="18">
        <f>AC7-DB!AC4-CX!AC8</f>
        <v/>
      </c>
      <c r="AD9" s="18">
        <f>AD7-DB!AD4-CX!AD8</f>
        <v/>
      </c>
      <c r="AE9" s="18">
        <f>AE7-DB!AE4-CX!AE8</f>
        <v/>
      </c>
      <c r="AF9" s="18">
        <f>AF7-DB!AF4-CX!AF8</f>
        <v/>
      </c>
      <c r="AG9" s="18">
        <f>AG7-DB!AG4-CX!AG8</f>
        <v/>
      </c>
      <c r="AH9" s="18">
        <f>AH7-DB!AH4-CX!AH8</f>
        <v/>
      </c>
      <c r="AI9" s="18">
        <f>AI7-DB!AI4-CX!AI8</f>
        <v/>
      </c>
      <c r="AJ9" s="18">
        <f>AJ7-DB!AJ4-CX!AJ8</f>
        <v/>
      </c>
      <c r="AK9" s="18">
        <f>AK7-DB!AK4-CX!AK8</f>
        <v/>
      </c>
      <c r="AL9" s="18">
        <f>AL7-DB!AL4-CX!AL8</f>
        <v/>
      </c>
      <c r="AM9" s="18">
        <f>AM7-DB!AM4-CX!AM8</f>
        <v/>
      </c>
      <c r="AN9" s="18">
        <f>AN7-DB!AN4-CX!AN8</f>
        <v/>
      </c>
      <c r="AO9" s="18">
        <f>AO7-DB!AO4-CX!AO8</f>
        <v/>
      </c>
      <c r="AP9" s="18">
        <f>AP7-DB!AP4-CX!AP8</f>
        <v/>
      </c>
      <c r="AQ9" s="18">
        <f>AQ7-DB!AQ4-CX!AQ8</f>
        <v/>
      </c>
      <c r="AR9" s="18">
        <f>AR7-DB!AR4-CX!AR8</f>
        <v/>
      </c>
      <c r="AS9" s="18">
        <f>AS7-DB!AS4-CX!AS8</f>
        <v/>
      </c>
      <c r="AT9" s="18">
        <f>AT7-DB!AT4-CX!AT8</f>
        <v/>
      </c>
      <c r="AU9" s="18">
        <f>AU7-DB!AU4-CX!AU8</f>
        <v/>
      </c>
      <c r="AV9" s="18">
        <f>AV7-DB!AV4-CX!AV8</f>
        <v/>
      </c>
      <c r="AW9" s="18">
        <f>AW7-DB!AW4-CX!AW8</f>
        <v/>
      </c>
      <c r="AX9" s="18">
        <f>AX7-DB!AX4-CX!AX8</f>
        <v/>
      </c>
      <c r="AY9" s="18">
        <f>AY7-DB!AY4-CX!AY8</f>
        <v/>
      </c>
      <c r="AZ9" s="18">
        <f>AZ7-DB!AZ4-CX!AZ8</f>
        <v/>
      </c>
      <c r="BA9" s="18">
        <f>BA7-DB!BA4-CX!BA8</f>
        <v/>
      </c>
      <c r="BB9" s="18">
        <f>BB7-DB!BB4-CX!BB8</f>
        <v/>
      </c>
      <c r="BC9" s="18">
        <f>BC7-DB!BC4-CX!BC8</f>
        <v/>
      </c>
      <c r="BD9" s="18">
        <f>BD7-DB!BD4-CX!BD8</f>
        <v/>
      </c>
      <c r="BE9" s="18">
        <f>BE7-DB!BE4-CX!BE8</f>
        <v/>
      </c>
      <c r="BF9" s="18">
        <f>BF7-DB!BF4-CX!BF8</f>
        <v/>
      </c>
      <c r="BG9" s="18">
        <f>BG7-DB!BG4-CX!BG8</f>
        <v/>
      </c>
    </row>
    <row r="10">
      <c r="A10" t="inlineStr">
        <is>
          <t>Tax losses c/f (levered)</t>
        </is>
      </c>
      <c r="C10" s="10" t="inlineStr">
        <is>
          <t>$</t>
        </is>
      </c>
      <c r="E10" s="18" t="n">
        <v>0</v>
      </c>
      <c r="F10" s="18">
        <f>MAX(0,F8-MAX(0,F9))-MIN(0,F9)</f>
        <v/>
      </c>
      <c r="G10" s="18">
        <f>MAX(0,G8-MAX(0,G9))-MIN(0,G9)</f>
        <v/>
      </c>
      <c r="H10" s="18">
        <f>MAX(0,H8-MAX(0,H9))-MIN(0,H9)</f>
        <v/>
      </c>
      <c r="I10" s="18">
        <f>MAX(0,I8-MAX(0,I9))-MIN(0,I9)</f>
        <v/>
      </c>
      <c r="J10" s="18">
        <f>MAX(0,J8-MAX(0,J9))-MIN(0,J9)</f>
        <v/>
      </c>
      <c r="K10" s="18">
        <f>MAX(0,K8-MAX(0,K9))-MIN(0,K9)</f>
        <v/>
      </c>
      <c r="L10" s="18">
        <f>MAX(0,L8-MAX(0,L9))-MIN(0,L9)</f>
        <v/>
      </c>
      <c r="M10" s="18">
        <f>MAX(0,M8-MAX(0,M9))-MIN(0,M9)</f>
        <v/>
      </c>
      <c r="N10" s="18">
        <f>MAX(0,N8-MAX(0,N9))-MIN(0,N9)</f>
        <v/>
      </c>
      <c r="O10" s="18">
        <f>MAX(0,O8-MAX(0,O9))-MIN(0,O9)</f>
        <v/>
      </c>
      <c r="P10" s="18">
        <f>MAX(0,P8-MAX(0,P9))-MIN(0,P9)</f>
        <v/>
      </c>
      <c r="Q10" s="18">
        <f>MAX(0,Q8-MAX(0,Q9))-MIN(0,Q9)</f>
        <v/>
      </c>
      <c r="R10" s="18">
        <f>MAX(0,R8-MAX(0,R9))-MIN(0,R9)</f>
        <v/>
      </c>
      <c r="S10" s="18">
        <f>MAX(0,S8-MAX(0,S9))-MIN(0,S9)</f>
        <v/>
      </c>
      <c r="T10" s="18">
        <f>MAX(0,T8-MAX(0,T9))-MIN(0,T9)</f>
        <v/>
      </c>
      <c r="U10" s="18">
        <f>MAX(0,U8-MAX(0,U9))-MIN(0,U9)</f>
        <v/>
      </c>
      <c r="V10" s="18">
        <f>MAX(0,V8-MAX(0,V9))-MIN(0,V9)</f>
        <v/>
      </c>
      <c r="W10" s="18">
        <f>MAX(0,W8-MAX(0,W9))-MIN(0,W9)</f>
        <v/>
      </c>
      <c r="X10" s="18">
        <f>MAX(0,X8-MAX(0,X9))-MIN(0,X9)</f>
        <v/>
      </c>
      <c r="Y10" s="18">
        <f>MAX(0,Y8-MAX(0,Y9))-MIN(0,Y9)</f>
        <v/>
      </c>
      <c r="Z10" s="18">
        <f>MAX(0,Z8-MAX(0,Z9))-MIN(0,Z9)</f>
        <v/>
      </c>
      <c r="AA10" s="18">
        <f>MAX(0,AA8-MAX(0,AA9))-MIN(0,AA9)</f>
        <v/>
      </c>
      <c r="AB10" s="18">
        <f>MAX(0,AB8-MAX(0,AB9))-MIN(0,AB9)</f>
        <v/>
      </c>
      <c r="AC10" s="18">
        <f>MAX(0,AC8-MAX(0,AC9))-MIN(0,AC9)</f>
        <v/>
      </c>
      <c r="AD10" s="18">
        <f>MAX(0,AD8-MAX(0,AD9))-MIN(0,AD9)</f>
        <v/>
      </c>
      <c r="AE10" s="18">
        <f>MAX(0,AE8-MAX(0,AE9))-MIN(0,AE9)</f>
        <v/>
      </c>
      <c r="AF10" s="18">
        <f>MAX(0,AF8-MAX(0,AF9))-MIN(0,AF9)</f>
        <v/>
      </c>
      <c r="AG10" s="18">
        <f>MAX(0,AG8-MAX(0,AG9))-MIN(0,AG9)</f>
        <v/>
      </c>
      <c r="AH10" s="18">
        <f>MAX(0,AH8-MAX(0,AH9))-MIN(0,AH9)</f>
        <v/>
      </c>
      <c r="AI10" s="18">
        <f>MAX(0,AI8-MAX(0,AI9))-MIN(0,AI9)</f>
        <v/>
      </c>
      <c r="AJ10" s="18">
        <f>MAX(0,AJ8-MAX(0,AJ9))-MIN(0,AJ9)</f>
        <v/>
      </c>
      <c r="AK10" s="18">
        <f>MAX(0,AK8-MAX(0,AK9))-MIN(0,AK9)</f>
        <v/>
      </c>
      <c r="AL10" s="18">
        <f>MAX(0,AL8-MAX(0,AL9))-MIN(0,AL9)</f>
        <v/>
      </c>
      <c r="AM10" s="18">
        <f>MAX(0,AM8-MAX(0,AM9))-MIN(0,AM9)</f>
        <v/>
      </c>
      <c r="AN10" s="18">
        <f>MAX(0,AN8-MAX(0,AN9))-MIN(0,AN9)</f>
        <v/>
      </c>
      <c r="AO10" s="18">
        <f>MAX(0,AO8-MAX(0,AO9))-MIN(0,AO9)</f>
        <v/>
      </c>
      <c r="AP10" s="18">
        <f>MAX(0,AP8-MAX(0,AP9))-MIN(0,AP9)</f>
        <v/>
      </c>
      <c r="AQ10" s="18">
        <f>MAX(0,AQ8-MAX(0,AQ9))-MIN(0,AQ9)</f>
        <v/>
      </c>
      <c r="AR10" s="18">
        <f>MAX(0,AR8-MAX(0,AR9))-MIN(0,AR9)</f>
        <v/>
      </c>
      <c r="AS10" s="18">
        <f>MAX(0,AS8-MAX(0,AS9))-MIN(0,AS9)</f>
        <v/>
      </c>
      <c r="AT10" s="18">
        <f>MAX(0,AT8-MAX(0,AT9))-MIN(0,AT9)</f>
        <v/>
      </c>
      <c r="AU10" s="18">
        <f>MAX(0,AU8-MAX(0,AU9))-MIN(0,AU9)</f>
        <v/>
      </c>
      <c r="AV10" s="18">
        <f>MAX(0,AV8-MAX(0,AV9))-MIN(0,AV9)</f>
        <v/>
      </c>
      <c r="AW10" s="18">
        <f>MAX(0,AW8-MAX(0,AW9))-MIN(0,AW9)</f>
        <v/>
      </c>
      <c r="AX10" s="18">
        <f>MAX(0,AX8-MAX(0,AX9))-MIN(0,AX9)</f>
        <v/>
      </c>
      <c r="AY10" s="18">
        <f>MAX(0,AY8-MAX(0,AY9))-MIN(0,AY9)</f>
        <v/>
      </c>
      <c r="AZ10" s="18">
        <f>MAX(0,AZ8-MAX(0,AZ9))-MIN(0,AZ9)</f>
        <v/>
      </c>
      <c r="BA10" s="18">
        <f>MAX(0,BA8-MAX(0,BA9))-MIN(0,BA9)</f>
        <v/>
      </c>
      <c r="BB10" s="18">
        <f>MAX(0,BB8-MAX(0,BB9))-MIN(0,BB9)</f>
        <v/>
      </c>
      <c r="BC10" s="18">
        <f>MAX(0,BC8-MAX(0,BC9))-MIN(0,BC9)</f>
        <v/>
      </c>
      <c r="BD10" s="18">
        <f>MAX(0,BD8-MAX(0,BD9))-MIN(0,BD9)</f>
        <v/>
      </c>
      <c r="BE10" s="18">
        <f>MAX(0,BE8-MAX(0,BE9))-MIN(0,BE9)</f>
        <v/>
      </c>
      <c r="BF10" s="18">
        <f>MAX(0,BF8-MAX(0,BF9))-MIN(0,BF9)</f>
        <v/>
      </c>
      <c r="BG10" s="18">
        <f>MAX(0,BG8-MAX(0,BG9))-MIN(0,BG9)</f>
        <v/>
      </c>
    </row>
    <row r="11">
      <c r="A11" s="3" t="inlineStr">
        <is>
          <t>Tax charge (levered)</t>
        </is>
      </c>
      <c r="C11" s="10" t="inlineStr">
        <is>
          <t>$</t>
        </is>
      </c>
      <c r="E11" s="18" t="n">
        <v>0</v>
      </c>
      <c r="F11" s="18">
        <f>TaxRate*MAX(0,F9-F8)</f>
        <v/>
      </c>
      <c r="G11" s="18">
        <f>TaxRate*MAX(0,G9-G8)</f>
        <v/>
      </c>
      <c r="H11" s="18">
        <f>TaxRate*MAX(0,H9-H8)</f>
        <v/>
      </c>
      <c r="I11" s="18">
        <f>TaxRate*MAX(0,I9-I8)</f>
        <v/>
      </c>
      <c r="J11" s="18">
        <f>TaxRate*MAX(0,J9-J8)</f>
        <v/>
      </c>
      <c r="K11" s="18">
        <f>TaxRate*MAX(0,K9-K8)</f>
        <v/>
      </c>
      <c r="L11" s="18">
        <f>TaxRate*MAX(0,L9-L8)</f>
        <v/>
      </c>
      <c r="M11" s="18">
        <f>TaxRate*MAX(0,M9-M8)</f>
        <v/>
      </c>
      <c r="N11" s="18">
        <f>TaxRate*MAX(0,N9-N8)</f>
        <v/>
      </c>
      <c r="O11" s="18">
        <f>TaxRate*MAX(0,O9-O8)</f>
        <v/>
      </c>
      <c r="P11" s="18">
        <f>TaxRate*MAX(0,P9-P8)</f>
        <v/>
      </c>
      <c r="Q11" s="18">
        <f>TaxRate*MAX(0,Q9-Q8)</f>
        <v/>
      </c>
      <c r="R11" s="18">
        <f>TaxRate*MAX(0,R9-R8)</f>
        <v/>
      </c>
      <c r="S11" s="18">
        <f>TaxRate*MAX(0,S9-S8)</f>
        <v/>
      </c>
      <c r="T11" s="18">
        <f>TaxRate*MAX(0,T9-T8)</f>
        <v/>
      </c>
      <c r="U11" s="18">
        <f>TaxRate*MAX(0,U9-U8)</f>
        <v/>
      </c>
      <c r="V11" s="18">
        <f>TaxRate*MAX(0,V9-V8)</f>
        <v/>
      </c>
      <c r="W11" s="18">
        <f>TaxRate*MAX(0,W9-W8)</f>
        <v/>
      </c>
      <c r="X11" s="18">
        <f>TaxRate*MAX(0,X9-X8)</f>
        <v/>
      </c>
      <c r="Y11" s="18">
        <f>TaxRate*MAX(0,Y9-Y8)</f>
        <v/>
      </c>
      <c r="Z11" s="18">
        <f>TaxRate*MAX(0,Z9-Z8)</f>
        <v/>
      </c>
      <c r="AA11" s="18">
        <f>TaxRate*MAX(0,AA9-AA8)</f>
        <v/>
      </c>
      <c r="AB11" s="18">
        <f>TaxRate*MAX(0,AB9-AB8)</f>
        <v/>
      </c>
      <c r="AC11" s="18">
        <f>TaxRate*MAX(0,AC9-AC8)</f>
        <v/>
      </c>
      <c r="AD11" s="18">
        <f>TaxRate*MAX(0,AD9-AD8)</f>
        <v/>
      </c>
      <c r="AE11" s="18">
        <f>TaxRate*MAX(0,AE9-AE8)</f>
        <v/>
      </c>
      <c r="AF11" s="18">
        <f>TaxRate*MAX(0,AF9-AF8)</f>
        <v/>
      </c>
      <c r="AG11" s="18">
        <f>TaxRate*MAX(0,AG9-AG8)</f>
        <v/>
      </c>
      <c r="AH11" s="18">
        <f>TaxRate*MAX(0,AH9-AH8)</f>
        <v/>
      </c>
      <c r="AI11" s="18">
        <f>TaxRate*MAX(0,AI9-AI8)</f>
        <v/>
      </c>
      <c r="AJ11" s="18">
        <f>TaxRate*MAX(0,AJ9-AJ8)</f>
        <v/>
      </c>
      <c r="AK11" s="18">
        <f>TaxRate*MAX(0,AK9-AK8)</f>
        <v/>
      </c>
      <c r="AL11" s="18">
        <f>TaxRate*MAX(0,AL9-AL8)</f>
        <v/>
      </c>
      <c r="AM11" s="18">
        <f>TaxRate*MAX(0,AM9-AM8)</f>
        <v/>
      </c>
      <c r="AN11" s="18">
        <f>TaxRate*MAX(0,AN9-AN8)</f>
        <v/>
      </c>
      <c r="AO11" s="18">
        <f>TaxRate*MAX(0,AO9-AO8)</f>
        <v/>
      </c>
      <c r="AP11" s="18">
        <f>TaxRate*MAX(0,AP9-AP8)</f>
        <v/>
      </c>
      <c r="AQ11" s="18">
        <f>TaxRate*MAX(0,AQ9-AQ8)</f>
        <v/>
      </c>
      <c r="AR11" s="18">
        <f>TaxRate*MAX(0,AR9-AR8)</f>
        <v/>
      </c>
      <c r="AS11" s="18">
        <f>TaxRate*MAX(0,AS9-AS8)</f>
        <v/>
      </c>
      <c r="AT11" s="18">
        <f>TaxRate*MAX(0,AT9-AT8)</f>
        <v/>
      </c>
      <c r="AU11" s="18">
        <f>TaxRate*MAX(0,AU9-AU8)</f>
        <v/>
      </c>
      <c r="AV11" s="18">
        <f>TaxRate*MAX(0,AV9-AV8)</f>
        <v/>
      </c>
      <c r="AW11" s="18">
        <f>TaxRate*MAX(0,AW9-AW8)</f>
        <v/>
      </c>
      <c r="AX11" s="18">
        <f>TaxRate*MAX(0,AX9-AX8)</f>
        <v/>
      </c>
      <c r="AY11" s="18">
        <f>TaxRate*MAX(0,AY9-AY8)</f>
        <v/>
      </c>
      <c r="AZ11" s="18">
        <f>TaxRate*MAX(0,AZ9-AZ8)</f>
        <v/>
      </c>
      <c r="BA11" s="18">
        <f>TaxRate*MAX(0,BA9-BA8)</f>
        <v/>
      </c>
      <c r="BB11" s="18">
        <f>TaxRate*MAX(0,BB9-BB8)</f>
        <v/>
      </c>
      <c r="BC11" s="18">
        <f>TaxRate*MAX(0,BC9-BC8)</f>
        <v/>
      </c>
      <c r="BD11" s="18">
        <f>TaxRate*MAX(0,BD9-BD8)</f>
        <v/>
      </c>
      <c r="BE11" s="18">
        <f>TaxRate*MAX(0,BE9-BE8)</f>
        <v/>
      </c>
      <c r="BF11" s="18">
        <f>TaxRate*MAX(0,BF9-BF8)</f>
        <v/>
      </c>
      <c r="BG11" s="18">
        <f>TaxRate*MAX(0,BG9-BG8)</f>
        <v/>
      </c>
    </row>
    <row r="12">
      <c r="A12" s="3" t="inlineStr">
        <is>
          <t>Tax paid (1-period arrears)</t>
        </is>
      </c>
      <c r="C12" s="10" t="inlineStr">
        <is>
          <t>$</t>
        </is>
      </c>
      <c r="E12" s="18" t="n">
        <v>0</v>
      </c>
      <c r="F12" s="18">
        <f>E11</f>
        <v/>
      </c>
      <c r="G12" s="18">
        <f>F11</f>
        <v/>
      </c>
      <c r="H12" s="18">
        <f>G11</f>
        <v/>
      </c>
      <c r="I12" s="18">
        <f>H11</f>
        <v/>
      </c>
      <c r="J12" s="18">
        <f>I11</f>
        <v/>
      </c>
      <c r="K12" s="18">
        <f>J11</f>
        <v/>
      </c>
      <c r="L12" s="18">
        <f>K11</f>
        <v/>
      </c>
      <c r="M12" s="18">
        <f>L11</f>
        <v/>
      </c>
      <c r="N12" s="18">
        <f>M11</f>
        <v/>
      </c>
      <c r="O12" s="18">
        <f>N11</f>
        <v/>
      </c>
      <c r="P12" s="18">
        <f>O11</f>
        <v/>
      </c>
      <c r="Q12" s="18">
        <f>P11</f>
        <v/>
      </c>
      <c r="R12" s="18">
        <f>Q11</f>
        <v/>
      </c>
      <c r="S12" s="18">
        <f>R11</f>
        <v/>
      </c>
      <c r="T12" s="18">
        <f>S11</f>
        <v/>
      </c>
      <c r="U12" s="18">
        <f>T11</f>
        <v/>
      </c>
      <c r="V12" s="18">
        <f>U11</f>
        <v/>
      </c>
      <c r="W12" s="18">
        <f>V11</f>
        <v/>
      </c>
      <c r="X12" s="18">
        <f>W11</f>
        <v/>
      </c>
      <c r="Y12" s="18">
        <f>X11</f>
        <v/>
      </c>
      <c r="Z12" s="18">
        <f>Y11</f>
        <v/>
      </c>
      <c r="AA12" s="18">
        <f>Z11</f>
        <v/>
      </c>
      <c r="AB12" s="18">
        <f>AA11</f>
        <v/>
      </c>
      <c r="AC12" s="18">
        <f>AB11</f>
        <v/>
      </c>
      <c r="AD12" s="18">
        <f>AC11</f>
        <v/>
      </c>
      <c r="AE12" s="18">
        <f>AD11</f>
        <v/>
      </c>
      <c r="AF12" s="18">
        <f>AE11</f>
        <v/>
      </c>
      <c r="AG12" s="18">
        <f>AF11</f>
        <v/>
      </c>
      <c r="AH12" s="18">
        <f>AG11</f>
        <v/>
      </c>
      <c r="AI12" s="18">
        <f>AH11</f>
        <v/>
      </c>
      <c r="AJ12" s="18">
        <f>AI11</f>
        <v/>
      </c>
      <c r="AK12" s="18">
        <f>AJ11</f>
        <v/>
      </c>
      <c r="AL12" s="18">
        <f>AK11</f>
        <v/>
      </c>
      <c r="AM12" s="18">
        <f>AL11</f>
        <v/>
      </c>
      <c r="AN12" s="18">
        <f>AM11</f>
        <v/>
      </c>
      <c r="AO12" s="18">
        <f>AN11</f>
        <v/>
      </c>
      <c r="AP12" s="18">
        <f>AO11</f>
        <v/>
      </c>
      <c r="AQ12" s="18">
        <f>AP11</f>
        <v/>
      </c>
      <c r="AR12" s="18">
        <f>AQ11</f>
        <v/>
      </c>
      <c r="AS12" s="18">
        <f>AR11</f>
        <v/>
      </c>
      <c r="AT12" s="18">
        <f>AS11</f>
        <v/>
      </c>
      <c r="AU12" s="18">
        <f>AT11</f>
        <v/>
      </c>
      <c r="AV12" s="18">
        <f>AU11</f>
        <v/>
      </c>
      <c r="AW12" s="18">
        <f>AV11</f>
        <v/>
      </c>
      <c r="AX12" s="18">
        <f>AW11</f>
        <v/>
      </c>
      <c r="AY12" s="18">
        <f>AX11</f>
        <v/>
      </c>
      <c r="AZ12" s="18">
        <f>AY11</f>
        <v/>
      </c>
      <c r="BA12" s="18">
        <f>AZ11</f>
        <v/>
      </c>
      <c r="BB12" s="18">
        <f>BA11</f>
        <v/>
      </c>
      <c r="BC12" s="18">
        <f>BB11</f>
        <v/>
      </c>
      <c r="BD12" s="18">
        <f>BC11</f>
        <v/>
      </c>
      <c r="BE12" s="18">
        <f>BD11</f>
        <v/>
      </c>
      <c r="BF12" s="18">
        <f>BE11</f>
        <v/>
      </c>
      <c r="BG12" s="18">
        <f>BF11</f>
        <v/>
      </c>
    </row>
    <row r="13">
      <c r="A13" t="inlineStr">
        <is>
          <t>Tax losses b/f (unlevered)</t>
        </is>
      </c>
      <c r="C13" s="10" t="inlineStr">
        <is>
          <t>$</t>
        </is>
      </c>
      <c r="E13" s="18" t="n">
        <v>0</v>
      </c>
      <c r="F13" s="18">
        <f>E15</f>
        <v/>
      </c>
      <c r="G13" s="18">
        <f>F15</f>
        <v/>
      </c>
      <c r="H13" s="18">
        <f>G15</f>
        <v/>
      </c>
      <c r="I13" s="18">
        <f>H15</f>
        <v/>
      </c>
      <c r="J13" s="18">
        <f>I15</f>
        <v/>
      </c>
      <c r="K13" s="18">
        <f>J15</f>
        <v/>
      </c>
      <c r="L13" s="18">
        <f>K15</f>
        <v/>
      </c>
      <c r="M13" s="18">
        <f>L15</f>
        <v/>
      </c>
      <c r="N13" s="18">
        <f>M15</f>
        <v/>
      </c>
      <c r="O13" s="18">
        <f>N15</f>
        <v/>
      </c>
      <c r="P13" s="18">
        <f>O15</f>
        <v/>
      </c>
      <c r="Q13" s="18">
        <f>P15</f>
        <v/>
      </c>
      <c r="R13" s="18">
        <f>Q15</f>
        <v/>
      </c>
      <c r="S13" s="18">
        <f>R15</f>
        <v/>
      </c>
      <c r="T13" s="18">
        <f>S15</f>
        <v/>
      </c>
      <c r="U13" s="18">
        <f>T15</f>
        <v/>
      </c>
      <c r="V13" s="18">
        <f>U15</f>
        <v/>
      </c>
      <c r="W13" s="18">
        <f>V15</f>
        <v/>
      </c>
      <c r="X13" s="18">
        <f>W15</f>
        <v/>
      </c>
      <c r="Y13" s="18">
        <f>X15</f>
        <v/>
      </c>
      <c r="Z13" s="18">
        <f>Y15</f>
        <v/>
      </c>
      <c r="AA13" s="18">
        <f>Z15</f>
        <v/>
      </c>
      <c r="AB13" s="18">
        <f>AA15</f>
        <v/>
      </c>
      <c r="AC13" s="18">
        <f>AB15</f>
        <v/>
      </c>
      <c r="AD13" s="18">
        <f>AC15</f>
        <v/>
      </c>
      <c r="AE13" s="18">
        <f>AD15</f>
        <v/>
      </c>
      <c r="AF13" s="18">
        <f>AE15</f>
        <v/>
      </c>
      <c r="AG13" s="18">
        <f>AF15</f>
        <v/>
      </c>
      <c r="AH13" s="18">
        <f>AG15</f>
        <v/>
      </c>
      <c r="AI13" s="18">
        <f>AH15</f>
        <v/>
      </c>
      <c r="AJ13" s="18">
        <f>AI15</f>
        <v/>
      </c>
      <c r="AK13" s="18">
        <f>AJ15</f>
        <v/>
      </c>
      <c r="AL13" s="18">
        <f>AK15</f>
        <v/>
      </c>
      <c r="AM13" s="18">
        <f>AL15</f>
        <v/>
      </c>
      <c r="AN13" s="18">
        <f>AM15</f>
        <v/>
      </c>
      <c r="AO13" s="18">
        <f>AN15</f>
        <v/>
      </c>
      <c r="AP13" s="18">
        <f>AO15</f>
        <v/>
      </c>
      <c r="AQ13" s="18">
        <f>AP15</f>
        <v/>
      </c>
      <c r="AR13" s="18">
        <f>AQ15</f>
        <v/>
      </c>
      <c r="AS13" s="18">
        <f>AR15</f>
        <v/>
      </c>
      <c r="AT13" s="18">
        <f>AS15</f>
        <v/>
      </c>
      <c r="AU13" s="18">
        <f>AT15</f>
        <v/>
      </c>
      <c r="AV13" s="18">
        <f>AU15</f>
        <v/>
      </c>
      <c r="AW13" s="18">
        <f>AV15</f>
        <v/>
      </c>
      <c r="AX13" s="18">
        <f>AW15</f>
        <v/>
      </c>
      <c r="AY13" s="18">
        <f>AX15</f>
        <v/>
      </c>
      <c r="AZ13" s="18">
        <f>AY15</f>
        <v/>
      </c>
      <c r="BA13" s="18">
        <f>AZ15</f>
        <v/>
      </c>
      <c r="BB13" s="18">
        <f>BA15</f>
        <v/>
      </c>
      <c r="BC13" s="18">
        <f>BB15</f>
        <v/>
      </c>
      <c r="BD13" s="18">
        <f>BC15</f>
        <v/>
      </c>
      <c r="BE13" s="18">
        <f>BD15</f>
        <v/>
      </c>
      <c r="BF13" s="18">
        <f>BE15</f>
        <v/>
      </c>
      <c r="BG13" s="18">
        <f>BF15</f>
        <v/>
      </c>
    </row>
    <row r="14">
      <c r="A14" t="inlineStr">
        <is>
          <t>Taxable income (unlevered)</t>
        </is>
      </c>
      <c r="C14" s="10" t="inlineStr">
        <is>
          <t>$</t>
        </is>
      </c>
      <c r="E14" s="18" t="n">
        <v>0</v>
      </c>
      <c r="F14" s="18">
        <f>F7</f>
        <v/>
      </c>
      <c r="G14" s="18">
        <f>G7</f>
        <v/>
      </c>
      <c r="H14" s="18">
        <f>H7</f>
        <v/>
      </c>
      <c r="I14" s="18">
        <f>I7</f>
        <v/>
      </c>
      <c r="J14" s="18">
        <f>J7</f>
        <v/>
      </c>
      <c r="K14" s="18">
        <f>K7</f>
        <v/>
      </c>
      <c r="L14" s="18">
        <f>L7</f>
        <v/>
      </c>
      <c r="M14" s="18">
        <f>M7</f>
        <v/>
      </c>
      <c r="N14" s="18">
        <f>N7</f>
        <v/>
      </c>
      <c r="O14" s="18">
        <f>O7</f>
        <v/>
      </c>
      <c r="P14" s="18">
        <f>P7</f>
        <v/>
      </c>
      <c r="Q14" s="18">
        <f>Q7</f>
        <v/>
      </c>
      <c r="R14" s="18">
        <f>R7</f>
        <v/>
      </c>
      <c r="S14" s="18">
        <f>S7</f>
        <v/>
      </c>
      <c r="T14" s="18">
        <f>T7</f>
        <v/>
      </c>
      <c r="U14" s="18">
        <f>U7</f>
        <v/>
      </c>
      <c r="V14" s="18">
        <f>V7</f>
        <v/>
      </c>
      <c r="W14" s="18">
        <f>W7</f>
        <v/>
      </c>
      <c r="X14" s="18">
        <f>X7</f>
        <v/>
      </c>
      <c r="Y14" s="18">
        <f>Y7</f>
        <v/>
      </c>
      <c r="Z14" s="18">
        <f>Z7</f>
        <v/>
      </c>
      <c r="AA14" s="18">
        <f>AA7</f>
        <v/>
      </c>
      <c r="AB14" s="18">
        <f>AB7</f>
        <v/>
      </c>
      <c r="AC14" s="18">
        <f>AC7</f>
        <v/>
      </c>
      <c r="AD14" s="18">
        <f>AD7</f>
        <v/>
      </c>
      <c r="AE14" s="18">
        <f>AE7</f>
        <v/>
      </c>
      <c r="AF14" s="18">
        <f>AF7</f>
        <v/>
      </c>
      <c r="AG14" s="18">
        <f>AG7</f>
        <v/>
      </c>
      <c r="AH14" s="18">
        <f>AH7</f>
        <v/>
      </c>
      <c r="AI14" s="18">
        <f>AI7</f>
        <v/>
      </c>
      <c r="AJ14" s="18">
        <f>AJ7</f>
        <v/>
      </c>
      <c r="AK14" s="18">
        <f>AK7</f>
        <v/>
      </c>
      <c r="AL14" s="18">
        <f>AL7</f>
        <v/>
      </c>
      <c r="AM14" s="18">
        <f>AM7</f>
        <v/>
      </c>
      <c r="AN14" s="18">
        <f>AN7</f>
        <v/>
      </c>
      <c r="AO14" s="18">
        <f>AO7</f>
        <v/>
      </c>
      <c r="AP14" s="18">
        <f>AP7</f>
        <v/>
      </c>
      <c r="AQ14" s="18">
        <f>AQ7</f>
        <v/>
      </c>
      <c r="AR14" s="18">
        <f>AR7</f>
        <v/>
      </c>
      <c r="AS14" s="18">
        <f>AS7</f>
        <v/>
      </c>
      <c r="AT14" s="18">
        <f>AT7</f>
        <v/>
      </c>
      <c r="AU14" s="18">
        <f>AU7</f>
        <v/>
      </c>
      <c r="AV14" s="18">
        <f>AV7</f>
        <v/>
      </c>
      <c r="AW14" s="18">
        <f>AW7</f>
        <v/>
      </c>
      <c r="AX14" s="18">
        <f>AX7</f>
        <v/>
      </c>
      <c r="AY14" s="18">
        <f>AY7</f>
        <v/>
      </c>
      <c r="AZ14" s="18">
        <f>AZ7</f>
        <v/>
      </c>
      <c r="BA14" s="18">
        <f>BA7</f>
        <v/>
      </c>
      <c r="BB14" s="18">
        <f>BB7</f>
        <v/>
      </c>
      <c r="BC14" s="18">
        <f>BC7</f>
        <v/>
      </c>
      <c r="BD14" s="18">
        <f>BD7</f>
        <v/>
      </c>
      <c r="BE14" s="18">
        <f>BE7</f>
        <v/>
      </c>
      <c r="BF14" s="18">
        <f>BF7</f>
        <v/>
      </c>
      <c r="BG14" s="18">
        <f>BG7</f>
        <v/>
      </c>
    </row>
    <row r="15">
      <c r="A15" t="inlineStr">
        <is>
          <t>Tax losses c/f (unlevered)</t>
        </is>
      </c>
      <c r="C15" s="10" t="inlineStr">
        <is>
          <t>$</t>
        </is>
      </c>
      <c r="E15" s="18" t="n">
        <v>0</v>
      </c>
      <c r="F15" s="18">
        <f>MAX(0,F13-MAX(0,F14))-MIN(0,F14)</f>
        <v/>
      </c>
      <c r="G15" s="18">
        <f>MAX(0,G13-MAX(0,G14))-MIN(0,G14)</f>
        <v/>
      </c>
      <c r="H15" s="18">
        <f>MAX(0,H13-MAX(0,H14))-MIN(0,H14)</f>
        <v/>
      </c>
      <c r="I15" s="18">
        <f>MAX(0,I13-MAX(0,I14))-MIN(0,I14)</f>
        <v/>
      </c>
      <c r="J15" s="18">
        <f>MAX(0,J13-MAX(0,J14))-MIN(0,J14)</f>
        <v/>
      </c>
      <c r="K15" s="18">
        <f>MAX(0,K13-MAX(0,K14))-MIN(0,K14)</f>
        <v/>
      </c>
      <c r="L15" s="18">
        <f>MAX(0,L13-MAX(0,L14))-MIN(0,L14)</f>
        <v/>
      </c>
      <c r="M15" s="18">
        <f>MAX(0,M13-MAX(0,M14))-MIN(0,M14)</f>
        <v/>
      </c>
      <c r="N15" s="18">
        <f>MAX(0,N13-MAX(0,N14))-MIN(0,N14)</f>
        <v/>
      </c>
      <c r="O15" s="18">
        <f>MAX(0,O13-MAX(0,O14))-MIN(0,O14)</f>
        <v/>
      </c>
      <c r="P15" s="18">
        <f>MAX(0,P13-MAX(0,P14))-MIN(0,P14)</f>
        <v/>
      </c>
      <c r="Q15" s="18">
        <f>MAX(0,Q13-MAX(0,Q14))-MIN(0,Q14)</f>
        <v/>
      </c>
      <c r="R15" s="18">
        <f>MAX(0,R13-MAX(0,R14))-MIN(0,R14)</f>
        <v/>
      </c>
      <c r="S15" s="18">
        <f>MAX(0,S13-MAX(0,S14))-MIN(0,S14)</f>
        <v/>
      </c>
      <c r="T15" s="18">
        <f>MAX(0,T13-MAX(0,T14))-MIN(0,T14)</f>
        <v/>
      </c>
      <c r="U15" s="18">
        <f>MAX(0,U13-MAX(0,U14))-MIN(0,U14)</f>
        <v/>
      </c>
      <c r="V15" s="18">
        <f>MAX(0,V13-MAX(0,V14))-MIN(0,V14)</f>
        <v/>
      </c>
      <c r="W15" s="18">
        <f>MAX(0,W13-MAX(0,W14))-MIN(0,W14)</f>
        <v/>
      </c>
      <c r="X15" s="18">
        <f>MAX(0,X13-MAX(0,X14))-MIN(0,X14)</f>
        <v/>
      </c>
      <c r="Y15" s="18">
        <f>MAX(0,Y13-MAX(0,Y14))-MIN(0,Y14)</f>
        <v/>
      </c>
      <c r="Z15" s="18">
        <f>MAX(0,Z13-MAX(0,Z14))-MIN(0,Z14)</f>
        <v/>
      </c>
      <c r="AA15" s="18">
        <f>MAX(0,AA13-MAX(0,AA14))-MIN(0,AA14)</f>
        <v/>
      </c>
      <c r="AB15" s="18">
        <f>MAX(0,AB13-MAX(0,AB14))-MIN(0,AB14)</f>
        <v/>
      </c>
      <c r="AC15" s="18">
        <f>MAX(0,AC13-MAX(0,AC14))-MIN(0,AC14)</f>
        <v/>
      </c>
      <c r="AD15" s="18">
        <f>MAX(0,AD13-MAX(0,AD14))-MIN(0,AD14)</f>
        <v/>
      </c>
      <c r="AE15" s="18">
        <f>MAX(0,AE13-MAX(0,AE14))-MIN(0,AE14)</f>
        <v/>
      </c>
      <c r="AF15" s="18">
        <f>MAX(0,AF13-MAX(0,AF14))-MIN(0,AF14)</f>
        <v/>
      </c>
      <c r="AG15" s="18">
        <f>MAX(0,AG13-MAX(0,AG14))-MIN(0,AG14)</f>
        <v/>
      </c>
      <c r="AH15" s="18">
        <f>MAX(0,AH13-MAX(0,AH14))-MIN(0,AH14)</f>
        <v/>
      </c>
      <c r="AI15" s="18">
        <f>MAX(0,AI13-MAX(0,AI14))-MIN(0,AI14)</f>
        <v/>
      </c>
      <c r="AJ15" s="18">
        <f>MAX(0,AJ13-MAX(0,AJ14))-MIN(0,AJ14)</f>
        <v/>
      </c>
      <c r="AK15" s="18">
        <f>MAX(0,AK13-MAX(0,AK14))-MIN(0,AK14)</f>
        <v/>
      </c>
      <c r="AL15" s="18">
        <f>MAX(0,AL13-MAX(0,AL14))-MIN(0,AL14)</f>
        <v/>
      </c>
      <c r="AM15" s="18">
        <f>MAX(0,AM13-MAX(0,AM14))-MIN(0,AM14)</f>
        <v/>
      </c>
      <c r="AN15" s="18">
        <f>MAX(0,AN13-MAX(0,AN14))-MIN(0,AN14)</f>
        <v/>
      </c>
      <c r="AO15" s="18">
        <f>MAX(0,AO13-MAX(0,AO14))-MIN(0,AO14)</f>
        <v/>
      </c>
      <c r="AP15" s="18">
        <f>MAX(0,AP13-MAX(0,AP14))-MIN(0,AP14)</f>
        <v/>
      </c>
      <c r="AQ15" s="18">
        <f>MAX(0,AQ13-MAX(0,AQ14))-MIN(0,AQ14)</f>
        <v/>
      </c>
      <c r="AR15" s="18">
        <f>MAX(0,AR13-MAX(0,AR14))-MIN(0,AR14)</f>
        <v/>
      </c>
      <c r="AS15" s="18">
        <f>MAX(0,AS13-MAX(0,AS14))-MIN(0,AS14)</f>
        <v/>
      </c>
      <c r="AT15" s="18">
        <f>MAX(0,AT13-MAX(0,AT14))-MIN(0,AT14)</f>
        <v/>
      </c>
      <c r="AU15" s="18">
        <f>MAX(0,AU13-MAX(0,AU14))-MIN(0,AU14)</f>
        <v/>
      </c>
      <c r="AV15" s="18">
        <f>MAX(0,AV13-MAX(0,AV14))-MIN(0,AV14)</f>
        <v/>
      </c>
      <c r="AW15" s="18">
        <f>MAX(0,AW13-MAX(0,AW14))-MIN(0,AW14)</f>
        <v/>
      </c>
      <c r="AX15" s="18">
        <f>MAX(0,AX13-MAX(0,AX14))-MIN(0,AX14)</f>
        <v/>
      </c>
      <c r="AY15" s="18">
        <f>MAX(0,AY13-MAX(0,AY14))-MIN(0,AY14)</f>
        <v/>
      </c>
      <c r="AZ15" s="18">
        <f>MAX(0,AZ13-MAX(0,AZ14))-MIN(0,AZ14)</f>
        <v/>
      </c>
      <c r="BA15" s="18">
        <f>MAX(0,BA13-MAX(0,BA14))-MIN(0,BA14)</f>
        <v/>
      </c>
      <c r="BB15" s="18">
        <f>MAX(0,BB13-MAX(0,BB14))-MIN(0,BB14)</f>
        <v/>
      </c>
      <c r="BC15" s="18">
        <f>MAX(0,BC13-MAX(0,BC14))-MIN(0,BC14)</f>
        <v/>
      </c>
      <c r="BD15" s="18">
        <f>MAX(0,BD13-MAX(0,BD14))-MIN(0,BD14)</f>
        <v/>
      </c>
      <c r="BE15" s="18">
        <f>MAX(0,BE13-MAX(0,BE14))-MIN(0,BE14)</f>
        <v/>
      </c>
      <c r="BF15" s="18">
        <f>MAX(0,BF13-MAX(0,BF14))-MIN(0,BF14)</f>
        <v/>
      </c>
      <c r="BG15" s="18">
        <f>MAX(0,BG13-MAX(0,BG14))-MIN(0,BG14)</f>
        <v/>
      </c>
    </row>
    <row r="16">
      <c r="A16" s="3" t="inlineStr">
        <is>
          <t>Tax charge (unlevered, for LCOH)</t>
        </is>
      </c>
      <c r="C16" s="10" t="inlineStr">
        <is>
          <t>$</t>
        </is>
      </c>
      <c r="E16" s="18" t="n">
        <v>0</v>
      </c>
      <c r="F16" s="18">
        <f>TaxRate*MAX(0,F14-F13)</f>
        <v/>
      </c>
      <c r="G16" s="18">
        <f>TaxRate*MAX(0,G14-G13)</f>
        <v/>
      </c>
      <c r="H16" s="18">
        <f>TaxRate*MAX(0,H14-H13)</f>
        <v/>
      </c>
      <c r="I16" s="18">
        <f>TaxRate*MAX(0,I14-I13)</f>
        <v/>
      </c>
      <c r="J16" s="18">
        <f>TaxRate*MAX(0,J14-J13)</f>
        <v/>
      </c>
      <c r="K16" s="18">
        <f>TaxRate*MAX(0,K14-K13)</f>
        <v/>
      </c>
      <c r="L16" s="18">
        <f>TaxRate*MAX(0,L14-L13)</f>
        <v/>
      </c>
      <c r="M16" s="18">
        <f>TaxRate*MAX(0,M14-M13)</f>
        <v/>
      </c>
      <c r="N16" s="18">
        <f>TaxRate*MAX(0,N14-N13)</f>
        <v/>
      </c>
      <c r="O16" s="18">
        <f>TaxRate*MAX(0,O14-O13)</f>
        <v/>
      </c>
      <c r="P16" s="18">
        <f>TaxRate*MAX(0,P14-P13)</f>
        <v/>
      </c>
      <c r="Q16" s="18">
        <f>TaxRate*MAX(0,Q14-Q13)</f>
        <v/>
      </c>
      <c r="R16" s="18">
        <f>TaxRate*MAX(0,R14-R13)</f>
        <v/>
      </c>
      <c r="S16" s="18">
        <f>TaxRate*MAX(0,S14-S13)</f>
        <v/>
      </c>
      <c r="T16" s="18">
        <f>TaxRate*MAX(0,T14-T13)</f>
        <v/>
      </c>
      <c r="U16" s="18">
        <f>TaxRate*MAX(0,U14-U13)</f>
        <v/>
      </c>
      <c r="V16" s="18">
        <f>TaxRate*MAX(0,V14-V13)</f>
        <v/>
      </c>
      <c r="W16" s="18">
        <f>TaxRate*MAX(0,W14-W13)</f>
        <v/>
      </c>
      <c r="X16" s="18">
        <f>TaxRate*MAX(0,X14-X13)</f>
        <v/>
      </c>
      <c r="Y16" s="18">
        <f>TaxRate*MAX(0,Y14-Y13)</f>
        <v/>
      </c>
      <c r="Z16" s="18">
        <f>TaxRate*MAX(0,Z14-Z13)</f>
        <v/>
      </c>
      <c r="AA16" s="18">
        <f>TaxRate*MAX(0,AA14-AA13)</f>
        <v/>
      </c>
      <c r="AB16" s="18">
        <f>TaxRate*MAX(0,AB14-AB13)</f>
        <v/>
      </c>
      <c r="AC16" s="18">
        <f>TaxRate*MAX(0,AC14-AC13)</f>
        <v/>
      </c>
      <c r="AD16" s="18">
        <f>TaxRate*MAX(0,AD14-AD13)</f>
        <v/>
      </c>
      <c r="AE16" s="18">
        <f>TaxRate*MAX(0,AE14-AE13)</f>
        <v/>
      </c>
      <c r="AF16" s="18">
        <f>TaxRate*MAX(0,AF14-AF13)</f>
        <v/>
      </c>
      <c r="AG16" s="18">
        <f>TaxRate*MAX(0,AG14-AG13)</f>
        <v/>
      </c>
      <c r="AH16" s="18">
        <f>TaxRate*MAX(0,AH14-AH13)</f>
        <v/>
      </c>
      <c r="AI16" s="18">
        <f>TaxRate*MAX(0,AI14-AI13)</f>
        <v/>
      </c>
      <c r="AJ16" s="18">
        <f>TaxRate*MAX(0,AJ14-AJ13)</f>
        <v/>
      </c>
      <c r="AK16" s="18">
        <f>TaxRate*MAX(0,AK14-AK13)</f>
        <v/>
      </c>
      <c r="AL16" s="18">
        <f>TaxRate*MAX(0,AL14-AL13)</f>
        <v/>
      </c>
      <c r="AM16" s="18">
        <f>TaxRate*MAX(0,AM14-AM13)</f>
        <v/>
      </c>
      <c r="AN16" s="18">
        <f>TaxRate*MAX(0,AN14-AN13)</f>
        <v/>
      </c>
      <c r="AO16" s="18">
        <f>TaxRate*MAX(0,AO14-AO13)</f>
        <v/>
      </c>
      <c r="AP16" s="18">
        <f>TaxRate*MAX(0,AP14-AP13)</f>
        <v/>
      </c>
      <c r="AQ16" s="18">
        <f>TaxRate*MAX(0,AQ14-AQ13)</f>
        <v/>
      </c>
      <c r="AR16" s="18">
        <f>TaxRate*MAX(0,AR14-AR13)</f>
        <v/>
      </c>
      <c r="AS16" s="18">
        <f>TaxRate*MAX(0,AS14-AS13)</f>
        <v/>
      </c>
      <c r="AT16" s="18">
        <f>TaxRate*MAX(0,AT14-AT13)</f>
        <v/>
      </c>
      <c r="AU16" s="18">
        <f>TaxRate*MAX(0,AU14-AU13)</f>
        <v/>
      </c>
      <c r="AV16" s="18">
        <f>TaxRate*MAX(0,AV14-AV13)</f>
        <v/>
      </c>
      <c r="AW16" s="18">
        <f>TaxRate*MAX(0,AW14-AW13)</f>
        <v/>
      </c>
      <c r="AX16" s="18">
        <f>TaxRate*MAX(0,AX14-AX13)</f>
        <v/>
      </c>
      <c r="AY16" s="18">
        <f>TaxRate*MAX(0,AY14-AY13)</f>
        <v/>
      </c>
      <c r="AZ16" s="18">
        <f>TaxRate*MAX(0,AZ14-AZ13)</f>
        <v/>
      </c>
      <c r="BA16" s="18">
        <f>TaxRate*MAX(0,BA14-BA13)</f>
        <v/>
      </c>
      <c r="BB16" s="18">
        <f>TaxRate*MAX(0,BB14-BB13)</f>
        <v/>
      </c>
      <c r="BC16" s="18">
        <f>TaxRate*MAX(0,BC14-BC13)</f>
        <v/>
      </c>
      <c r="BD16" s="18">
        <f>TaxRate*MAX(0,BD14-BD13)</f>
        <v/>
      </c>
      <c r="BE16" s="18">
        <f>TaxRate*MAX(0,BE14-BE13)</f>
        <v/>
      </c>
      <c r="BF16" s="18">
        <f>TaxRate*MAX(0,BF14-BF13)</f>
        <v/>
      </c>
      <c r="BG16" s="18">
        <f>TaxRate*MAX(0,BG14-BG13)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G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CFADS  —  cash available for debt service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EBITDA</t>
        </is>
      </c>
      <c r="C3" s="10" t="inlineStr">
        <is>
          <t>$</t>
        </is>
      </c>
      <c r="E3" s="18" t="n">
        <v>0</v>
      </c>
      <c r="F3" s="18">
        <f>OP!F10</f>
        <v/>
      </c>
      <c r="G3" s="18">
        <f>OP!G10</f>
        <v/>
      </c>
      <c r="H3" s="18">
        <f>OP!H10</f>
        <v/>
      </c>
      <c r="I3" s="18">
        <f>OP!I10</f>
        <v/>
      </c>
      <c r="J3" s="18">
        <f>OP!J10</f>
        <v/>
      </c>
      <c r="K3" s="18">
        <f>OP!K10</f>
        <v/>
      </c>
      <c r="L3" s="18">
        <f>OP!L10</f>
        <v/>
      </c>
      <c r="M3" s="18">
        <f>OP!M10</f>
        <v/>
      </c>
      <c r="N3" s="18">
        <f>OP!N10</f>
        <v/>
      </c>
      <c r="O3" s="18">
        <f>OP!O10</f>
        <v/>
      </c>
      <c r="P3" s="18">
        <f>OP!P10</f>
        <v/>
      </c>
      <c r="Q3" s="18">
        <f>OP!Q10</f>
        <v/>
      </c>
      <c r="R3" s="18">
        <f>OP!R10</f>
        <v/>
      </c>
      <c r="S3" s="18">
        <f>OP!S10</f>
        <v/>
      </c>
      <c r="T3" s="18">
        <f>OP!T10</f>
        <v/>
      </c>
      <c r="U3" s="18">
        <f>OP!U10</f>
        <v/>
      </c>
      <c r="V3" s="18">
        <f>OP!V10</f>
        <v/>
      </c>
      <c r="W3" s="18">
        <f>OP!W10</f>
        <v/>
      </c>
      <c r="X3" s="18">
        <f>OP!X10</f>
        <v/>
      </c>
      <c r="Y3" s="18">
        <f>OP!Y10</f>
        <v/>
      </c>
      <c r="Z3" s="18">
        <f>OP!Z10</f>
        <v/>
      </c>
      <c r="AA3" s="18">
        <f>OP!AA10</f>
        <v/>
      </c>
      <c r="AB3" s="18">
        <f>OP!AB10</f>
        <v/>
      </c>
      <c r="AC3" s="18">
        <f>OP!AC10</f>
        <v/>
      </c>
      <c r="AD3" s="18">
        <f>OP!AD10</f>
        <v/>
      </c>
      <c r="AE3" s="18">
        <f>OP!AE10</f>
        <v/>
      </c>
      <c r="AF3" s="18">
        <f>OP!AF10</f>
        <v/>
      </c>
      <c r="AG3" s="18">
        <f>OP!AG10</f>
        <v/>
      </c>
      <c r="AH3" s="18">
        <f>OP!AH10</f>
        <v/>
      </c>
      <c r="AI3" s="18">
        <f>OP!AI10</f>
        <v/>
      </c>
      <c r="AJ3" s="18">
        <f>OP!AJ10</f>
        <v/>
      </c>
      <c r="AK3" s="18">
        <f>OP!AK10</f>
        <v/>
      </c>
      <c r="AL3" s="18">
        <f>OP!AL10</f>
        <v/>
      </c>
      <c r="AM3" s="18">
        <f>OP!AM10</f>
        <v/>
      </c>
      <c r="AN3" s="18">
        <f>OP!AN10</f>
        <v/>
      </c>
      <c r="AO3" s="18">
        <f>OP!AO10</f>
        <v/>
      </c>
      <c r="AP3" s="18">
        <f>OP!AP10</f>
        <v/>
      </c>
      <c r="AQ3" s="18">
        <f>OP!AQ10</f>
        <v/>
      </c>
      <c r="AR3" s="18">
        <f>OP!AR10</f>
        <v/>
      </c>
      <c r="AS3" s="18">
        <f>OP!AS10</f>
        <v/>
      </c>
      <c r="AT3" s="18">
        <f>OP!AT10</f>
        <v/>
      </c>
      <c r="AU3" s="18">
        <f>OP!AU10</f>
        <v/>
      </c>
      <c r="AV3" s="18">
        <f>OP!AV10</f>
        <v/>
      </c>
      <c r="AW3" s="18">
        <f>OP!AW10</f>
        <v/>
      </c>
      <c r="AX3" s="18">
        <f>OP!AX10</f>
        <v/>
      </c>
      <c r="AY3" s="18">
        <f>OP!AY10</f>
        <v/>
      </c>
      <c r="AZ3" s="18">
        <f>OP!AZ10</f>
        <v/>
      </c>
      <c r="BA3" s="18">
        <f>OP!BA10</f>
        <v/>
      </c>
      <c r="BB3" s="18">
        <f>OP!BB10</f>
        <v/>
      </c>
      <c r="BC3" s="18">
        <f>OP!BC10</f>
        <v/>
      </c>
      <c r="BD3" s="18">
        <f>OP!BD10</f>
        <v/>
      </c>
      <c r="BE3" s="18">
        <f>OP!BE10</f>
        <v/>
      </c>
      <c r="BF3" s="18">
        <f>OP!BF10</f>
        <v/>
      </c>
      <c r="BG3" s="18">
        <f>OP!BG10</f>
        <v/>
      </c>
    </row>
    <row r="4">
      <c r="A4" t="inlineStr">
        <is>
          <t>Less: tax paid (arrears)</t>
        </is>
      </c>
      <c r="C4" s="10" t="inlineStr">
        <is>
          <t>$</t>
        </is>
      </c>
      <c r="E4" s="18" t="n">
        <v>0</v>
      </c>
      <c r="F4" s="18">
        <f>TX!F12</f>
        <v/>
      </c>
      <c r="G4" s="18">
        <f>TX!G12</f>
        <v/>
      </c>
      <c r="H4" s="18">
        <f>TX!H12</f>
        <v/>
      </c>
      <c r="I4" s="18">
        <f>TX!I12</f>
        <v/>
      </c>
      <c r="J4" s="18">
        <f>TX!J12</f>
        <v/>
      </c>
      <c r="K4" s="18">
        <f>TX!K12</f>
        <v/>
      </c>
      <c r="L4" s="18">
        <f>TX!L12</f>
        <v/>
      </c>
      <c r="M4" s="18">
        <f>TX!M12</f>
        <v/>
      </c>
      <c r="N4" s="18">
        <f>TX!N12</f>
        <v/>
      </c>
      <c r="O4" s="18">
        <f>TX!O12</f>
        <v/>
      </c>
      <c r="P4" s="18">
        <f>TX!P12</f>
        <v/>
      </c>
      <c r="Q4" s="18">
        <f>TX!Q12</f>
        <v/>
      </c>
      <c r="R4" s="18">
        <f>TX!R12</f>
        <v/>
      </c>
      <c r="S4" s="18">
        <f>TX!S12</f>
        <v/>
      </c>
      <c r="T4" s="18">
        <f>TX!T12</f>
        <v/>
      </c>
      <c r="U4" s="18">
        <f>TX!U12</f>
        <v/>
      </c>
      <c r="V4" s="18">
        <f>TX!V12</f>
        <v/>
      </c>
      <c r="W4" s="18">
        <f>TX!W12</f>
        <v/>
      </c>
      <c r="X4" s="18">
        <f>TX!X12</f>
        <v/>
      </c>
      <c r="Y4" s="18">
        <f>TX!Y12</f>
        <v/>
      </c>
      <c r="Z4" s="18">
        <f>TX!Z12</f>
        <v/>
      </c>
      <c r="AA4" s="18">
        <f>TX!AA12</f>
        <v/>
      </c>
      <c r="AB4" s="18">
        <f>TX!AB12</f>
        <v/>
      </c>
      <c r="AC4" s="18">
        <f>TX!AC12</f>
        <v/>
      </c>
      <c r="AD4" s="18">
        <f>TX!AD12</f>
        <v/>
      </c>
      <c r="AE4" s="18">
        <f>TX!AE12</f>
        <v/>
      </c>
      <c r="AF4" s="18">
        <f>TX!AF12</f>
        <v/>
      </c>
      <c r="AG4" s="18">
        <f>TX!AG12</f>
        <v/>
      </c>
      <c r="AH4" s="18">
        <f>TX!AH12</f>
        <v/>
      </c>
      <c r="AI4" s="18">
        <f>TX!AI12</f>
        <v/>
      </c>
      <c r="AJ4" s="18">
        <f>TX!AJ12</f>
        <v/>
      </c>
      <c r="AK4" s="18">
        <f>TX!AK12</f>
        <v/>
      </c>
      <c r="AL4" s="18">
        <f>TX!AL12</f>
        <v/>
      </c>
      <c r="AM4" s="18">
        <f>TX!AM12</f>
        <v/>
      </c>
      <c r="AN4" s="18">
        <f>TX!AN12</f>
        <v/>
      </c>
      <c r="AO4" s="18">
        <f>TX!AO12</f>
        <v/>
      </c>
      <c r="AP4" s="18">
        <f>TX!AP12</f>
        <v/>
      </c>
      <c r="AQ4" s="18">
        <f>TX!AQ12</f>
        <v/>
      </c>
      <c r="AR4" s="18">
        <f>TX!AR12</f>
        <v/>
      </c>
      <c r="AS4" s="18">
        <f>TX!AS12</f>
        <v/>
      </c>
      <c r="AT4" s="18">
        <f>TX!AT12</f>
        <v/>
      </c>
      <c r="AU4" s="18">
        <f>TX!AU12</f>
        <v/>
      </c>
      <c r="AV4" s="18">
        <f>TX!AV12</f>
        <v/>
      </c>
      <c r="AW4" s="18">
        <f>TX!AW12</f>
        <v/>
      </c>
      <c r="AX4" s="18">
        <f>TX!AX12</f>
        <v/>
      </c>
      <c r="AY4" s="18">
        <f>TX!AY12</f>
        <v/>
      </c>
      <c r="AZ4" s="18">
        <f>TX!AZ12</f>
        <v/>
      </c>
      <c r="BA4" s="18">
        <f>TX!BA12</f>
        <v/>
      </c>
      <c r="BB4" s="18">
        <f>TX!BB12</f>
        <v/>
      </c>
      <c r="BC4" s="18">
        <f>TX!BC12</f>
        <v/>
      </c>
      <c r="BD4" s="18">
        <f>TX!BD12</f>
        <v/>
      </c>
      <c r="BE4" s="18">
        <f>TX!BE12</f>
        <v/>
      </c>
      <c r="BF4" s="18">
        <f>TX!BF12</f>
        <v/>
      </c>
      <c r="BG4" s="18">
        <f>TX!BG12</f>
        <v/>
      </c>
    </row>
    <row r="5">
      <c r="A5" t="inlineStr">
        <is>
          <t>Less: increase in NWC</t>
        </is>
      </c>
      <c r="C5" s="10" t="inlineStr">
        <is>
          <t>$</t>
        </is>
      </c>
      <c r="E5" s="18" t="n">
        <v>0</v>
      </c>
      <c r="F5" s="18">
        <f>WC!F6</f>
        <v/>
      </c>
      <c r="G5" s="18">
        <f>WC!G6</f>
        <v/>
      </c>
      <c r="H5" s="18">
        <f>WC!H6</f>
        <v/>
      </c>
      <c r="I5" s="18">
        <f>WC!I6</f>
        <v/>
      </c>
      <c r="J5" s="18">
        <f>WC!J6</f>
        <v/>
      </c>
      <c r="K5" s="18">
        <f>WC!K6</f>
        <v/>
      </c>
      <c r="L5" s="18">
        <f>WC!L6</f>
        <v/>
      </c>
      <c r="M5" s="18">
        <f>WC!M6</f>
        <v/>
      </c>
      <c r="N5" s="18">
        <f>WC!N6</f>
        <v/>
      </c>
      <c r="O5" s="18">
        <f>WC!O6</f>
        <v/>
      </c>
      <c r="P5" s="18">
        <f>WC!P6</f>
        <v/>
      </c>
      <c r="Q5" s="18">
        <f>WC!Q6</f>
        <v/>
      </c>
      <c r="R5" s="18">
        <f>WC!R6</f>
        <v/>
      </c>
      <c r="S5" s="18">
        <f>WC!S6</f>
        <v/>
      </c>
      <c r="T5" s="18">
        <f>WC!T6</f>
        <v/>
      </c>
      <c r="U5" s="18">
        <f>WC!U6</f>
        <v/>
      </c>
      <c r="V5" s="18">
        <f>WC!V6</f>
        <v/>
      </c>
      <c r="W5" s="18">
        <f>WC!W6</f>
        <v/>
      </c>
      <c r="X5" s="18">
        <f>WC!X6</f>
        <v/>
      </c>
      <c r="Y5" s="18">
        <f>WC!Y6</f>
        <v/>
      </c>
      <c r="Z5" s="18">
        <f>WC!Z6</f>
        <v/>
      </c>
      <c r="AA5" s="18">
        <f>WC!AA6</f>
        <v/>
      </c>
      <c r="AB5" s="18">
        <f>WC!AB6</f>
        <v/>
      </c>
      <c r="AC5" s="18">
        <f>WC!AC6</f>
        <v/>
      </c>
      <c r="AD5" s="18">
        <f>WC!AD6</f>
        <v/>
      </c>
      <c r="AE5" s="18">
        <f>WC!AE6</f>
        <v/>
      </c>
      <c r="AF5" s="18">
        <f>WC!AF6</f>
        <v/>
      </c>
      <c r="AG5" s="18">
        <f>WC!AG6</f>
        <v/>
      </c>
      <c r="AH5" s="18">
        <f>WC!AH6</f>
        <v/>
      </c>
      <c r="AI5" s="18">
        <f>WC!AI6</f>
        <v/>
      </c>
      <c r="AJ5" s="18">
        <f>WC!AJ6</f>
        <v/>
      </c>
      <c r="AK5" s="18">
        <f>WC!AK6</f>
        <v/>
      </c>
      <c r="AL5" s="18">
        <f>WC!AL6</f>
        <v/>
      </c>
      <c r="AM5" s="18">
        <f>WC!AM6</f>
        <v/>
      </c>
      <c r="AN5" s="18">
        <f>WC!AN6</f>
        <v/>
      </c>
      <c r="AO5" s="18">
        <f>WC!AO6</f>
        <v/>
      </c>
      <c r="AP5" s="18">
        <f>WC!AP6</f>
        <v/>
      </c>
      <c r="AQ5" s="18">
        <f>WC!AQ6</f>
        <v/>
      </c>
      <c r="AR5" s="18">
        <f>WC!AR6</f>
        <v/>
      </c>
      <c r="AS5" s="18">
        <f>WC!AS6</f>
        <v/>
      </c>
      <c r="AT5" s="18">
        <f>WC!AT6</f>
        <v/>
      </c>
      <c r="AU5" s="18">
        <f>WC!AU6</f>
        <v/>
      </c>
      <c r="AV5" s="18">
        <f>WC!AV6</f>
        <v/>
      </c>
      <c r="AW5" s="18">
        <f>WC!AW6</f>
        <v/>
      </c>
      <c r="AX5" s="18">
        <f>WC!AX6</f>
        <v/>
      </c>
      <c r="AY5" s="18">
        <f>WC!AY6</f>
        <v/>
      </c>
      <c r="AZ5" s="18">
        <f>WC!AZ6</f>
        <v/>
      </c>
      <c r="BA5" s="18">
        <f>WC!BA6</f>
        <v/>
      </c>
      <c r="BB5" s="18">
        <f>WC!BB6</f>
        <v/>
      </c>
      <c r="BC5" s="18">
        <f>WC!BC6</f>
        <v/>
      </c>
      <c r="BD5" s="18">
        <f>WC!BD6</f>
        <v/>
      </c>
      <c r="BE5" s="18">
        <f>WC!BE6</f>
        <v/>
      </c>
      <c r="BF5" s="18">
        <f>WC!BF6</f>
        <v/>
      </c>
      <c r="BG5" s="18">
        <f>WC!BG6</f>
        <v/>
      </c>
    </row>
    <row r="6">
      <c r="A6" t="inlineStr">
        <is>
          <t>Memo: stack replacement (below CFADS)</t>
        </is>
      </c>
      <c r="C6" s="10" t="inlineStr">
        <is>
          <t>$</t>
        </is>
      </c>
      <c r="E6" s="18" t="n">
        <v>0</v>
      </c>
      <c r="F6" s="18">
        <f>OP!F8</f>
        <v/>
      </c>
      <c r="G6" s="18">
        <f>OP!G8</f>
        <v/>
      </c>
      <c r="H6" s="18">
        <f>OP!H8</f>
        <v/>
      </c>
      <c r="I6" s="18">
        <f>OP!I8</f>
        <v/>
      </c>
      <c r="J6" s="18">
        <f>OP!J8</f>
        <v/>
      </c>
      <c r="K6" s="18">
        <f>OP!K8</f>
        <v/>
      </c>
      <c r="L6" s="18">
        <f>OP!L8</f>
        <v/>
      </c>
      <c r="M6" s="18">
        <f>OP!M8</f>
        <v/>
      </c>
      <c r="N6" s="18">
        <f>OP!N8</f>
        <v/>
      </c>
      <c r="O6" s="18">
        <f>OP!O8</f>
        <v/>
      </c>
      <c r="P6" s="18">
        <f>OP!P8</f>
        <v/>
      </c>
      <c r="Q6" s="18">
        <f>OP!Q8</f>
        <v/>
      </c>
      <c r="R6" s="18">
        <f>OP!R8</f>
        <v/>
      </c>
      <c r="S6" s="18">
        <f>OP!S8</f>
        <v/>
      </c>
      <c r="T6" s="18">
        <f>OP!T8</f>
        <v/>
      </c>
      <c r="U6" s="18">
        <f>OP!U8</f>
        <v/>
      </c>
      <c r="V6" s="18">
        <f>OP!V8</f>
        <v/>
      </c>
      <c r="W6" s="18">
        <f>OP!W8</f>
        <v/>
      </c>
      <c r="X6" s="18">
        <f>OP!X8</f>
        <v/>
      </c>
      <c r="Y6" s="18">
        <f>OP!Y8</f>
        <v/>
      </c>
      <c r="Z6" s="18">
        <f>OP!Z8</f>
        <v/>
      </c>
      <c r="AA6" s="18">
        <f>OP!AA8</f>
        <v/>
      </c>
      <c r="AB6" s="18">
        <f>OP!AB8</f>
        <v/>
      </c>
      <c r="AC6" s="18">
        <f>OP!AC8</f>
        <v/>
      </c>
      <c r="AD6" s="18">
        <f>OP!AD8</f>
        <v/>
      </c>
      <c r="AE6" s="18">
        <f>OP!AE8</f>
        <v/>
      </c>
      <c r="AF6" s="18">
        <f>OP!AF8</f>
        <v/>
      </c>
      <c r="AG6" s="18">
        <f>OP!AG8</f>
        <v/>
      </c>
      <c r="AH6" s="18">
        <f>OP!AH8</f>
        <v/>
      </c>
      <c r="AI6" s="18">
        <f>OP!AI8</f>
        <v/>
      </c>
      <c r="AJ6" s="18">
        <f>OP!AJ8</f>
        <v/>
      </c>
      <c r="AK6" s="18">
        <f>OP!AK8</f>
        <v/>
      </c>
      <c r="AL6" s="18">
        <f>OP!AL8</f>
        <v/>
      </c>
      <c r="AM6" s="18">
        <f>OP!AM8</f>
        <v/>
      </c>
      <c r="AN6" s="18">
        <f>OP!AN8</f>
        <v/>
      </c>
      <c r="AO6" s="18">
        <f>OP!AO8</f>
        <v/>
      </c>
      <c r="AP6" s="18">
        <f>OP!AP8</f>
        <v/>
      </c>
      <c r="AQ6" s="18">
        <f>OP!AQ8</f>
        <v/>
      </c>
      <c r="AR6" s="18">
        <f>OP!AR8</f>
        <v/>
      </c>
      <c r="AS6" s="18">
        <f>OP!AS8</f>
        <v/>
      </c>
      <c r="AT6" s="18">
        <f>OP!AT8</f>
        <v/>
      </c>
      <c r="AU6" s="18">
        <f>OP!AU8</f>
        <v/>
      </c>
      <c r="AV6" s="18">
        <f>OP!AV8</f>
        <v/>
      </c>
      <c r="AW6" s="18">
        <f>OP!AW8</f>
        <v/>
      </c>
      <c r="AX6" s="18">
        <f>OP!AX8</f>
        <v/>
      </c>
      <c r="AY6" s="18">
        <f>OP!AY8</f>
        <v/>
      </c>
      <c r="AZ6" s="18">
        <f>OP!AZ8</f>
        <v/>
      </c>
      <c r="BA6" s="18">
        <f>OP!BA8</f>
        <v/>
      </c>
      <c r="BB6" s="18">
        <f>OP!BB8</f>
        <v/>
      </c>
      <c r="BC6" s="18">
        <f>OP!BC8</f>
        <v/>
      </c>
      <c r="BD6" s="18">
        <f>OP!BD8</f>
        <v/>
      </c>
      <c r="BE6" s="18">
        <f>OP!BE8</f>
        <v/>
      </c>
      <c r="BF6" s="18">
        <f>OP!BF8</f>
        <v/>
      </c>
      <c r="BG6" s="18">
        <f>OP!BG8</f>
        <v/>
      </c>
    </row>
    <row r="7">
      <c r="A7" s="3" t="inlineStr">
        <is>
          <t>CFADS (before major maintenance)</t>
        </is>
      </c>
      <c r="C7" s="10" t="inlineStr">
        <is>
          <t>$</t>
        </is>
      </c>
      <c r="E7" s="18" t="n">
        <v>0</v>
      </c>
      <c r="F7" s="18">
        <f>F3-F4-F5</f>
        <v/>
      </c>
      <c r="G7" s="18">
        <f>G3-G4-G5</f>
        <v/>
      </c>
      <c r="H7" s="18">
        <f>H3-H4-H5</f>
        <v/>
      </c>
      <c r="I7" s="18">
        <f>I3-I4-I5</f>
        <v/>
      </c>
      <c r="J7" s="18">
        <f>J3-J4-J5</f>
        <v/>
      </c>
      <c r="K7" s="18">
        <f>K3-K4-K5</f>
        <v/>
      </c>
      <c r="L7" s="18">
        <f>L3-L4-L5</f>
        <v/>
      </c>
      <c r="M7" s="18">
        <f>M3-M4-M5</f>
        <v/>
      </c>
      <c r="N7" s="18">
        <f>N3-N4-N5</f>
        <v/>
      </c>
      <c r="O7" s="18">
        <f>O3-O4-O5</f>
        <v/>
      </c>
      <c r="P7" s="18">
        <f>P3-P4-P5</f>
        <v/>
      </c>
      <c r="Q7" s="18">
        <f>Q3-Q4-Q5</f>
        <v/>
      </c>
      <c r="R7" s="18">
        <f>R3-R4-R5</f>
        <v/>
      </c>
      <c r="S7" s="18">
        <f>S3-S4-S5</f>
        <v/>
      </c>
      <c r="T7" s="18">
        <f>T3-T4-T5</f>
        <v/>
      </c>
      <c r="U7" s="18">
        <f>U3-U4-U5</f>
        <v/>
      </c>
      <c r="V7" s="18">
        <f>V3-V4-V5</f>
        <v/>
      </c>
      <c r="W7" s="18">
        <f>W3-W4-W5</f>
        <v/>
      </c>
      <c r="X7" s="18">
        <f>X3-X4-X5</f>
        <v/>
      </c>
      <c r="Y7" s="18">
        <f>Y3-Y4-Y5</f>
        <v/>
      </c>
      <c r="Z7" s="18">
        <f>Z3-Z4-Z5</f>
        <v/>
      </c>
      <c r="AA7" s="18">
        <f>AA3-AA4-AA5</f>
        <v/>
      </c>
      <c r="AB7" s="18">
        <f>AB3-AB4-AB5</f>
        <v/>
      </c>
      <c r="AC7" s="18">
        <f>AC3-AC4-AC5</f>
        <v/>
      </c>
      <c r="AD7" s="18">
        <f>AD3-AD4-AD5</f>
        <v/>
      </c>
      <c r="AE7" s="18">
        <f>AE3-AE4-AE5</f>
        <v/>
      </c>
      <c r="AF7" s="18">
        <f>AF3-AF4-AF5</f>
        <v/>
      </c>
      <c r="AG7" s="18">
        <f>AG3-AG4-AG5</f>
        <v/>
      </c>
      <c r="AH7" s="18">
        <f>AH3-AH4-AH5</f>
        <v/>
      </c>
      <c r="AI7" s="18">
        <f>AI3-AI4-AI5</f>
        <v/>
      </c>
      <c r="AJ7" s="18">
        <f>AJ3-AJ4-AJ5</f>
        <v/>
      </c>
      <c r="AK7" s="18">
        <f>AK3-AK4-AK5</f>
        <v/>
      </c>
      <c r="AL7" s="18">
        <f>AL3-AL4-AL5</f>
        <v/>
      </c>
      <c r="AM7" s="18">
        <f>AM3-AM4-AM5</f>
        <v/>
      </c>
      <c r="AN7" s="18">
        <f>AN3-AN4-AN5</f>
        <v/>
      </c>
      <c r="AO7" s="18">
        <f>AO3-AO4-AO5</f>
        <v/>
      </c>
      <c r="AP7" s="18">
        <f>AP3-AP4-AP5</f>
        <v/>
      </c>
      <c r="AQ7" s="18">
        <f>AQ3-AQ4-AQ5</f>
        <v/>
      </c>
      <c r="AR7" s="18">
        <f>AR3-AR4-AR5</f>
        <v/>
      </c>
      <c r="AS7" s="18">
        <f>AS3-AS4-AS5</f>
        <v/>
      </c>
      <c r="AT7" s="18">
        <f>AT3-AT4-AT5</f>
        <v/>
      </c>
      <c r="AU7" s="18">
        <f>AU3-AU4-AU5</f>
        <v/>
      </c>
      <c r="AV7" s="18">
        <f>AV3-AV4-AV5</f>
        <v/>
      </c>
      <c r="AW7" s="18">
        <f>AW3-AW4-AW5</f>
        <v/>
      </c>
      <c r="AX7" s="18">
        <f>AX3-AX4-AX5</f>
        <v/>
      </c>
      <c r="AY7" s="18">
        <f>AY3-AY4-AY5</f>
        <v/>
      </c>
      <c r="AZ7" s="18">
        <f>AZ3-AZ4-AZ5</f>
        <v/>
      </c>
      <c r="BA7" s="18">
        <f>BA3-BA4-BA5</f>
        <v/>
      </c>
      <c r="BB7" s="18">
        <f>BB3-BB4-BB5</f>
        <v/>
      </c>
      <c r="BC7" s="18">
        <f>BC3-BC4-BC5</f>
        <v/>
      </c>
      <c r="BD7" s="18">
        <f>BD3-BD4-BD5</f>
        <v/>
      </c>
      <c r="BE7" s="18">
        <f>BE3-BE4-BE5</f>
        <v/>
      </c>
      <c r="BF7" s="18">
        <f>BF3-BF4-BF5</f>
        <v/>
      </c>
      <c r="BG7" s="18">
        <f>BG3-BG4-BG5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G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DEBT  —  drawn at COD, sculpted to flat target DSCR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Debt — opening balance</t>
        </is>
      </c>
      <c r="C3" s="10" t="inlineStr">
        <is>
          <t>$</t>
        </is>
      </c>
      <c r="E3" s="18" t="n">
        <v>0</v>
      </c>
      <c r="F3" s="18">
        <f>IF(TM!F10=1,DebtAtCOD*GearingFactor,E7)</f>
        <v/>
      </c>
      <c r="G3" s="18">
        <f>IF(TM!G10=1,DebtAtCOD*GearingFactor,F7)</f>
        <v/>
      </c>
      <c r="H3" s="18">
        <f>IF(TM!H10=1,DebtAtCOD*GearingFactor,G7)</f>
        <v/>
      </c>
      <c r="I3" s="18">
        <f>IF(TM!I10=1,DebtAtCOD*GearingFactor,H7)</f>
        <v/>
      </c>
      <c r="J3" s="18">
        <f>IF(TM!J10=1,DebtAtCOD*GearingFactor,I7)</f>
        <v/>
      </c>
      <c r="K3" s="18">
        <f>IF(TM!K10=1,DebtAtCOD*GearingFactor,J7)</f>
        <v/>
      </c>
      <c r="L3" s="18">
        <f>IF(TM!L10=1,DebtAtCOD*GearingFactor,K7)</f>
        <v/>
      </c>
      <c r="M3" s="18">
        <f>IF(TM!M10=1,DebtAtCOD*GearingFactor,L7)</f>
        <v/>
      </c>
      <c r="N3" s="18">
        <f>IF(TM!N10=1,DebtAtCOD*GearingFactor,M7)</f>
        <v/>
      </c>
      <c r="O3" s="18">
        <f>IF(TM!O10=1,DebtAtCOD*GearingFactor,N7)</f>
        <v/>
      </c>
      <c r="P3" s="18">
        <f>IF(TM!P10=1,DebtAtCOD*GearingFactor,O7)</f>
        <v/>
      </c>
      <c r="Q3" s="18">
        <f>IF(TM!Q10=1,DebtAtCOD*GearingFactor,P7)</f>
        <v/>
      </c>
      <c r="R3" s="18">
        <f>IF(TM!R10=1,DebtAtCOD*GearingFactor,Q7)</f>
        <v/>
      </c>
      <c r="S3" s="18">
        <f>IF(TM!S10=1,DebtAtCOD*GearingFactor,R7)</f>
        <v/>
      </c>
      <c r="T3" s="18">
        <f>IF(TM!T10=1,DebtAtCOD*GearingFactor,S7)</f>
        <v/>
      </c>
      <c r="U3" s="18">
        <f>IF(TM!U10=1,DebtAtCOD*GearingFactor,T7)</f>
        <v/>
      </c>
      <c r="V3" s="18">
        <f>IF(TM!V10=1,DebtAtCOD*GearingFactor,U7)</f>
        <v/>
      </c>
      <c r="W3" s="18">
        <f>IF(TM!W10=1,DebtAtCOD*GearingFactor,V7)</f>
        <v/>
      </c>
      <c r="X3" s="18">
        <f>IF(TM!X10=1,DebtAtCOD*GearingFactor,W7)</f>
        <v/>
      </c>
      <c r="Y3" s="18">
        <f>IF(TM!Y10=1,DebtAtCOD*GearingFactor,X7)</f>
        <v/>
      </c>
      <c r="Z3" s="18">
        <f>IF(TM!Z10=1,DebtAtCOD*GearingFactor,Y7)</f>
        <v/>
      </c>
      <c r="AA3" s="18">
        <f>IF(TM!AA10=1,DebtAtCOD*GearingFactor,Z7)</f>
        <v/>
      </c>
      <c r="AB3" s="18">
        <f>IF(TM!AB10=1,DebtAtCOD*GearingFactor,AA7)</f>
        <v/>
      </c>
      <c r="AC3" s="18">
        <f>IF(TM!AC10=1,DebtAtCOD*GearingFactor,AB7)</f>
        <v/>
      </c>
      <c r="AD3" s="18">
        <f>IF(TM!AD10=1,DebtAtCOD*GearingFactor,AC7)</f>
        <v/>
      </c>
      <c r="AE3" s="18">
        <f>IF(TM!AE10=1,DebtAtCOD*GearingFactor,AD7)</f>
        <v/>
      </c>
      <c r="AF3" s="18">
        <f>IF(TM!AF10=1,DebtAtCOD*GearingFactor,AE7)</f>
        <v/>
      </c>
      <c r="AG3" s="18">
        <f>IF(TM!AG10=1,DebtAtCOD*GearingFactor,AF7)</f>
        <v/>
      </c>
      <c r="AH3" s="18">
        <f>IF(TM!AH10=1,DebtAtCOD*GearingFactor,AG7)</f>
        <v/>
      </c>
      <c r="AI3" s="18">
        <f>IF(TM!AI10=1,DebtAtCOD*GearingFactor,AH7)</f>
        <v/>
      </c>
      <c r="AJ3" s="18">
        <f>IF(TM!AJ10=1,DebtAtCOD*GearingFactor,AI7)</f>
        <v/>
      </c>
      <c r="AK3" s="18">
        <f>IF(TM!AK10=1,DebtAtCOD*GearingFactor,AJ7)</f>
        <v/>
      </c>
      <c r="AL3" s="18">
        <f>IF(TM!AL10=1,DebtAtCOD*GearingFactor,AK7)</f>
        <v/>
      </c>
      <c r="AM3" s="18">
        <f>IF(TM!AM10=1,DebtAtCOD*GearingFactor,AL7)</f>
        <v/>
      </c>
      <c r="AN3" s="18">
        <f>IF(TM!AN10=1,DebtAtCOD*GearingFactor,AM7)</f>
        <v/>
      </c>
      <c r="AO3" s="18">
        <f>IF(TM!AO10=1,DebtAtCOD*GearingFactor,AN7)</f>
        <v/>
      </c>
      <c r="AP3" s="18">
        <f>IF(TM!AP10=1,DebtAtCOD*GearingFactor,AO7)</f>
        <v/>
      </c>
      <c r="AQ3" s="18">
        <f>IF(TM!AQ10=1,DebtAtCOD*GearingFactor,AP7)</f>
        <v/>
      </c>
      <c r="AR3" s="18">
        <f>IF(TM!AR10=1,DebtAtCOD*GearingFactor,AQ7)</f>
        <v/>
      </c>
      <c r="AS3" s="18">
        <f>IF(TM!AS10=1,DebtAtCOD*GearingFactor,AR7)</f>
        <v/>
      </c>
      <c r="AT3" s="18">
        <f>IF(TM!AT10=1,DebtAtCOD*GearingFactor,AS7)</f>
        <v/>
      </c>
      <c r="AU3" s="18">
        <f>IF(TM!AU10=1,DebtAtCOD*GearingFactor,AT7)</f>
        <v/>
      </c>
      <c r="AV3" s="18">
        <f>IF(TM!AV10=1,DebtAtCOD*GearingFactor,AU7)</f>
        <v/>
      </c>
      <c r="AW3" s="18">
        <f>IF(TM!AW10=1,DebtAtCOD*GearingFactor,AV7)</f>
        <v/>
      </c>
      <c r="AX3" s="18">
        <f>IF(TM!AX10=1,DebtAtCOD*GearingFactor,AW7)</f>
        <v/>
      </c>
      <c r="AY3" s="18">
        <f>IF(TM!AY10=1,DebtAtCOD*GearingFactor,AX7)</f>
        <v/>
      </c>
      <c r="AZ3" s="18">
        <f>IF(TM!AZ10=1,DebtAtCOD*GearingFactor,AY7)</f>
        <v/>
      </c>
      <c r="BA3" s="18">
        <f>IF(TM!BA10=1,DebtAtCOD*GearingFactor,AZ7)</f>
        <v/>
      </c>
      <c r="BB3" s="18">
        <f>IF(TM!BB10=1,DebtAtCOD*GearingFactor,BA7)</f>
        <v/>
      </c>
      <c r="BC3" s="18">
        <f>IF(TM!BC10=1,DebtAtCOD*GearingFactor,BB7)</f>
        <v/>
      </c>
      <c r="BD3" s="18">
        <f>IF(TM!BD10=1,DebtAtCOD*GearingFactor,BC7)</f>
        <v/>
      </c>
      <c r="BE3" s="18">
        <f>IF(TM!BE10=1,DebtAtCOD*GearingFactor,BD7)</f>
        <v/>
      </c>
      <c r="BF3" s="18">
        <f>IF(TM!BF10=1,DebtAtCOD*GearingFactor,BE7)</f>
        <v/>
      </c>
      <c r="BG3" s="18">
        <f>IF(TM!BG10=1,DebtAtCOD*GearingFactor,BF7)</f>
        <v/>
      </c>
    </row>
    <row r="4">
      <c r="A4" t="inlineStr">
        <is>
          <t>Interest (rate × opening)</t>
        </is>
      </c>
      <c r="C4" s="10" t="inlineStr">
        <is>
          <t>$</t>
        </is>
      </c>
      <c r="E4" s="18" t="n">
        <v>0</v>
      </c>
      <c r="F4" s="18">
        <f>TM!F15*F3</f>
        <v/>
      </c>
      <c r="G4" s="18">
        <f>TM!G15*G3</f>
        <v/>
      </c>
      <c r="H4" s="18">
        <f>TM!H15*H3</f>
        <v/>
      </c>
      <c r="I4" s="18">
        <f>TM!I15*I3</f>
        <v/>
      </c>
      <c r="J4" s="18">
        <f>TM!J15*J3</f>
        <v/>
      </c>
      <c r="K4" s="18">
        <f>TM!K15*K3</f>
        <v/>
      </c>
      <c r="L4" s="18">
        <f>TM!L15*L3</f>
        <v/>
      </c>
      <c r="M4" s="18">
        <f>TM!M15*M3</f>
        <v/>
      </c>
      <c r="N4" s="18">
        <f>TM!N15*N3</f>
        <v/>
      </c>
      <c r="O4" s="18">
        <f>TM!O15*O3</f>
        <v/>
      </c>
      <c r="P4" s="18">
        <f>TM!P15*P3</f>
        <v/>
      </c>
      <c r="Q4" s="18">
        <f>TM!Q15*Q3</f>
        <v/>
      </c>
      <c r="R4" s="18">
        <f>TM!R15*R3</f>
        <v/>
      </c>
      <c r="S4" s="18">
        <f>TM!S15*S3</f>
        <v/>
      </c>
      <c r="T4" s="18">
        <f>TM!T15*T3</f>
        <v/>
      </c>
      <c r="U4" s="18">
        <f>TM!U15*U3</f>
        <v/>
      </c>
      <c r="V4" s="18">
        <f>TM!V15*V3</f>
        <v/>
      </c>
      <c r="W4" s="18">
        <f>TM!W15*W3</f>
        <v/>
      </c>
      <c r="X4" s="18">
        <f>TM!X15*X3</f>
        <v/>
      </c>
      <c r="Y4" s="18">
        <f>TM!Y15*Y3</f>
        <v/>
      </c>
      <c r="Z4" s="18">
        <f>TM!Z15*Z3</f>
        <v/>
      </c>
      <c r="AA4" s="18">
        <f>TM!AA15*AA3</f>
        <v/>
      </c>
      <c r="AB4" s="18">
        <f>TM!AB15*AB3</f>
        <v/>
      </c>
      <c r="AC4" s="18">
        <f>TM!AC15*AC3</f>
        <v/>
      </c>
      <c r="AD4" s="18">
        <f>TM!AD15*AD3</f>
        <v/>
      </c>
      <c r="AE4" s="18">
        <f>TM!AE15*AE3</f>
        <v/>
      </c>
      <c r="AF4" s="18">
        <f>TM!AF15*AF3</f>
        <v/>
      </c>
      <c r="AG4" s="18">
        <f>TM!AG15*AG3</f>
        <v/>
      </c>
      <c r="AH4" s="18">
        <f>TM!AH15*AH3</f>
        <v/>
      </c>
      <c r="AI4" s="18">
        <f>TM!AI15*AI3</f>
        <v/>
      </c>
      <c r="AJ4" s="18">
        <f>TM!AJ15*AJ3</f>
        <v/>
      </c>
      <c r="AK4" s="18">
        <f>TM!AK15*AK3</f>
        <v/>
      </c>
      <c r="AL4" s="18">
        <f>TM!AL15*AL3</f>
        <v/>
      </c>
      <c r="AM4" s="18">
        <f>TM!AM15*AM3</f>
        <v/>
      </c>
      <c r="AN4" s="18">
        <f>TM!AN15*AN3</f>
        <v/>
      </c>
      <c r="AO4" s="18">
        <f>TM!AO15*AO3</f>
        <v/>
      </c>
      <c r="AP4" s="18">
        <f>TM!AP15*AP3</f>
        <v/>
      </c>
      <c r="AQ4" s="18">
        <f>TM!AQ15*AQ3</f>
        <v/>
      </c>
      <c r="AR4" s="18">
        <f>TM!AR15*AR3</f>
        <v/>
      </c>
      <c r="AS4" s="18">
        <f>TM!AS15*AS3</f>
        <v/>
      </c>
      <c r="AT4" s="18">
        <f>TM!AT15*AT3</f>
        <v/>
      </c>
      <c r="AU4" s="18">
        <f>TM!AU15*AU3</f>
        <v/>
      </c>
      <c r="AV4" s="18">
        <f>TM!AV15*AV3</f>
        <v/>
      </c>
      <c r="AW4" s="18">
        <f>TM!AW15*AW3</f>
        <v/>
      </c>
      <c r="AX4" s="18">
        <f>TM!AX15*AX3</f>
        <v/>
      </c>
      <c r="AY4" s="18">
        <f>TM!AY15*AY3</f>
        <v/>
      </c>
      <c r="AZ4" s="18">
        <f>TM!AZ15*AZ3</f>
        <v/>
      </c>
      <c r="BA4" s="18">
        <f>TM!BA15*BA3</f>
        <v/>
      </c>
      <c r="BB4" s="18">
        <f>TM!BB15*BB3</f>
        <v/>
      </c>
      <c r="BC4" s="18">
        <f>TM!BC15*BC3</f>
        <v/>
      </c>
      <c r="BD4" s="18">
        <f>TM!BD15*BD3</f>
        <v/>
      </c>
      <c r="BE4" s="18">
        <f>TM!BE15*BE3</f>
        <v/>
      </c>
      <c r="BF4" s="18">
        <f>TM!BF15*BF3</f>
        <v/>
      </c>
      <c r="BG4" s="18">
        <f>TM!BG15*BG3</f>
        <v/>
      </c>
    </row>
    <row r="5">
      <c r="A5" t="inlineStr">
        <is>
          <t>CFADS (link)</t>
        </is>
      </c>
      <c r="C5" s="10" t="inlineStr">
        <is>
          <t>$</t>
        </is>
      </c>
      <c r="E5" s="18" t="n">
        <v>0</v>
      </c>
      <c r="F5" s="18">
        <f>CF!F7</f>
        <v/>
      </c>
      <c r="G5" s="18">
        <f>CF!G7</f>
        <v/>
      </c>
      <c r="H5" s="18">
        <f>CF!H7</f>
        <v/>
      </c>
      <c r="I5" s="18">
        <f>CF!I7</f>
        <v/>
      </c>
      <c r="J5" s="18">
        <f>CF!J7</f>
        <v/>
      </c>
      <c r="K5" s="18">
        <f>CF!K7</f>
        <v/>
      </c>
      <c r="L5" s="18">
        <f>CF!L7</f>
        <v/>
      </c>
      <c r="M5" s="18">
        <f>CF!M7</f>
        <v/>
      </c>
      <c r="N5" s="18">
        <f>CF!N7</f>
        <v/>
      </c>
      <c r="O5" s="18">
        <f>CF!O7</f>
        <v/>
      </c>
      <c r="P5" s="18">
        <f>CF!P7</f>
        <v/>
      </c>
      <c r="Q5" s="18">
        <f>CF!Q7</f>
        <v/>
      </c>
      <c r="R5" s="18">
        <f>CF!R7</f>
        <v/>
      </c>
      <c r="S5" s="18">
        <f>CF!S7</f>
        <v/>
      </c>
      <c r="T5" s="18">
        <f>CF!T7</f>
        <v/>
      </c>
      <c r="U5" s="18">
        <f>CF!U7</f>
        <v/>
      </c>
      <c r="V5" s="18">
        <f>CF!V7</f>
        <v/>
      </c>
      <c r="W5" s="18">
        <f>CF!W7</f>
        <v/>
      </c>
      <c r="X5" s="18">
        <f>CF!X7</f>
        <v/>
      </c>
      <c r="Y5" s="18">
        <f>CF!Y7</f>
        <v/>
      </c>
      <c r="Z5" s="18">
        <f>CF!Z7</f>
        <v/>
      </c>
      <c r="AA5" s="18">
        <f>CF!AA7</f>
        <v/>
      </c>
      <c r="AB5" s="18">
        <f>CF!AB7</f>
        <v/>
      </c>
      <c r="AC5" s="18">
        <f>CF!AC7</f>
        <v/>
      </c>
      <c r="AD5" s="18">
        <f>CF!AD7</f>
        <v/>
      </c>
      <c r="AE5" s="18">
        <f>CF!AE7</f>
        <v/>
      </c>
      <c r="AF5" s="18">
        <f>CF!AF7</f>
        <v/>
      </c>
      <c r="AG5" s="18">
        <f>CF!AG7</f>
        <v/>
      </c>
      <c r="AH5" s="18">
        <f>CF!AH7</f>
        <v/>
      </c>
      <c r="AI5" s="18">
        <f>CF!AI7</f>
        <v/>
      </c>
      <c r="AJ5" s="18">
        <f>CF!AJ7</f>
        <v/>
      </c>
      <c r="AK5" s="18">
        <f>CF!AK7</f>
        <v/>
      </c>
      <c r="AL5" s="18">
        <f>CF!AL7</f>
        <v/>
      </c>
      <c r="AM5" s="18">
        <f>CF!AM7</f>
        <v/>
      </c>
      <c r="AN5" s="18">
        <f>CF!AN7</f>
        <v/>
      </c>
      <c r="AO5" s="18">
        <f>CF!AO7</f>
        <v/>
      </c>
      <c r="AP5" s="18">
        <f>CF!AP7</f>
        <v/>
      </c>
      <c r="AQ5" s="18">
        <f>CF!AQ7</f>
        <v/>
      </c>
      <c r="AR5" s="18">
        <f>CF!AR7</f>
        <v/>
      </c>
      <c r="AS5" s="18">
        <f>CF!AS7</f>
        <v/>
      </c>
      <c r="AT5" s="18">
        <f>CF!AT7</f>
        <v/>
      </c>
      <c r="AU5" s="18">
        <f>CF!AU7</f>
        <v/>
      </c>
      <c r="AV5" s="18">
        <f>CF!AV7</f>
        <v/>
      </c>
      <c r="AW5" s="18">
        <f>CF!AW7</f>
        <v/>
      </c>
      <c r="AX5" s="18">
        <f>CF!AX7</f>
        <v/>
      </c>
      <c r="AY5" s="18">
        <f>CF!AY7</f>
        <v/>
      </c>
      <c r="AZ5" s="18">
        <f>CF!AZ7</f>
        <v/>
      </c>
      <c r="BA5" s="18">
        <f>CF!BA7</f>
        <v/>
      </c>
      <c r="BB5" s="18">
        <f>CF!BB7</f>
        <v/>
      </c>
      <c r="BC5" s="18">
        <f>CF!BC7</f>
        <v/>
      </c>
      <c r="BD5" s="18">
        <f>CF!BD7</f>
        <v/>
      </c>
      <c r="BE5" s="18">
        <f>CF!BE7</f>
        <v/>
      </c>
      <c r="BF5" s="18">
        <f>CF!BF7</f>
        <v/>
      </c>
      <c r="BG5" s="18">
        <f>CF!BG7</f>
        <v/>
      </c>
    </row>
    <row r="6">
      <c r="A6" t="inlineStr">
        <is>
          <t>Principal (sculpted to target DSCR)</t>
        </is>
      </c>
      <c r="C6" s="10" t="inlineStr">
        <is>
          <t>$</t>
        </is>
      </c>
      <c r="E6" s="18" t="n">
        <v>0</v>
      </c>
      <c r="F6" s="18">
        <f>TM!F9*MIN(F3,MAX(0,F5/TargetDSCR_Input-F4))</f>
        <v/>
      </c>
      <c r="G6" s="18">
        <f>TM!G9*MIN(G3,MAX(0,G5/TargetDSCR_Input-G4))</f>
        <v/>
      </c>
      <c r="H6" s="18">
        <f>TM!H9*MIN(H3,MAX(0,H5/TargetDSCR_Input-H4))</f>
        <v/>
      </c>
      <c r="I6" s="18">
        <f>TM!I9*MIN(I3,MAX(0,I5/TargetDSCR_Input-I4))</f>
        <v/>
      </c>
      <c r="J6" s="18">
        <f>TM!J9*MIN(J3,MAX(0,J5/TargetDSCR_Input-J4))</f>
        <v/>
      </c>
      <c r="K6" s="18">
        <f>TM!K9*MIN(K3,MAX(0,K5/TargetDSCR_Input-K4))</f>
        <v/>
      </c>
      <c r="L6" s="18">
        <f>TM!L9*MIN(L3,MAX(0,L5/TargetDSCR_Input-L4))</f>
        <v/>
      </c>
      <c r="M6" s="18">
        <f>TM!M9*MIN(M3,MAX(0,M5/TargetDSCR_Input-M4))</f>
        <v/>
      </c>
      <c r="N6" s="18">
        <f>TM!N9*MIN(N3,MAX(0,N5/TargetDSCR_Input-N4))</f>
        <v/>
      </c>
      <c r="O6" s="18">
        <f>TM!O9*MIN(O3,MAX(0,O5/TargetDSCR_Input-O4))</f>
        <v/>
      </c>
      <c r="P6" s="18">
        <f>TM!P9*MIN(P3,MAX(0,P5/TargetDSCR_Input-P4))</f>
        <v/>
      </c>
      <c r="Q6" s="18">
        <f>TM!Q9*MIN(Q3,MAX(0,Q5/TargetDSCR_Input-Q4))</f>
        <v/>
      </c>
      <c r="R6" s="18">
        <f>TM!R9*MIN(R3,MAX(0,R5/TargetDSCR_Input-R4))</f>
        <v/>
      </c>
      <c r="S6" s="18">
        <f>TM!S9*MIN(S3,MAX(0,S5/TargetDSCR_Input-S4))</f>
        <v/>
      </c>
      <c r="T6" s="18">
        <f>TM!T9*MIN(T3,MAX(0,T5/TargetDSCR_Input-T4))</f>
        <v/>
      </c>
      <c r="U6" s="18">
        <f>TM!U9*MIN(U3,MAX(0,U5/TargetDSCR_Input-U4))</f>
        <v/>
      </c>
      <c r="V6" s="18">
        <f>TM!V9*MIN(V3,MAX(0,V5/TargetDSCR_Input-V4))</f>
        <v/>
      </c>
      <c r="W6" s="18">
        <f>TM!W9*MIN(W3,MAX(0,W5/TargetDSCR_Input-W4))</f>
        <v/>
      </c>
      <c r="X6" s="18">
        <f>TM!X9*MIN(X3,MAX(0,X5/TargetDSCR_Input-X4))</f>
        <v/>
      </c>
      <c r="Y6" s="18">
        <f>TM!Y9*MIN(Y3,MAX(0,Y5/TargetDSCR_Input-Y4))</f>
        <v/>
      </c>
      <c r="Z6" s="18">
        <f>TM!Z9*MIN(Z3,MAX(0,Z5/TargetDSCR_Input-Z4))</f>
        <v/>
      </c>
      <c r="AA6" s="18">
        <f>TM!AA9*MIN(AA3,MAX(0,AA5/TargetDSCR_Input-AA4))</f>
        <v/>
      </c>
      <c r="AB6" s="18">
        <f>TM!AB9*MIN(AB3,MAX(0,AB5/TargetDSCR_Input-AB4))</f>
        <v/>
      </c>
      <c r="AC6" s="18">
        <f>TM!AC9*MIN(AC3,MAX(0,AC5/TargetDSCR_Input-AC4))</f>
        <v/>
      </c>
      <c r="AD6" s="18">
        <f>TM!AD9*MIN(AD3,MAX(0,AD5/TargetDSCR_Input-AD4))</f>
        <v/>
      </c>
      <c r="AE6" s="18">
        <f>TM!AE9*MIN(AE3,MAX(0,AE5/TargetDSCR_Input-AE4))</f>
        <v/>
      </c>
      <c r="AF6" s="18">
        <f>TM!AF9*MIN(AF3,MAX(0,AF5/TargetDSCR_Input-AF4))</f>
        <v/>
      </c>
      <c r="AG6" s="18">
        <f>TM!AG9*MIN(AG3,MAX(0,AG5/TargetDSCR_Input-AG4))</f>
        <v/>
      </c>
      <c r="AH6" s="18">
        <f>TM!AH9*MIN(AH3,MAX(0,AH5/TargetDSCR_Input-AH4))</f>
        <v/>
      </c>
      <c r="AI6" s="18">
        <f>TM!AI9*MIN(AI3,MAX(0,AI5/TargetDSCR_Input-AI4))</f>
        <v/>
      </c>
      <c r="AJ6" s="18">
        <f>TM!AJ9*MIN(AJ3,MAX(0,AJ5/TargetDSCR_Input-AJ4))</f>
        <v/>
      </c>
      <c r="AK6" s="18">
        <f>TM!AK9*MIN(AK3,MAX(0,AK5/TargetDSCR_Input-AK4))</f>
        <v/>
      </c>
      <c r="AL6" s="18">
        <f>TM!AL9*MIN(AL3,MAX(0,AL5/TargetDSCR_Input-AL4))</f>
        <v/>
      </c>
      <c r="AM6" s="18">
        <f>TM!AM9*MIN(AM3,MAX(0,AM5/TargetDSCR_Input-AM4))</f>
        <v/>
      </c>
      <c r="AN6" s="18">
        <f>TM!AN9*MIN(AN3,MAX(0,AN5/TargetDSCR_Input-AN4))</f>
        <v/>
      </c>
      <c r="AO6" s="18">
        <f>TM!AO9*MIN(AO3,MAX(0,AO5/TargetDSCR_Input-AO4))</f>
        <v/>
      </c>
      <c r="AP6" s="18">
        <f>TM!AP9*MIN(AP3,MAX(0,AP5/TargetDSCR_Input-AP4))</f>
        <v/>
      </c>
      <c r="AQ6" s="18">
        <f>TM!AQ9*MIN(AQ3,MAX(0,AQ5/TargetDSCR_Input-AQ4))</f>
        <v/>
      </c>
      <c r="AR6" s="18">
        <f>TM!AR9*MIN(AR3,MAX(0,AR5/TargetDSCR_Input-AR4))</f>
        <v/>
      </c>
      <c r="AS6" s="18">
        <f>TM!AS9*MIN(AS3,MAX(0,AS5/TargetDSCR_Input-AS4))</f>
        <v/>
      </c>
      <c r="AT6" s="18">
        <f>TM!AT9*MIN(AT3,MAX(0,AT5/TargetDSCR_Input-AT4))</f>
        <v/>
      </c>
      <c r="AU6" s="18">
        <f>TM!AU9*MIN(AU3,MAX(0,AU5/TargetDSCR_Input-AU4))</f>
        <v/>
      </c>
      <c r="AV6" s="18">
        <f>TM!AV9*MIN(AV3,MAX(0,AV5/TargetDSCR_Input-AV4))</f>
        <v/>
      </c>
      <c r="AW6" s="18">
        <f>TM!AW9*MIN(AW3,MAX(0,AW5/TargetDSCR_Input-AW4))</f>
        <v/>
      </c>
      <c r="AX6" s="18">
        <f>TM!AX9*MIN(AX3,MAX(0,AX5/TargetDSCR_Input-AX4))</f>
        <v/>
      </c>
      <c r="AY6" s="18">
        <f>TM!AY9*MIN(AY3,MAX(0,AY5/TargetDSCR_Input-AY4))</f>
        <v/>
      </c>
      <c r="AZ6" s="18">
        <f>TM!AZ9*MIN(AZ3,MAX(0,AZ5/TargetDSCR_Input-AZ4))</f>
        <v/>
      </c>
      <c r="BA6" s="18">
        <f>TM!BA9*MIN(BA3,MAX(0,BA5/TargetDSCR_Input-BA4))</f>
        <v/>
      </c>
      <c r="BB6" s="18">
        <f>TM!BB9*MIN(BB3,MAX(0,BB5/TargetDSCR_Input-BB4))</f>
        <v/>
      </c>
      <c r="BC6" s="18">
        <f>TM!BC9*MIN(BC3,MAX(0,BC5/TargetDSCR_Input-BC4))</f>
        <v/>
      </c>
      <c r="BD6" s="18">
        <f>TM!BD9*MIN(BD3,MAX(0,BD5/TargetDSCR_Input-BD4))</f>
        <v/>
      </c>
      <c r="BE6" s="18">
        <f>TM!BE9*MIN(BE3,MAX(0,BE5/TargetDSCR_Input-BE4))</f>
        <v/>
      </c>
      <c r="BF6" s="18">
        <f>TM!BF9*MIN(BF3,MAX(0,BF5/TargetDSCR_Input-BF4))</f>
        <v/>
      </c>
      <c r="BG6" s="18">
        <f>TM!BG9*MIN(BG3,MAX(0,BG5/TargetDSCR_Input-BG4))</f>
        <v/>
      </c>
    </row>
    <row r="7">
      <c r="A7" t="inlineStr">
        <is>
          <t>Debt — closing balance</t>
        </is>
      </c>
      <c r="C7" s="10" t="inlineStr">
        <is>
          <t>$</t>
        </is>
      </c>
      <c r="E7" s="18" t="n">
        <v>0</v>
      </c>
      <c r="F7" s="18">
        <f>F3-F6</f>
        <v/>
      </c>
      <c r="G7" s="18">
        <f>G3-G6</f>
        <v/>
      </c>
      <c r="H7" s="18">
        <f>H3-H6</f>
        <v/>
      </c>
      <c r="I7" s="18">
        <f>I3-I6</f>
        <v/>
      </c>
      <c r="J7" s="18">
        <f>J3-J6</f>
        <v/>
      </c>
      <c r="K7" s="18">
        <f>K3-K6</f>
        <v/>
      </c>
      <c r="L7" s="18">
        <f>L3-L6</f>
        <v/>
      </c>
      <c r="M7" s="18">
        <f>M3-M6</f>
        <v/>
      </c>
      <c r="N7" s="18">
        <f>N3-N6</f>
        <v/>
      </c>
      <c r="O7" s="18">
        <f>O3-O6</f>
        <v/>
      </c>
      <c r="P7" s="18">
        <f>P3-P6</f>
        <v/>
      </c>
      <c r="Q7" s="18">
        <f>Q3-Q6</f>
        <v/>
      </c>
      <c r="R7" s="18">
        <f>R3-R6</f>
        <v/>
      </c>
      <c r="S7" s="18">
        <f>S3-S6</f>
        <v/>
      </c>
      <c r="T7" s="18">
        <f>T3-T6</f>
        <v/>
      </c>
      <c r="U7" s="18">
        <f>U3-U6</f>
        <v/>
      </c>
      <c r="V7" s="18">
        <f>V3-V6</f>
        <v/>
      </c>
      <c r="W7" s="18">
        <f>W3-W6</f>
        <v/>
      </c>
      <c r="X7" s="18">
        <f>X3-X6</f>
        <v/>
      </c>
      <c r="Y7" s="18">
        <f>Y3-Y6</f>
        <v/>
      </c>
      <c r="Z7" s="18">
        <f>Z3-Z6</f>
        <v/>
      </c>
      <c r="AA7" s="18">
        <f>AA3-AA6</f>
        <v/>
      </c>
      <c r="AB7" s="18">
        <f>AB3-AB6</f>
        <v/>
      </c>
      <c r="AC7" s="18">
        <f>AC3-AC6</f>
        <v/>
      </c>
      <c r="AD7" s="18">
        <f>AD3-AD6</f>
        <v/>
      </c>
      <c r="AE7" s="18">
        <f>AE3-AE6</f>
        <v/>
      </c>
      <c r="AF7" s="18">
        <f>AF3-AF6</f>
        <v/>
      </c>
      <c r="AG7" s="18">
        <f>AG3-AG6</f>
        <v/>
      </c>
      <c r="AH7" s="18">
        <f>AH3-AH6</f>
        <v/>
      </c>
      <c r="AI7" s="18">
        <f>AI3-AI6</f>
        <v/>
      </c>
      <c r="AJ7" s="18">
        <f>AJ3-AJ6</f>
        <v/>
      </c>
      <c r="AK7" s="18">
        <f>AK3-AK6</f>
        <v/>
      </c>
      <c r="AL7" s="18">
        <f>AL3-AL6</f>
        <v/>
      </c>
      <c r="AM7" s="18">
        <f>AM3-AM6</f>
        <v/>
      </c>
      <c r="AN7" s="18">
        <f>AN3-AN6</f>
        <v/>
      </c>
      <c r="AO7" s="18">
        <f>AO3-AO6</f>
        <v/>
      </c>
      <c r="AP7" s="18">
        <f>AP3-AP6</f>
        <v/>
      </c>
      <c r="AQ7" s="18">
        <f>AQ3-AQ6</f>
        <v/>
      </c>
      <c r="AR7" s="18">
        <f>AR3-AR6</f>
        <v/>
      </c>
      <c r="AS7" s="18">
        <f>AS3-AS6</f>
        <v/>
      </c>
      <c r="AT7" s="18">
        <f>AT3-AT6</f>
        <v/>
      </c>
      <c r="AU7" s="18">
        <f>AU3-AU6</f>
        <v/>
      </c>
      <c r="AV7" s="18">
        <f>AV3-AV6</f>
        <v/>
      </c>
      <c r="AW7" s="18">
        <f>AW3-AW6</f>
        <v/>
      </c>
      <c r="AX7" s="18">
        <f>AX3-AX6</f>
        <v/>
      </c>
      <c r="AY7" s="18">
        <f>AY3-AY6</f>
        <v/>
      </c>
      <c r="AZ7" s="18">
        <f>AZ3-AZ6</f>
        <v/>
      </c>
      <c r="BA7" s="18">
        <f>BA3-BA6</f>
        <v/>
      </c>
      <c r="BB7" s="18">
        <f>BB3-BB6</f>
        <v/>
      </c>
      <c r="BC7" s="18">
        <f>BC3-BC6</f>
        <v/>
      </c>
      <c r="BD7" s="18">
        <f>BD3-BD6</f>
        <v/>
      </c>
      <c r="BE7" s="18">
        <f>BE3-BE6</f>
        <v/>
      </c>
      <c r="BF7" s="18">
        <f>BF3-BF6</f>
        <v/>
      </c>
      <c r="BG7" s="18">
        <f>BG3-BG6</f>
        <v/>
      </c>
    </row>
    <row r="8">
      <c r="A8" t="inlineStr">
        <is>
          <t>DSCR (actual)</t>
        </is>
      </c>
      <c r="C8" s="10" t="inlineStr">
        <is>
          <t>x</t>
        </is>
      </c>
      <c r="E8" s="20" t="inlineStr"/>
      <c r="F8" s="20">
        <f>IF(F9=0,"",F5/F9)</f>
        <v/>
      </c>
      <c r="G8" s="20">
        <f>IF(G9=0,"",G5/G9)</f>
        <v/>
      </c>
      <c r="H8" s="20">
        <f>IF(H9=0,"",H5/H9)</f>
        <v/>
      </c>
      <c r="I8" s="20">
        <f>IF(I9=0,"",I5/I9)</f>
        <v/>
      </c>
      <c r="J8" s="20">
        <f>IF(J9=0,"",J5/J9)</f>
        <v/>
      </c>
      <c r="K8" s="20">
        <f>IF(K9=0,"",K5/K9)</f>
        <v/>
      </c>
      <c r="L8" s="20">
        <f>IF(L9=0,"",L5/L9)</f>
        <v/>
      </c>
      <c r="M8" s="20">
        <f>IF(M9=0,"",M5/M9)</f>
        <v/>
      </c>
      <c r="N8" s="20">
        <f>IF(N9=0,"",N5/N9)</f>
        <v/>
      </c>
      <c r="O8" s="20">
        <f>IF(O9=0,"",O5/O9)</f>
        <v/>
      </c>
      <c r="P8" s="20">
        <f>IF(P9=0,"",P5/P9)</f>
        <v/>
      </c>
      <c r="Q8" s="20">
        <f>IF(Q9=0,"",Q5/Q9)</f>
        <v/>
      </c>
      <c r="R8" s="20">
        <f>IF(R9=0,"",R5/R9)</f>
        <v/>
      </c>
      <c r="S8" s="20">
        <f>IF(S9=0,"",S5/S9)</f>
        <v/>
      </c>
      <c r="T8" s="20">
        <f>IF(T9=0,"",T5/T9)</f>
        <v/>
      </c>
      <c r="U8" s="20">
        <f>IF(U9=0,"",U5/U9)</f>
        <v/>
      </c>
      <c r="V8" s="20">
        <f>IF(V9=0,"",V5/V9)</f>
        <v/>
      </c>
      <c r="W8" s="20">
        <f>IF(W9=0,"",W5/W9)</f>
        <v/>
      </c>
      <c r="X8" s="20">
        <f>IF(X9=0,"",X5/X9)</f>
        <v/>
      </c>
      <c r="Y8" s="20">
        <f>IF(Y9=0,"",Y5/Y9)</f>
        <v/>
      </c>
      <c r="Z8" s="20">
        <f>IF(Z9=0,"",Z5/Z9)</f>
        <v/>
      </c>
      <c r="AA8" s="20">
        <f>IF(AA9=0,"",AA5/AA9)</f>
        <v/>
      </c>
      <c r="AB8" s="20">
        <f>IF(AB9=0,"",AB5/AB9)</f>
        <v/>
      </c>
      <c r="AC8" s="20">
        <f>IF(AC9=0,"",AC5/AC9)</f>
        <v/>
      </c>
      <c r="AD8" s="20">
        <f>IF(AD9=0,"",AD5/AD9)</f>
        <v/>
      </c>
      <c r="AE8" s="20">
        <f>IF(AE9=0,"",AE5/AE9)</f>
        <v/>
      </c>
      <c r="AF8" s="20">
        <f>IF(AF9=0,"",AF5/AF9)</f>
        <v/>
      </c>
      <c r="AG8" s="20">
        <f>IF(AG9=0,"",AG5/AG9)</f>
        <v/>
      </c>
      <c r="AH8" s="20">
        <f>IF(AH9=0,"",AH5/AH9)</f>
        <v/>
      </c>
      <c r="AI8" s="20">
        <f>IF(AI9=0,"",AI5/AI9)</f>
        <v/>
      </c>
      <c r="AJ8" s="20">
        <f>IF(AJ9=0,"",AJ5/AJ9)</f>
        <v/>
      </c>
      <c r="AK8" s="20">
        <f>IF(AK9=0,"",AK5/AK9)</f>
        <v/>
      </c>
      <c r="AL8" s="20">
        <f>IF(AL9=0,"",AL5/AL9)</f>
        <v/>
      </c>
      <c r="AM8" s="20">
        <f>IF(AM9=0,"",AM5/AM9)</f>
        <v/>
      </c>
      <c r="AN8" s="20">
        <f>IF(AN9=0,"",AN5/AN9)</f>
        <v/>
      </c>
      <c r="AO8" s="20">
        <f>IF(AO9=0,"",AO5/AO9)</f>
        <v/>
      </c>
      <c r="AP8" s="20">
        <f>IF(AP9=0,"",AP5/AP9)</f>
        <v/>
      </c>
      <c r="AQ8" s="20">
        <f>IF(AQ9=0,"",AQ5/AQ9)</f>
        <v/>
      </c>
      <c r="AR8" s="20">
        <f>IF(AR9=0,"",AR5/AR9)</f>
        <v/>
      </c>
      <c r="AS8" s="20">
        <f>IF(AS9=0,"",AS5/AS9)</f>
        <v/>
      </c>
      <c r="AT8" s="20">
        <f>IF(AT9=0,"",AT5/AT9)</f>
        <v/>
      </c>
      <c r="AU8" s="20">
        <f>IF(AU9=0,"",AU5/AU9)</f>
        <v/>
      </c>
      <c r="AV8" s="20">
        <f>IF(AV9=0,"",AV5/AV9)</f>
        <v/>
      </c>
      <c r="AW8" s="20">
        <f>IF(AW9=0,"",AW5/AW9)</f>
        <v/>
      </c>
      <c r="AX8" s="20">
        <f>IF(AX9=0,"",AX5/AX9)</f>
        <v/>
      </c>
      <c r="AY8" s="20">
        <f>IF(AY9=0,"",AY5/AY9)</f>
        <v/>
      </c>
      <c r="AZ8" s="20">
        <f>IF(AZ9=0,"",AZ5/AZ9)</f>
        <v/>
      </c>
      <c r="BA8" s="20">
        <f>IF(BA9=0,"",BA5/BA9)</f>
        <v/>
      </c>
      <c r="BB8" s="20">
        <f>IF(BB9=0,"",BB5/BB9)</f>
        <v/>
      </c>
      <c r="BC8" s="20">
        <f>IF(BC9=0,"",BC5/BC9)</f>
        <v/>
      </c>
      <c r="BD8" s="20">
        <f>IF(BD9=0,"",BD5/BD9)</f>
        <v/>
      </c>
      <c r="BE8" s="20">
        <f>IF(BE9=0,"",BE5/BE9)</f>
        <v/>
      </c>
      <c r="BF8" s="20">
        <f>IF(BF9=0,"",BF5/BF9)</f>
        <v/>
      </c>
      <c r="BG8" s="20">
        <f>IF(BG9=0,"",BG5/BG9)</f>
        <v/>
      </c>
    </row>
    <row r="9">
      <c r="A9" t="inlineStr">
        <is>
          <t>Debt service (int + principal)</t>
        </is>
      </c>
      <c r="C9" s="10" t="inlineStr">
        <is>
          <t>$</t>
        </is>
      </c>
      <c r="E9" s="18" t="n">
        <v>0</v>
      </c>
      <c r="F9" s="18">
        <f>F4+F6</f>
        <v/>
      </c>
      <c r="G9" s="18">
        <f>G4+G6</f>
        <v/>
      </c>
      <c r="H9" s="18">
        <f>H4+H6</f>
        <v/>
      </c>
      <c r="I9" s="18">
        <f>I4+I6</f>
        <v/>
      </c>
      <c r="J9" s="18">
        <f>J4+J6</f>
        <v/>
      </c>
      <c r="K9" s="18">
        <f>K4+K6</f>
        <v/>
      </c>
      <c r="L9" s="18">
        <f>L4+L6</f>
        <v/>
      </c>
      <c r="M9" s="18">
        <f>M4+M6</f>
        <v/>
      </c>
      <c r="N9" s="18">
        <f>N4+N6</f>
        <v/>
      </c>
      <c r="O9" s="18">
        <f>O4+O6</f>
        <v/>
      </c>
      <c r="P9" s="18">
        <f>P4+P6</f>
        <v/>
      </c>
      <c r="Q9" s="18">
        <f>Q4+Q6</f>
        <v/>
      </c>
      <c r="R9" s="18">
        <f>R4+R6</f>
        <v/>
      </c>
      <c r="S9" s="18">
        <f>S4+S6</f>
        <v/>
      </c>
      <c r="T9" s="18">
        <f>T4+T6</f>
        <v/>
      </c>
      <c r="U9" s="18">
        <f>U4+U6</f>
        <v/>
      </c>
      <c r="V9" s="18">
        <f>V4+V6</f>
        <v/>
      </c>
      <c r="W9" s="18">
        <f>W4+W6</f>
        <v/>
      </c>
      <c r="X9" s="18">
        <f>X4+X6</f>
        <v/>
      </c>
      <c r="Y9" s="18">
        <f>Y4+Y6</f>
        <v/>
      </c>
      <c r="Z9" s="18">
        <f>Z4+Z6</f>
        <v/>
      </c>
      <c r="AA9" s="18">
        <f>AA4+AA6</f>
        <v/>
      </c>
      <c r="AB9" s="18">
        <f>AB4+AB6</f>
        <v/>
      </c>
      <c r="AC9" s="18">
        <f>AC4+AC6</f>
        <v/>
      </c>
      <c r="AD9" s="18">
        <f>AD4+AD6</f>
        <v/>
      </c>
      <c r="AE9" s="18">
        <f>AE4+AE6</f>
        <v/>
      </c>
      <c r="AF9" s="18">
        <f>AF4+AF6</f>
        <v/>
      </c>
      <c r="AG9" s="18">
        <f>AG4+AG6</f>
        <v/>
      </c>
      <c r="AH9" s="18">
        <f>AH4+AH6</f>
        <v/>
      </c>
      <c r="AI9" s="18">
        <f>AI4+AI6</f>
        <v/>
      </c>
      <c r="AJ9" s="18">
        <f>AJ4+AJ6</f>
        <v/>
      </c>
      <c r="AK9" s="18">
        <f>AK4+AK6</f>
        <v/>
      </c>
      <c r="AL9" s="18">
        <f>AL4+AL6</f>
        <v/>
      </c>
      <c r="AM9" s="18">
        <f>AM4+AM6</f>
        <v/>
      </c>
      <c r="AN9" s="18">
        <f>AN4+AN6</f>
        <v/>
      </c>
      <c r="AO9" s="18">
        <f>AO4+AO6</f>
        <v/>
      </c>
      <c r="AP9" s="18">
        <f>AP4+AP6</f>
        <v/>
      </c>
      <c r="AQ9" s="18">
        <f>AQ4+AQ6</f>
        <v/>
      </c>
      <c r="AR9" s="18">
        <f>AR4+AR6</f>
        <v/>
      </c>
      <c r="AS9" s="18">
        <f>AS4+AS6</f>
        <v/>
      </c>
      <c r="AT9" s="18">
        <f>AT4+AT6</f>
        <v/>
      </c>
      <c r="AU9" s="18">
        <f>AU4+AU6</f>
        <v/>
      </c>
      <c r="AV9" s="18">
        <f>AV4+AV6</f>
        <v/>
      </c>
      <c r="AW9" s="18">
        <f>AW4+AW6</f>
        <v/>
      </c>
      <c r="AX9" s="18">
        <f>AX4+AX6</f>
        <v/>
      </c>
      <c r="AY9" s="18">
        <f>AY4+AY6</f>
        <v/>
      </c>
      <c r="AZ9" s="18">
        <f>AZ4+AZ6</f>
        <v/>
      </c>
      <c r="BA9" s="18">
        <f>BA4+BA6</f>
        <v/>
      </c>
      <c r="BB9" s="18">
        <f>BB4+BB6</f>
        <v/>
      </c>
      <c r="BC9" s="18">
        <f>BC4+BC6</f>
        <v/>
      </c>
      <c r="BD9" s="18">
        <f>BD4+BD6</f>
        <v/>
      </c>
      <c r="BE9" s="18">
        <f>BE4+BE6</f>
        <v/>
      </c>
      <c r="BF9" s="18">
        <f>BF4+BF6</f>
        <v/>
      </c>
      <c r="BG9" s="18">
        <f>BG4+BG6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DSRA  —  debt service reserve account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Required balance (lookahead cover)</t>
        </is>
      </c>
      <c r="C3" s="10" t="inlineStr">
        <is>
          <t>$</t>
        </is>
      </c>
      <c r="E3" s="18" t="n">
        <v>0</v>
      </c>
      <c r="F3" s="18">
        <f>(DB!G9)*TM!F9</f>
        <v/>
      </c>
      <c r="G3" s="18">
        <f>(DB!H9)*TM!G9</f>
        <v/>
      </c>
      <c r="H3" s="18">
        <f>(DB!I9)*TM!H9</f>
        <v/>
      </c>
      <c r="I3" s="18">
        <f>(DB!J9)*TM!I9</f>
        <v/>
      </c>
      <c r="J3" s="18">
        <f>(DB!K9)*TM!J9</f>
        <v/>
      </c>
      <c r="K3" s="18">
        <f>(DB!L9)*TM!K9</f>
        <v/>
      </c>
      <c r="L3" s="18">
        <f>(DB!M9)*TM!L9</f>
        <v/>
      </c>
      <c r="M3" s="18">
        <f>(DB!N9)*TM!M9</f>
        <v/>
      </c>
      <c r="N3" s="18">
        <f>(DB!O9)*TM!N9</f>
        <v/>
      </c>
      <c r="O3" s="18">
        <f>(DB!P9)*TM!O9</f>
        <v/>
      </c>
      <c r="P3" s="18">
        <f>(DB!Q9)*TM!P9</f>
        <v/>
      </c>
      <c r="Q3" s="18">
        <f>(DB!R9)*TM!Q9</f>
        <v/>
      </c>
      <c r="R3" s="18">
        <f>(DB!S9)*TM!R9</f>
        <v/>
      </c>
      <c r="S3" s="18">
        <f>(DB!T9)*TM!S9</f>
        <v/>
      </c>
      <c r="T3" s="18">
        <f>(DB!U9)*TM!T9</f>
        <v/>
      </c>
      <c r="U3" s="18">
        <f>(DB!V9)*TM!U9</f>
        <v/>
      </c>
      <c r="V3" s="18">
        <f>(DB!W9)*TM!V9</f>
        <v/>
      </c>
      <c r="W3" s="18">
        <f>(DB!X9)*TM!W9</f>
        <v/>
      </c>
      <c r="X3" s="18">
        <f>(DB!Y9)*TM!X9</f>
        <v/>
      </c>
      <c r="Y3" s="18">
        <f>(DB!Z9)*TM!Y9</f>
        <v/>
      </c>
      <c r="Z3" s="18">
        <f>(DB!AA9)*TM!Z9</f>
        <v/>
      </c>
      <c r="AA3" s="18">
        <f>(DB!AB9)*TM!AA9</f>
        <v/>
      </c>
      <c r="AB3" s="18">
        <f>(DB!AC9)*TM!AB9</f>
        <v/>
      </c>
      <c r="AC3" s="18">
        <f>(DB!AD9)*TM!AC9</f>
        <v/>
      </c>
      <c r="AD3" s="18">
        <f>(DB!AE9)*TM!AD9</f>
        <v/>
      </c>
      <c r="AE3" s="18">
        <f>(DB!AF9)*TM!AE9</f>
        <v/>
      </c>
      <c r="AF3" s="18">
        <f>(DB!AG9)*TM!AF9</f>
        <v/>
      </c>
      <c r="AG3" s="18">
        <f>(DB!AH9)*TM!AG9</f>
        <v/>
      </c>
      <c r="AH3" s="18">
        <f>(DB!AI9)*TM!AH9</f>
        <v/>
      </c>
      <c r="AI3" s="18">
        <f>(DB!AJ9)*TM!AI9</f>
        <v/>
      </c>
      <c r="AJ3" s="18">
        <f>(DB!AK9)*TM!AJ9</f>
        <v/>
      </c>
      <c r="AK3" s="18">
        <f>(DB!AL9)*TM!AK9</f>
        <v/>
      </c>
      <c r="AL3" s="18">
        <f>(DB!AM9)*TM!AL9</f>
        <v/>
      </c>
      <c r="AM3" s="18">
        <f>(DB!AN9)*TM!AM9</f>
        <v/>
      </c>
      <c r="AN3" s="18">
        <f>(DB!AO9)*TM!AN9</f>
        <v/>
      </c>
      <c r="AO3" s="18">
        <f>(DB!AP9)*TM!AO9</f>
        <v/>
      </c>
      <c r="AP3" s="18">
        <f>(DB!AQ9)*TM!AP9</f>
        <v/>
      </c>
      <c r="AQ3" s="18">
        <f>(DB!AR9)*TM!AQ9</f>
        <v/>
      </c>
      <c r="AR3" s="18">
        <f>(DB!AS9)*TM!AR9</f>
        <v/>
      </c>
      <c r="AS3" s="18">
        <f>(DB!AT9)*TM!AS9</f>
        <v/>
      </c>
      <c r="AT3" s="18">
        <f>(DB!AU9)*TM!AT9</f>
        <v/>
      </c>
      <c r="AU3" s="18">
        <f>(DB!AV9)*TM!AU9</f>
        <v/>
      </c>
      <c r="AV3" s="18">
        <f>(DB!AW9)*TM!AV9</f>
        <v/>
      </c>
      <c r="AW3" s="18">
        <f>(DB!AX9)*TM!AW9</f>
        <v/>
      </c>
      <c r="AX3" s="18">
        <f>(DB!AY9)*TM!AX9</f>
        <v/>
      </c>
      <c r="AY3" s="18">
        <f>(DB!AZ9)*TM!AY9</f>
        <v/>
      </c>
      <c r="AZ3" s="18">
        <f>(DB!BA9)*TM!AZ9</f>
        <v/>
      </c>
      <c r="BA3" s="18">
        <f>(DB!BB9)*TM!BA9</f>
        <v/>
      </c>
      <c r="BB3" s="18">
        <f>(DB!BC9)*TM!BB9</f>
        <v/>
      </c>
      <c r="BC3" s="18">
        <f>(DB!BD9)*TM!BC9</f>
        <v/>
      </c>
      <c r="BD3" s="18">
        <f>(DB!BE9)*TM!BD9</f>
        <v/>
      </c>
      <c r="BE3" s="18">
        <f>(DB!BF9)*TM!BE9</f>
        <v/>
      </c>
      <c r="BF3" s="18">
        <f>(DB!BG9)*TM!BF9</f>
        <v/>
      </c>
      <c r="BG3" s="18">
        <f>(0)*TM!BG9</f>
        <v/>
      </c>
    </row>
    <row r="4">
      <c r="A4" t="inlineStr">
        <is>
          <t>DSRA — opening</t>
        </is>
      </c>
      <c r="C4" s="10" t="inlineStr">
        <is>
          <t>$</t>
        </is>
      </c>
      <c r="E4" s="18" t="n">
        <v>0</v>
      </c>
      <c r="F4" s="18">
        <f>E7</f>
        <v/>
      </c>
      <c r="G4" s="18">
        <f>F7</f>
        <v/>
      </c>
      <c r="H4" s="18">
        <f>G7</f>
        <v/>
      </c>
      <c r="I4" s="18">
        <f>H7</f>
        <v/>
      </c>
      <c r="J4" s="18">
        <f>I7</f>
        <v/>
      </c>
      <c r="K4" s="18">
        <f>J7</f>
        <v/>
      </c>
      <c r="L4" s="18">
        <f>K7</f>
        <v/>
      </c>
      <c r="M4" s="18">
        <f>L7</f>
        <v/>
      </c>
      <c r="N4" s="18">
        <f>M7</f>
        <v/>
      </c>
      <c r="O4" s="18">
        <f>N7</f>
        <v/>
      </c>
      <c r="P4" s="18">
        <f>O7</f>
        <v/>
      </c>
      <c r="Q4" s="18">
        <f>P7</f>
        <v/>
      </c>
      <c r="R4" s="18">
        <f>Q7</f>
        <v/>
      </c>
      <c r="S4" s="18">
        <f>R7</f>
        <v/>
      </c>
      <c r="T4" s="18">
        <f>S7</f>
        <v/>
      </c>
      <c r="U4" s="18">
        <f>T7</f>
        <v/>
      </c>
      <c r="V4" s="18">
        <f>U7</f>
        <v/>
      </c>
      <c r="W4" s="18">
        <f>V7</f>
        <v/>
      </c>
      <c r="X4" s="18">
        <f>W7</f>
        <v/>
      </c>
      <c r="Y4" s="18">
        <f>X7</f>
        <v/>
      </c>
      <c r="Z4" s="18">
        <f>Y7</f>
        <v/>
      </c>
      <c r="AA4" s="18">
        <f>Z7</f>
        <v/>
      </c>
      <c r="AB4" s="18">
        <f>AA7</f>
        <v/>
      </c>
      <c r="AC4" s="18">
        <f>AB7</f>
        <v/>
      </c>
      <c r="AD4" s="18">
        <f>AC7</f>
        <v/>
      </c>
      <c r="AE4" s="18">
        <f>AD7</f>
        <v/>
      </c>
      <c r="AF4" s="18">
        <f>AE7</f>
        <v/>
      </c>
      <c r="AG4" s="18">
        <f>AF7</f>
        <v/>
      </c>
      <c r="AH4" s="18">
        <f>AG7</f>
        <v/>
      </c>
      <c r="AI4" s="18">
        <f>AH7</f>
        <v/>
      </c>
      <c r="AJ4" s="18">
        <f>AI7</f>
        <v/>
      </c>
      <c r="AK4" s="18">
        <f>AJ7</f>
        <v/>
      </c>
      <c r="AL4" s="18">
        <f>AK7</f>
        <v/>
      </c>
      <c r="AM4" s="18">
        <f>AL7</f>
        <v/>
      </c>
      <c r="AN4" s="18">
        <f>AM7</f>
        <v/>
      </c>
      <c r="AO4" s="18">
        <f>AN7</f>
        <v/>
      </c>
      <c r="AP4" s="18">
        <f>AO7</f>
        <v/>
      </c>
      <c r="AQ4" s="18">
        <f>AP7</f>
        <v/>
      </c>
      <c r="AR4" s="18">
        <f>AQ7</f>
        <v/>
      </c>
      <c r="AS4" s="18">
        <f>AR7</f>
        <v/>
      </c>
      <c r="AT4" s="18">
        <f>AS7</f>
        <v/>
      </c>
      <c r="AU4" s="18">
        <f>AT7</f>
        <v/>
      </c>
      <c r="AV4" s="18">
        <f>AU7</f>
        <v/>
      </c>
      <c r="AW4" s="18">
        <f>AV7</f>
        <v/>
      </c>
      <c r="AX4" s="18">
        <f>AW7</f>
        <v/>
      </c>
      <c r="AY4" s="18">
        <f>AX7</f>
        <v/>
      </c>
      <c r="AZ4" s="18">
        <f>AY7</f>
        <v/>
      </c>
      <c r="BA4" s="18">
        <f>AZ7</f>
        <v/>
      </c>
      <c r="BB4" s="18">
        <f>BA7</f>
        <v/>
      </c>
      <c r="BC4" s="18">
        <f>BB7</f>
        <v/>
      </c>
      <c r="BD4" s="18">
        <f>BC7</f>
        <v/>
      </c>
      <c r="BE4" s="18">
        <f>BD7</f>
        <v/>
      </c>
      <c r="BF4" s="18">
        <f>BE7</f>
        <v/>
      </c>
      <c r="BG4" s="18">
        <f>BF7</f>
        <v/>
      </c>
    </row>
    <row r="5">
      <c r="A5" t="inlineStr">
        <is>
          <t>Funding / (release)</t>
        </is>
      </c>
      <c r="C5" s="10" t="inlineStr">
        <is>
          <t>$</t>
        </is>
      </c>
      <c r="E5" s="18" t="n">
        <v>0</v>
      </c>
      <c r="F5" s="18">
        <f>F7-F4</f>
        <v/>
      </c>
      <c r="G5" s="18">
        <f>G7-G4</f>
        <v/>
      </c>
      <c r="H5" s="18">
        <f>H7-H4</f>
        <v/>
      </c>
      <c r="I5" s="18">
        <f>I7-I4</f>
        <v/>
      </c>
      <c r="J5" s="18">
        <f>J7-J4</f>
        <v/>
      </c>
      <c r="K5" s="18">
        <f>K7-K4</f>
        <v/>
      </c>
      <c r="L5" s="18">
        <f>L7-L4</f>
        <v/>
      </c>
      <c r="M5" s="18">
        <f>M7-M4</f>
        <v/>
      </c>
      <c r="N5" s="18">
        <f>N7-N4</f>
        <v/>
      </c>
      <c r="O5" s="18">
        <f>O7-O4</f>
        <v/>
      </c>
      <c r="P5" s="18">
        <f>P7-P4</f>
        <v/>
      </c>
      <c r="Q5" s="18">
        <f>Q7-Q4</f>
        <v/>
      </c>
      <c r="R5" s="18">
        <f>R7-R4</f>
        <v/>
      </c>
      <c r="S5" s="18">
        <f>S7-S4</f>
        <v/>
      </c>
      <c r="T5" s="18">
        <f>T7-T4</f>
        <v/>
      </c>
      <c r="U5" s="18">
        <f>U7-U4</f>
        <v/>
      </c>
      <c r="V5" s="18">
        <f>V7-V4</f>
        <v/>
      </c>
      <c r="W5" s="18">
        <f>W7-W4</f>
        <v/>
      </c>
      <c r="X5" s="18">
        <f>X7-X4</f>
        <v/>
      </c>
      <c r="Y5" s="18">
        <f>Y7-Y4</f>
        <v/>
      </c>
      <c r="Z5" s="18">
        <f>Z7-Z4</f>
        <v/>
      </c>
      <c r="AA5" s="18">
        <f>AA7-AA4</f>
        <v/>
      </c>
      <c r="AB5" s="18">
        <f>AB7-AB4</f>
        <v/>
      </c>
      <c r="AC5" s="18">
        <f>AC7-AC4</f>
        <v/>
      </c>
      <c r="AD5" s="18">
        <f>AD7-AD4</f>
        <v/>
      </c>
      <c r="AE5" s="18">
        <f>AE7-AE4</f>
        <v/>
      </c>
      <c r="AF5" s="18">
        <f>AF7-AF4</f>
        <v/>
      </c>
      <c r="AG5" s="18">
        <f>AG7-AG4</f>
        <v/>
      </c>
      <c r="AH5" s="18">
        <f>AH7-AH4</f>
        <v/>
      </c>
      <c r="AI5" s="18">
        <f>AI7-AI4</f>
        <v/>
      </c>
      <c r="AJ5" s="18">
        <f>AJ7-AJ4</f>
        <v/>
      </c>
      <c r="AK5" s="18">
        <f>AK7-AK4</f>
        <v/>
      </c>
      <c r="AL5" s="18">
        <f>AL7-AL4</f>
        <v/>
      </c>
      <c r="AM5" s="18">
        <f>AM7-AM4</f>
        <v/>
      </c>
      <c r="AN5" s="18">
        <f>AN7-AN4</f>
        <v/>
      </c>
      <c r="AO5" s="18">
        <f>AO7-AO4</f>
        <v/>
      </c>
      <c r="AP5" s="18">
        <f>AP7-AP4</f>
        <v/>
      </c>
      <c r="AQ5" s="18">
        <f>AQ7-AQ4</f>
        <v/>
      </c>
      <c r="AR5" s="18">
        <f>AR7-AR4</f>
        <v/>
      </c>
      <c r="AS5" s="18">
        <f>AS7-AS4</f>
        <v/>
      </c>
      <c r="AT5" s="18">
        <f>AT7-AT4</f>
        <v/>
      </c>
      <c r="AU5" s="18">
        <f>AU7-AU4</f>
        <v/>
      </c>
      <c r="AV5" s="18">
        <f>AV7-AV4</f>
        <v/>
      </c>
      <c r="AW5" s="18">
        <f>AW7-AW4</f>
        <v/>
      </c>
      <c r="AX5" s="18">
        <f>AX7-AX4</f>
        <v/>
      </c>
      <c r="AY5" s="18">
        <f>AY7-AY4</f>
        <v/>
      </c>
      <c r="AZ5" s="18">
        <f>AZ7-AZ4</f>
        <v/>
      </c>
      <c r="BA5" s="18">
        <f>BA7-BA4</f>
        <v/>
      </c>
      <c r="BB5" s="18">
        <f>BB7-BB4</f>
        <v/>
      </c>
      <c r="BC5" s="18">
        <f>BC7-BC4</f>
        <v/>
      </c>
      <c r="BD5" s="18">
        <f>BD7-BD4</f>
        <v/>
      </c>
      <c r="BE5" s="18">
        <f>BE7-BE4</f>
        <v/>
      </c>
      <c r="BF5" s="18">
        <f>BF7-BF4</f>
        <v/>
      </c>
      <c r="BG5" s="18">
        <f>BG7-BG4</f>
        <v/>
      </c>
    </row>
    <row r="6">
      <c r="A6" t="inlineStr">
        <is>
          <t>Interest income (on opening)</t>
        </is>
      </c>
      <c r="C6" s="10" t="inlineStr">
        <is>
          <t>$</t>
        </is>
      </c>
      <c r="E6" s="18" t="n">
        <v>0</v>
      </c>
      <c r="F6" s="18">
        <f>TM!F15*F4</f>
        <v/>
      </c>
      <c r="G6" s="18">
        <f>TM!G15*G4</f>
        <v/>
      </c>
      <c r="H6" s="18">
        <f>TM!H15*H4</f>
        <v/>
      </c>
      <c r="I6" s="18">
        <f>TM!I15*I4</f>
        <v/>
      </c>
      <c r="J6" s="18">
        <f>TM!J15*J4</f>
        <v/>
      </c>
      <c r="K6" s="18">
        <f>TM!K15*K4</f>
        <v/>
      </c>
      <c r="L6" s="18">
        <f>TM!L15*L4</f>
        <v/>
      </c>
      <c r="M6" s="18">
        <f>TM!M15*M4</f>
        <v/>
      </c>
      <c r="N6" s="18">
        <f>TM!N15*N4</f>
        <v/>
      </c>
      <c r="O6" s="18">
        <f>TM!O15*O4</f>
        <v/>
      </c>
      <c r="P6" s="18">
        <f>TM!P15*P4</f>
        <v/>
      </c>
      <c r="Q6" s="18">
        <f>TM!Q15*Q4</f>
        <v/>
      </c>
      <c r="R6" s="18">
        <f>TM!R15*R4</f>
        <v/>
      </c>
      <c r="S6" s="18">
        <f>TM!S15*S4</f>
        <v/>
      </c>
      <c r="T6" s="18">
        <f>TM!T15*T4</f>
        <v/>
      </c>
      <c r="U6" s="18">
        <f>TM!U15*U4</f>
        <v/>
      </c>
      <c r="V6" s="18">
        <f>TM!V15*V4</f>
        <v/>
      </c>
      <c r="W6" s="18">
        <f>TM!W15*W4</f>
        <v/>
      </c>
      <c r="X6" s="18">
        <f>TM!X15*X4</f>
        <v/>
      </c>
      <c r="Y6" s="18">
        <f>TM!Y15*Y4</f>
        <v/>
      </c>
      <c r="Z6" s="18">
        <f>TM!Z15*Z4</f>
        <v/>
      </c>
      <c r="AA6" s="18">
        <f>TM!AA15*AA4</f>
        <v/>
      </c>
      <c r="AB6" s="18">
        <f>TM!AB15*AB4</f>
        <v/>
      </c>
      <c r="AC6" s="18">
        <f>TM!AC15*AC4</f>
        <v/>
      </c>
      <c r="AD6" s="18">
        <f>TM!AD15*AD4</f>
        <v/>
      </c>
      <c r="AE6" s="18">
        <f>TM!AE15*AE4</f>
        <v/>
      </c>
      <c r="AF6" s="18">
        <f>TM!AF15*AF4</f>
        <v/>
      </c>
      <c r="AG6" s="18">
        <f>TM!AG15*AG4</f>
        <v/>
      </c>
      <c r="AH6" s="18">
        <f>TM!AH15*AH4</f>
        <v/>
      </c>
      <c r="AI6" s="18">
        <f>TM!AI15*AI4</f>
        <v/>
      </c>
      <c r="AJ6" s="18">
        <f>TM!AJ15*AJ4</f>
        <v/>
      </c>
      <c r="AK6" s="18">
        <f>TM!AK15*AK4</f>
        <v/>
      </c>
      <c r="AL6" s="18">
        <f>TM!AL15*AL4</f>
        <v/>
      </c>
      <c r="AM6" s="18">
        <f>TM!AM15*AM4</f>
        <v/>
      </c>
      <c r="AN6" s="18">
        <f>TM!AN15*AN4</f>
        <v/>
      </c>
      <c r="AO6" s="18">
        <f>TM!AO15*AO4</f>
        <v/>
      </c>
      <c r="AP6" s="18">
        <f>TM!AP15*AP4</f>
        <v/>
      </c>
      <c r="AQ6" s="18">
        <f>TM!AQ15*AQ4</f>
        <v/>
      </c>
      <c r="AR6" s="18">
        <f>TM!AR15*AR4</f>
        <v/>
      </c>
      <c r="AS6" s="18">
        <f>TM!AS15*AS4</f>
        <v/>
      </c>
      <c r="AT6" s="18">
        <f>TM!AT15*AT4</f>
        <v/>
      </c>
      <c r="AU6" s="18">
        <f>TM!AU15*AU4</f>
        <v/>
      </c>
      <c r="AV6" s="18">
        <f>TM!AV15*AV4</f>
        <v/>
      </c>
      <c r="AW6" s="18">
        <f>TM!AW15*AW4</f>
        <v/>
      </c>
      <c r="AX6" s="18">
        <f>TM!AX15*AX4</f>
        <v/>
      </c>
      <c r="AY6" s="18">
        <f>TM!AY15*AY4</f>
        <v/>
      </c>
      <c r="AZ6" s="18">
        <f>TM!AZ15*AZ4</f>
        <v/>
      </c>
      <c r="BA6" s="18">
        <f>TM!BA15*BA4</f>
        <v/>
      </c>
      <c r="BB6" s="18">
        <f>TM!BB15*BB4</f>
        <v/>
      </c>
      <c r="BC6" s="18">
        <f>TM!BC15*BC4</f>
        <v/>
      </c>
      <c r="BD6" s="18">
        <f>TM!BD15*BD4</f>
        <v/>
      </c>
      <c r="BE6" s="18">
        <f>TM!BE15*BE4</f>
        <v/>
      </c>
      <c r="BF6" s="18">
        <f>TM!BF15*BF4</f>
        <v/>
      </c>
      <c r="BG6" s="18">
        <f>TM!BG15*BG4</f>
        <v/>
      </c>
    </row>
    <row r="7">
      <c r="A7" t="inlineStr">
        <is>
          <t>DSRA — closing</t>
        </is>
      </c>
      <c r="C7" s="10" t="inlineStr">
        <is>
          <t>$</t>
        </is>
      </c>
      <c r="E7" s="18" t="n">
        <v>0</v>
      </c>
      <c r="F7" s="18">
        <f>F3</f>
        <v/>
      </c>
      <c r="G7" s="18">
        <f>G3</f>
        <v/>
      </c>
      <c r="H7" s="18">
        <f>H3</f>
        <v/>
      </c>
      <c r="I7" s="18">
        <f>I3</f>
        <v/>
      </c>
      <c r="J7" s="18">
        <f>J3</f>
        <v/>
      </c>
      <c r="K7" s="18">
        <f>K3</f>
        <v/>
      </c>
      <c r="L7" s="18">
        <f>L3</f>
        <v/>
      </c>
      <c r="M7" s="18">
        <f>M3</f>
        <v/>
      </c>
      <c r="N7" s="18">
        <f>N3</f>
        <v/>
      </c>
      <c r="O7" s="18">
        <f>O3</f>
        <v/>
      </c>
      <c r="P7" s="18">
        <f>P3</f>
        <v/>
      </c>
      <c r="Q7" s="18">
        <f>Q3</f>
        <v/>
      </c>
      <c r="R7" s="18">
        <f>R3</f>
        <v/>
      </c>
      <c r="S7" s="18">
        <f>S3</f>
        <v/>
      </c>
      <c r="T7" s="18">
        <f>T3</f>
        <v/>
      </c>
      <c r="U7" s="18">
        <f>U3</f>
        <v/>
      </c>
      <c r="V7" s="18">
        <f>V3</f>
        <v/>
      </c>
      <c r="W7" s="18">
        <f>W3</f>
        <v/>
      </c>
      <c r="X7" s="18">
        <f>X3</f>
        <v/>
      </c>
      <c r="Y7" s="18">
        <f>Y3</f>
        <v/>
      </c>
      <c r="Z7" s="18">
        <f>Z3</f>
        <v/>
      </c>
      <c r="AA7" s="18">
        <f>AA3</f>
        <v/>
      </c>
      <c r="AB7" s="18">
        <f>AB3</f>
        <v/>
      </c>
      <c r="AC7" s="18">
        <f>AC3</f>
        <v/>
      </c>
      <c r="AD7" s="18">
        <f>AD3</f>
        <v/>
      </c>
      <c r="AE7" s="18">
        <f>AE3</f>
        <v/>
      </c>
      <c r="AF7" s="18">
        <f>AF3</f>
        <v/>
      </c>
      <c r="AG7" s="18">
        <f>AG3</f>
        <v/>
      </c>
      <c r="AH7" s="18">
        <f>AH3</f>
        <v/>
      </c>
      <c r="AI7" s="18">
        <f>AI3</f>
        <v/>
      </c>
      <c r="AJ7" s="18">
        <f>AJ3</f>
        <v/>
      </c>
      <c r="AK7" s="18">
        <f>AK3</f>
        <v/>
      </c>
      <c r="AL7" s="18">
        <f>AL3</f>
        <v/>
      </c>
      <c r="AM7" s="18">
        <f>AM3</f>
        <v/>
      </c>
      <c r="AN7" s="18">
        <f>AN3</f>
        <v/>
      </c>
      <c r="AO7" s="18">
        <f>AO3</f>
        <v/>
      </c>
      <c r="AP7" s="18">
        <f>AP3</f>
        <v/>
      </c>
      <c r="AQ7" s="18">
        <f>AQ3</f>
        <v/>
      </c>
      <c r="AR7" s="18">
        <f>AR3</f>
        <v/>
      </c>
      <c r="AS7" s="18">
        <f>AS3</f>
        <v/>
      </c>
      <c r="AT7" s="18">
        <f>AT3</f>
        <v/>
      </c>
      <c r="AU7" s="18">
        <f>AU3</f>
        <v/>
      </c>
      <c r="AV7" s="18">
        <f>AV3</f>
        <v/>
      </c>
      <c r="AW7" s="18">
        <f>AW3</f>
        <v/>
      </c>
      <c r="AX7" s="18">
        <f>AX3</f>
        <v/>
      </c>
      <c r="AY7" s="18">
        <f>AY3</f>
        <v/>
      </c>
      <c r="AZ7" s="18">
        <f>AZ3</f>
        <v/>
      </c>
      <c r="BA7" s="18">
        <f>BA3</f>
        <v/>
      </c>
      <c r="BB7" s="18">
        <f>BB3</f>
        <v/>
      </c>
      <c r="BC7" s="18">
        <f>BC3</f>
        <v/>
      </c>
      <c r="BD7" s="18">
        <f>BD3</f>
        <v/>
      </c>
      <c r="BE7" s="18">
        <f>BE3</f>
        <v/>
      </c>
      <c r="BF7" s="18">
        <f>BF3</f>
        <v/>
      </c>
      <c r="BG7" s="18">
        <f>BG3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1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CASH WATERFALL &amp; DISTRIBUTIONS  (fully swept: cash at bank held at nil)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CFADS (before major maintenance)</t>
        </is>
      </c>
      <c r="C3" s="10" t="inlineStr">
        <is>
          <t>$</t>
        </is>
      </c>
      <c r="E3" s="18" t="n">
        <v>0</v>
      </c>
      <c r="F3" s="18">
        <f>CF!F7</f>
        <v/>
      </c>
      <c r="G3" s="18">
        <f>CF!G7</f>
        <v/>
      </c>
      <c r="H3" s="18">
        <f>CF!H7</f>
        <v/>
      </c>
      <c r="I3" s="18">
        <f>CF!I7</f>
        <v/>
      </c>
      <c r="J3" s="18">
        <f>CF!J7</f>
        <v/>
      </c>
      <c r="K3" s="18">
        <f>CF!K7</f>
        <v/>
      </c>
      <c r="L3" s="18">
        <f>CF!L7</f>
        <v/>
      </c>
      <c r="M3" s="18">
        <f>CF!M7</f>
        <v/>
      </c>
      <c r="N3" s="18">
        <f>CF!N7</f>
        <v/>
      </c>
      <c r="O3" s="18">
        <f>CF!O7</f>
        <v/>
      </c>
      <c r="P3" s="18">
        <f>CF!P7</f>
        <v/>
      </c>
      <c r="Q3" s="18">
        <f>CF!Q7</f>
        <v/>
      </c>
      <c r="R3" s="18">
        <f>CF!R7</f>
        <v/>
      </c>
      <c r="S3" s="18">
        <f>CF!S7</f>
        <v/>
      </c>
      <c r="T3" s="18">
        <f>CF!T7</f>
        <v/>
      </c>
      <c r="U3" s="18">
        <f>CF!U7</f>
        <v/>
      </c>
      <c r="V3" s="18">
        <f>CF!V7</f>
        <v/>
      </c>
      <c r="W3" s="18">
        <f>CF!W7</f>
        <v/>
      </c>
      <c r="X3" s="18">
        <f>CF!X7</f>
        <v/>
      </c>
      <c r="Y3" s="18">
        <f>CF!Y7</f>
        <v/>
      </c>
      <c r="Z3" s="18">
        <f>CF!Z7</f>
        <v/>
      </c>
      <c r="AA3" s="18">
        <f>CF!AA7</f>
        <v/>
      </c>
      <c r="AB3" s="18">
        <f>CF!AB7</f>
        <v/>
      </c>
      <c r="AC3" s="18">
        <f>CF!AC7</f>
        <v/>
      </c>
      <c r="AD3" s="18">
        <f>CF!AD7</f>
        <v/>
      </c>
      <c r="AE3" s="18">
        <f>CF!AE7</f>
        <v/>
      </c>
      <c r="AF3" s="18">
        <f>CF!AF7</f>
        <v/>
      </c>
      <c r="AG3" s="18">
        <f>CF!AG7</f>
        <v/>
      </c>
      <c r="AH3" s="18">
        <f>CF!AH7</f>
        <v/>
      </c>
      <c r="AI3" s="18">
        <f>CF!AI7</f>
        <v/>
      </c>
      <c r="AJ3" s="18">
        <f>CF!AJ7</f>
        <v/>
      </c>
      <c r="AK3" s="18">
        <f>CF!AK7</f>
        <v/>
      </c>
      <c r="AL3" s="18">
        <f>CF!AL7</f>
        <v/>
      </c>
      <c r="AM3" s="18">
        <f>CF!AM7</f>
        <v/>
      </c>
      <c r="AN3" s="18">
        <f>CF!AN7</f>
        <v/>
      </c>
      <c r="AO3" s="18">
        <f>CF!AO7</f>
        <v/>
      </c>
      <c r="AP3" s="18">
        <f>CF!AP7</f>
        <v/>
      </c>
      <c r="AQ3" s="18">
        <f>CF!AQ7</f>
        <v/>
      </c>
      <c r="AR3" s="18">
        <f>CF!AR7</f>
        <v/>
      </c>
      <c r="AS3" s="18">
        <f>CF!AS7</f>
        <v/>
      </c>
      <c r="AT3" s="18">
        <f>CF!AT7</f>
        <v/>
      </c>
      <c r="AU3" s="18">
        <f>CF!AU7</f>
        <v/>
      </c>
      <c r="AV3" s="18">
        <f>CF!AV7</f>
        <v/>
      </c>
      <c r="AW3" s="18">
        <f>CF!AW7</f>
        <v/>
      </c>
      <c r="AX3" s="18">
        <f>CF!AX7</f>
        <v/>
      </c>
      <c r="AY3" s="18">
        <f>CF!AY7</f>
        <v/>
      </c>
      <c r="AZ3" s="18">
        <f>CF!AZ7</f>
        <v/>
      </c>
      <c r="BA3" s="18">
        <f>CF!BA7</f>
        <v/>
      </c>
      <c r="BB3" s="18">
        <f>CF!BB7</f>
        <v/>
      </c>
      <c r="BC3" s="18">
        <f>CF!BC7</f>
        <v/>
      </c>
      <c r="BD3" s="18">
        <f>CF!BD7</f>
        <v/>
      </c>
      <c r="BE3" s="18">
        <f>CF!BE7</f>
        <v/>
      </c>
      <c r="BF3" s="18">
        <f>CF!BF7</f>
        <v/>
      </c>
      <c r="BG3" s="18">
        <f>CF!BG7</f>
        <v/>
      </c>
    </row>
    <row r="4">
      <c r="A4" t="inlineStr">
        <is>
          <t>Less: interest</t>
        </is>
      </c>
      <c r="C4" s="10" t="inlineStr">
        <is>
          <t>$</t>
        </is>
      </c>
      <c r="E4" s="18" t="n">
        <v>0</v>
      </c>
      <c r="F4" s="18">
        <f>DB!F4</f>
        <v/>
      </c>
      <c r="G4" s="18">
        <f>DB!G4</f>
        <v/>
      </c>
      <c r="H4" s="18">
        <f>DB!H4</f>
        <v/>
      </c>
      <c r="I4" s="18">
        <f>DB!I4</f>
        <v/>
      </c>
      <c r="J4" s="18">
        <f>DB!J4</f>
        <v/>
      </c>
      <c r="K4" s="18">
        <f>DB!K4</f>
        <v/>
      </c>
      <c r="L4" s="18">
        <f>DB!L4</f>
        <v/>
      </c>
      <c r="M4" s="18">
        <f>DB!M4</f>
        <v/>
      </c>
      <c r="N4" s="18">
        <f>DB!N4</f>
        <v/>
      </c>
      <c r="O4" s="18">
        <f>DB!O4</f>
        <v/>
      </c>
      <c r="P4" s="18">
        <f>DB!P4</f>
        <v/>
      </c>
      <c r="Q4" s="18">
        <f>DB!Q4</f>
        <v/>
      </c>
      <c r="R4" s="18">
        <f>DB!R4</f>
        <v/>
      </c>
      <c r="S4" s="18">
        <f>DB!S4</f>
        <v/>
      </c>
      <c r="T4" s="18">
        <f>DB!T4</f>
        <v/>
      </c>
      <c r="U4" s="18">
        <f>DB!U4</f>
        <v/>
      </c>
      <c r="V4" s="18">
        <f>DB!V4</f>
        <v/>
      </c>
      <c r="W4" s="18">
        <f>DB!W4</f>
        <v/>
      </c>
      <c r="X4" s="18">
        <f>DB!X4</f>
        <v/>
      </c>
      <c r="Y4" s="18">
        <f>DB!Y4</f>
        <v/>
      </c>
      <c r="Z4" s="18">
        <f>DB!Z4</f>
        <v/>
      </c>
      <c r="AA4" s="18">
        <f>DB!AA4</f>
        <v/>
      </c>
      <c r="AB4" s="18">
        <f>DB!AB4</f>
        <v/>
      </c>
      <c r="AC4" s="18">
        <f>DB!AC4</f>
        <v/>
      </c>
      <c r="AD4" s="18">
        <f>DB!AD4</f>
        <v/>
      </c>
      <c r="AE4" s="18">
        <f>DB!AE4</f>
        <v/>
      </c>
      <c r="AF4" s="18">
        <f>DB!AF4</f>
        <v/>
      </c>
      <c r="AG4" s="18">
        <f>DB!AG4</f>
        <v/>
      </c>
      <c r="AH4" s="18">
        <f>DB!AH4</f>
        <v/>
      </c>
      <c r="AI4" s="18">
        <f>DB!AI4</f>
        <v/>
      </c>
      <c r="AJ4" s="18">
        <f>DB!AJ4</f>
        <v/>
      </c>
      <c r="AK4" s="18">
        <f>DB!AK4</f>
        <v/>
      </c>
      <c r="AL4" s="18">
        <f>DB!AL4</f>
        <v/>
      </c>
      <c r="AM4" s="18">
        <f>DB!AM4</f>
        <v/>
      </c>
      <c r="AN4" s="18">
        <f>DB!AN4</f>
        <v/>
      </c>
      <c r="AO4" s="18">
        <f>DB!AO4</f>
        <v/>
      </c>
      <c r="AP4" s="18">
        <f>DB!AP4</f>
        <v/>
      </c>
      <c r="AQ4" s="18">
        <f>DB!AQ4</f>
        <v/>
      </c>
      <c r="AR4" s="18">
        <f>DB!AR4</f>
        <v/>
      </c>
      <c r="AS4" s="18">
        <f>DB!AS4</f>
        <v/>
      </c>
      <c r="AT4" s="18">
        <f>DB!AT4</f>
        <v/>
      </c>
      <c r="AU4" s="18">
        <f>DB!AU4</f>
        <v/>
      </c>
      <c r="AV4" s="18">
        <f>DB!AV4</f>
        <v/>
      </c>
      <c r="AW4" s="18">
        <f>DB!AW4</f>
        <v/>
      </c>
      <c r="AX4" s="18">
        <f>DB!AX4</f>
        <v/>
      </c>
      <c r="AY4" s="18">
        <f>DB!AY4</f>
        <v/>
      </c>
      <c r="AZ4" s="18">
        <f>DB!AZ4</f>
        <v/>
      </c>
      <c r="BA4" s="18">
        <f>DB!BA4</f>
        <v/>
      </c>
      <c r="BB4" s="18">
        <f>DB!BB4</f>
        <v/>
      </c>
      <c r="BC4" s="18">
        <f>DB!BC4</f>
        <v/>
      </c>
      <c r="BD4" s="18">
        <f>DB!BD4</f>
        <v/>
      </c>
      <c r="BE4" s="18">
        <f>DB!BE4</f>
        <v/>
      </c>
      <c r="BF4" s="18">
        <f>DB!BF4</f>
        <v/>
      </c>
      <c r="BG4" s="18">
        <f>DB!BG4</f>
        <v/>
      </c>
    </row>
    <row r="5">
      <c r="A5" t="inlineStr">
        <is>
          <t>Less: principal</t>
        </is>
      </c>
      <c r="C5" s="10" t="inlineStr">
        <is>
          <t>$</t>
        </is>
      </c>
      <c r="E5" s="18" t="n">
        <v>0</v>
      </c>
      <c r="F5" s="18">
        <f>DB!F6</f>
        <v/>
      </c>
      <c r="G5" s="18">
        <f>DB!G6</f>
        <v/>
      </c>
      <c r="H5" s="18">
        <f>DB!H6</f>
        <v/>
      </c>
      <c r="I5" s="18">
        <f>DB!I6</f>
        <v/>
      </c>
      <c r="J5" s="18">
        <f>DB!J6</f>
        <v/>
      </c>
      <c r="K5" s="18">
        <f>DB!K6</f>
        <v/>
      </c>
      <c r="L5" s="18">
        <f>DB!L6</f>
        <v/>
      </c>
      <c r="M5" s="18">
        <f>DB!M6</f>
        <v/>
      </c>
      <c r="N5" s="18">
        <f>DB!N6</f>
        <v/>
      </c>
      <c r="O5" s="18">
        <f>DB!O6</f>
        <v/>
      </c>
      <c r="P5" s="18">
        <f>DB!P6</f>
        <v/>
      </c>
      <c r="Q5" s="18">
        <f>DB!Q6</f>
        <v/>
      </c>
      <c r="R5" s="18">
        <f>DB!R6</f>
        <v/>
      </c>
      <c r="S5" s="18">
        <f>DB!S6</f>
        <v/>
      </c>
      <c r="T5" s="18">
        <f>DB!T6</f>
        <v/>
      </c>
      <c r="U5" s="18">
        <f>DB!U6</f>
        <v/>
      </c>
      <c r="V5" s="18">
        <f>DB!V6</f>
        <v/>
      </c>
      <c r="W5" s="18">
        <f>DB!W6</f>
        <v/>
      </c>
      <c r="X5" s="18">
        <f>DB!X6</f>
        <v/>
      </c>
      <c r="Y5" s="18">
        <f>DB!Y6</f>
        <v/>
      </c>
      <c r="Z5" s="18">
        <f>DB!Z6</f>
        <v/>
      </c>
      <c r="AA5" s="18">
        <f>DB!AA6</f>
        <v/>
      </c>
      <c r="AB5" s="18">
        <f>DB!AB6</f>
        <v/>
      </c>
      <c r="AC5" s="18">
        <f>DB!AC6</f>
        <v/>
      </c>
      <c r="AD5" s="18">
        <f>DB!AD6</f>
        <v/>
      </c>
      <c r="AE5" s="18">
        <f>DB!AE6</f>
        <v/>
      </c>
      <c r="AF5" s="18">
        <f>DB!AF6</f>
        <v/>
      </c>
      <c r="AG5" s="18">
        <f>DB!AG6</f>
        <v/>
      </c>
      <c r="AH5" s="18">
        <f>DB!AH6</f>
        <v/>
      </c>
      <c r="AI5" s="18">
        <f>DB!AI6</f>
        <v/>
      </c>
      <c r="AJ5" s="18">
        <f>DB!AJ6</f>
        <v/>
      </c>
      <c r="AK5" s="18">
        <f>DB!AK6</f>
        <v/>
      </c>
      <c r="AL5" s="18">
        <f>DB!AL6</f>
        <v/>
      </c>
      <c r="AM5" s="18">
        <f>DB!AM6</f>
        <v/>
      </c>
      <c r="AN5" s="18">
        <f>DB!AN6</f>
        <v/>
      </c>
      <c r="AO5" s="18">
        <f>DB!AO6</f>
        <v/>
      </c>
      <c r="AP5" s="18">
        <f>DB!AP6</f>
        <v/>
      </c>
      <c r="AQ5" s="18">
        <f>DB!AQ6</f>
        <v/>
      </c>
      <c r="AR5" s="18">
        <f>DB!AR6</f>
        <v/>
      </c>
      <c r="AS5" s="18">
        <f>DB!AS6</f>
        <v/>
      </c>
      <c r="AT5" s="18">
        <f>DB!AT6</f>
        <v/>
      </c>
      <c r="AU5" s="18">
        <f>DB!AU6</f>
        <v/>
      </c>
      <c r="AV5" s="18">
        <f>DB!AV6</f>
        <v/>
      </c>
      <c r="AW5" s="18">
        <f>DB!AW6</f>
        <v/>
      </c>
      <c r="AX5" s="18">
        <f>DB!AX6</f>
        <v/>
      </c>
      <c r="AY5" s="18">
        <f>DB!AY6</f>
        <v/>
      </c>
      <c r="AZ5" s="18">
        <f>DB!AZ6</f>
        <v/>
      </c>
      <c r="BA5" s="18">
        <f>DB!BA6</f>
        <v/>
      </c>
      <c r="BB5" s="18">
        <f>DB!BB6</f>
        <v/>
      </c>
      <c r="BC5" s="18">
        <f>DB!BC6</f>
        <v/>
      </c>
      <c r="BD5" s="18">
        <f>DB!BD6</f>
        <v/>
      </c>
      <c r="BE5" s="18">
        <f>DB!BE6</f>
        <v/>
      </c>
      <c r="BF5" s="18">
        <f>DB!BF6</f>
        <v/>
      </c>
      <c r="BG5" s="18">
        <f>DB!BG6</f>
        <v/>
      </c>
    </row>
    <row r="6">
      <c r="A6" t="inlineStr">
        <is>
          <t>Less: stack replacement (major maint.)</t>
        </is>
      </c>
      <c r="C6" s="10" t="inlineStr">
        <is>
          <t>$</t>
        </is>
      </c>
      <c r="E6" s="18" t="n">
        <v>0</v>
      </c>
      <c r="F6" s="18">
        <f>OP!F8</f>
        <v/>
      </c>
      <c r="G6" s="18">
        <f>OP!G8</f>
        <v/>
      </c>
      <c r="H6" s="18">
        <f>OP!H8</f>
        <v/>
      </c>
      <c r="I6" s="18">
        <f>OP!I8</f>
        <v/>
      </c>
      <c r="J6" s="18">
        <f>OP!J8</f>
        <v/>
      </c>
      <c r="K6" s="18">
        <f>OP!K8</f>
        <v/>
      </c>
      <c r="L6" s="18">
        <f>OP!L8</f>
        <v/>
      </c>
      <c r="M6" s="18">
        <f>OP!M8</f>
        <v/>
      </c>
      <c r="N6" s="18">
        <f>OP!N8</f>
        <v/>
      </c>
      <c r="O6" s="18">
        <f>OP!O8</f>
        <v/>
      </c>
      <c r="P6" s="18">
        <f>OP!P8</f>
        <v/>
      </c>
      <c r="Q6" s="18">
        <f>OP!Q8</f>
        <v/>
      </c>
      <c r="R6" s="18">
        <f>OP!R8</f>
        <v/>
      </c>
      <c r="S6" s="18">
        <f>OP!S8</f>
        <v/>
      </c>
      <c r="T6" s="18">
        <f>OP!T8</f>
        <v/>
      </c>
      <c r="U6" s="18">
        <f>OP!U8</f>
        <v/>
      </c>
      <c r="V6" s="18">
        <f>OP!V8</f>
        <v/>
      </c>
      <c r="W6" s="18">
        <f>OP!W8</f>
        <v/>
      </c>
      <c r="X6" s="18">
        <f>OP!X8</f>
        <v/>
      </c>
      <c r="Y6" s="18">
        <f>OP!Y8</f>
        <v/>
      </c>
      <c r="Z6" s="18">
        <f>OP!Z8</f>
        <v/>
      </c>
      <c r="AA6" s="18">
        <f>OP!AA8</f>
        <v/>
      </c>
      <c r="AB6" s="18">
        <f>OP!AB8</f>
        <v/>
      </c>
      <c r="AC6" s="18">
        <f>OP!AC8</f>
        <v/>
      </c>
      <c r="AD6" s="18">
        <f>OP!AD8</f>
        <v/>
      </c>
      <c r="AE6" s="18">
        <f>OP!AE8</f>
        <v/>
      </c>
      <c r="AF6" s="18">
        <f>OP!AF8</f>
        <v/>
      </c>
      <c r="AG6" s="18">
        <f>OP!AG8</f>
        <v/>
      </c>
      <c r="AH6" s="18">
        <f>OP!AH8</f>
        <v/>
      </c>
      <c r="AI6" s="18">
        <f>OP!AI8</f>
        <v/>
      </c>
      <c r="AJ6" s="18">
        <f>OP!AJ8</f>
        <v/>
      </c>
      <c r="AK6" s="18">
        <f>OP!AK8</f>
        <v/>
      </c>
      <c r="AL6" s="18">
        <f>OP!AL8</f>
        <v/>
      </c>
      <c r="AM6" s="18">
        <f>OP!AM8</f>
        <v/>
      </c>
      <c r="AN6" s="18">
        <f>OP!AN8</f>
        <v/>
      </c>
      <c r="AO6" s="18">
        <f>OP!AO8</f>
        <v/>
      </c>
      <c r="AP6" s="18">
        <f>OP!AP8</f>
        <v/>
      </c>
      <c r="AQ6" s="18">
        <f>OP!AQ8</f>
        <v/>
      </c>
      <c r="AR6" s="18">
        <f>OP!AR8</f>
        <v/>
      </c>
      <c r="AS6" s="18">
        <f>OP!AS8</f>
        <v/>
      </c>
      <c r="AT6" s="18">
        <f>OP!AT8</f>
        <v/>
      </c>
      <c r="AU6" s="18">
        <f>OP!AU8</f>
        <v/>
      </c>
      <c r="AV6" s="18">
        <f>OP!AV8</f>
        <v/>
      </c>
      <c r="AW6" s="18">
        <f>OP!AW8</f>
        <v/>
      </c>
      <c r="AX6" s="18">
        <f>OP!AX8</f>
        <v/>
      </c>
      <c r="AY6" s="18">
        <f>OP!AY8</f>
        <v/>
      </c>
      <c r="AZ6" s="18">
        <f>OP!AZ8</f>
        <v/>
      </c>
      <c r="BA6" s="18">
        <f>OP!BA8</f>
        <v/>
      </c>
      <c r="BB6" s="18">
        <f>OP!BB8</f>
        <v/>
      </c>
      <c r="BC6" s="18">
        <f>OP!BC8</f>
        <v/>
      </c>
      <c r="BD6" s="18">
        <f>OP!BD8</f>
        <v/>
      </c>
      <c r="BE6" s="18">
        <f>OP!BE8</f>
        <v/>
      </c>
      <c r="BF6" s="18">
        <f>OP!BF8</f>
        <v/>
      </c>
      <c r="BG6" s="18">
        <f>OP!BG8</f>
        <v/>
      </c>
    </row>
    <row r="7">
      <c r="A7" t="inlineStr">
        <is>
          <t>Less: DSRA funding / add release</t>
        </is>
      </c>
      <c r="C7" s="10" t="inlineStr">
        <is>
          <t>$</t>
        </is>
      </c>
      <c r="E7" s="18" t="n">
        <v>0</v>
      </c>
      <c r="F7" s="18">
        <f>DS!F5</f>
        <v/>
      </c>
      <c r="G7" s="18">
        <f>DS!G5</f>
        <v/>
      </c>
      <c r="H7" s="18">
        <f>DS!H5</f>
        <v/>
      </c>
      <c r="I7" s="18">
        <f>DS!I5</f>
        <v/>
      </c>
      <c r="J7" s="18">
        <f>DS!J5</f>
        <v/>
      </c>
      <c r="K7" s="18">
        <f>DS!K5</f>
        <v/>
      </c>
      <c r="L7" s="18">
        <f>DS!L5</f>
        <v/>
      </c>
      <c r="M7" s="18">
        <f>DS!M5</f>
        <v/>
      </c>
      <c r="N7" s="18">
        <f>DS!N5</f>
        <v/>
      </c>
      <c r="O7" s="18">
        <f>DS!O5</f>
        <v/>
      </c>
      <c r="P7" s="18">
        <f>DS!P5</f>
        <v/>
      </c>
      <c r="Q7" s="18">
        <f>DS!Q5</f>
        <v/>
      </c>
      <c r="R7" s="18">
        <f>DS!R5</f>
        <v/>
      </c>
      <c r="S7" s="18">
        <f>DS!S5</f>
        <v/>
      </c>
      <c r="T7" s="18">
        <f>DS!T5</f>
        <v/>
      </c>
      <c r="U7" s="18">
        <f>DS!U5</f>
        <v/>
      </c>
      <c r="V7" s="18">
        <f>DS!V5</f>
        <v/>
      </c>
      <c r="W7" s="18">
        <f>DS!W5</f>
        <v/>
      </c>
      <c r="X7" s="18">
        <f>DS!X5</f>
        <v/>
      </c>
      <c r="Y7" s="18">
        <f>DS!Y5</f>
        <v/>
      </c>
      <c r="Z7" s="18">
        <f>DS!Z5</f>
        <v/>
      </c>
      <c r="AA7" s="18">
        <f>DS!AA5</f>
        <v/>
      </c>
      <c r="AB7" s="18">
        <f>DS!AB5</f>
        <v/>
      </c>
      <c r="AC7" s="18">
        <f>DS!AC5</f>
        <v/>
      </c>
      <c r="AD7" s="18">
        <f>DS!AD5</f>
        <v/>
      </c>
      <c r="AE7" s="18">
        <f>DS!AE5</f>
        <v/>
      </c>
      <c r="AF7" s="18">
        <f>DS!AF5</f>
        <v/>
      </c>
      <c r="AG7" s="18">
        <f>DS!AG5</f>
        <v/>
      </c>
      <c r="AH7" s="18">
        <f>DS!AH5</f>
        <v/>
      </c>
      <c r="AI7" s="18">
        <f>DS!AI5</f>
        <v/>
      </c>
      <c r="AJ7" s="18">
        <f>DS!AJ5</f>
        <v/>
      </c>
      <c r="AK7" s="18">
        <f>DS!AK5</f>
        <v/>
      </c>
      <c r="AL7" s="18">
        <f>DS!AL5</f>
        <v/>
      </c>
      <c r="AM7" s="18">
        <f>DS!AM5</f>
        <v/>
      </c>
      <c r="AN7" s="18">
        <f>DS!AN5</f>
        <v/>
      </c>
      <c r="AO7" s="18">
        <f>DS!AO5</f>
        <v/>
      </c>
      <c r="AP7" s="18">
        <f>DS!AP5</f>
        <v/>
      </c>
      <c r="AQ7" s="18">
        <f>DS!AQ5</f>
        <v/>
      </c>
      <c r="AR7" s="18">
        <f>DS!AR5</f>
        <v/>
      </c>
      <c r="AS7" s="18">
        <f>DS!AS5</f>
        <v/>
      </c>
      <c r="AT7" s="18">
        <f>DS!AT5</f>
        <v/>
      </c>
      <c r="AU7" s="18">
        <f>DS!AU5</f>
        <v/>
      </c>
      <c r="AV7" s="18">
        <f>DS!AV5</f>
        <v/>
      </c>
      <c r="AW7" s="18">
        <f>DS!AW5</f>
        <v/>
      </c>
      <c r="AX7" s="18">
        <f>DS!AX5</f>
        <v/>
      </c>
      <c r="AY7" s="18">
        <f>DS!AY5</f>
        <v/>
      </c>
      <c r="AZ7" s="18">
        <f>DS!AZ5</f>
        <v/>
      </c>
      <c r="BA7" s="18">
        <f>DS!BA5</f>
        <v/>
      </c>
      <c r="BB7" s="18">
        <f>DS!BB5</f>
        <v/>
      </c>
      <c r="BC7" s="18">
        <f>DS!BC5</f>
        <v/>
      </c>
      <c r="BD7" s="18">
        <f>DS!BD5</f>
        <v/>
      </c>
      <c r="BE7" s="18">
        <f>DS!BE5</f>
        <v/>
      </c>
      <c r="BF7" s="18">
        <f>DS!BF5</f>
        <v/>
      </c>
      <c r="BG7" s="18">
        <f>DS!BG5</f>
        <v/>
      </c>
    </row>
    <row r="8">
      <c r="A8" t="inlineStr">
        <is>
          <t>Add: DSRA interest income</t>
        </is>
      </c>
      <c r="C8" s="10" t="inlineStr">
        <is>
          <t>$</t>
        </is>
      </c>
      <c r="E8" s="18" t="n">
        <v>0</v>
      </c>
      <c r="F8" s="18">
        <f>DS!F6</f>
        <v/>
      </c>
      <c r="G8" s="18">
        <f>DS!G6</f>
        <v/>
      </c>
      <c r="H8" s="18">
        <f>DS!H6</f>
        <v/>
      </c>
      <c r="I8" s="18">
        <f>DS!I6</f>
        <v/>
      </c>
      <c r="J8" s="18">
        <f>DS!J6</f>
        <v/>
      </c>
      <c r="K8" s="18">
        <f>DS!K6</f>
        <v/>
      </c>
      <c r="L8" s="18">
        <f>DS!L6</f>
        <v/>
      </c>
      <c r="M8" s="18">
        <f>DS!M6</f>
        <v/>
      </c>
      <c r="N8" s="18">
        <f>DS!N6</f>
        <v/>
      </c>
      <c r="O8" s="18">
        <f>DS!O6</f>
        <v/>
      </c>
      <c r="P8" s="18">
        <f>DS!P6</f>
        <v/>
      </c>
      <c r="Q8" s="18">
        <f>DS!Q6</f>
        <v/>
      </c>
      <c r="R8" s="18">
        <f>DS!R6</f>
        <v/>
      </c>
      <c r="S8" s="18">
        <f>DS!S6</f>
        <v/>
      </c>
      <c r="T8" s="18">
        <f>DS!T6</f>
        <v/>
      </c>
      <c r="U8" s="18">
        <f>DS!U6</f>
        <v/>
      </c>
      <c r="V8" s="18">
        <f>DS!V6</f>
        <v/>
      </c>
      <c r="W8" s="18">
        <f>DS!W6</f>
        <v/>
      </c>
      <c r="X8" s="18">
        <f>DS!X6</f>
        <v/>
      </c>
      <c r="Y8" s="18">
        <f>DS!Y6</f>
        <v/>
      </c>
      <c r="Z8" s="18">
        <f>DS!Z6</f>
        <v/>
      </c>
      <c r="AA8" s="18">
        <f>DS!AA6</f>
        <v/>
      </c>
      <c r="AB8" s="18">
        <f>DS!AB6</f>
        <v/>
      </c>
      <c r="AC8" s="18">
        <f>DS!AC6</f>
        <v/>
      </c>
      <c r="AD8" s="18">
        <f>DS!AD6</f>
        <v/>
      </c>
      <c r="AE8" s="18">
        <f>DS!AE6</f>
        <v/>
      </c>
      <c r="AF8" s="18">
        <f>DS!AF6</f>
        <v/>
      </c>
      <c r="AG8" s="18">
        <f>DS!AG6</f>
        <v/>
      </c>
      <c r="AH8" s="18">
        <f>DS!AH6</f>
        <v/>
      </c>
      <c r="AI8" s="18">
        <f>DS!AI6</f>
        <v/>
      </c>
      <c r="AJ8" s="18">
        <f>DS!AJ6</f>
        <v/>
      </c>
      <c r="AK8" s="18">
        <f>DS!AK6</f>
        <v/>
      </c>
      <c r="AL8" s="18">
        <f>DS!AL6</f>
        <v/>
      </c>
      <c r="AM8" s="18">
        <f>DS!AM6</f>
        <v/>
      </c>
      <c r="AN8" s="18">
        <f>DS!AN6</f>
        <v/>
      </c>
      <c r="AO8" s="18">
        <f>DS!AO6</f>
        <v/>
      </c>
      <c r="AP8" s="18">
        <f>DS!AP6</f>
        <v/>
      </c>
      <c r="AQ8" s="18">
        <f>DS!AQ6</f>
        <v/>
      </c>
      <c r="AR8" s="18">
        <f>DS!AR6</f>
        <v/>
      </c>
      <c r="AS8" s="18">
        <f>DS!AS6</f>
        <v/>
      </c>
      <c r="AT8" s="18">
        <f>DS!AT6</f>
        <v/>
      </c>
      <c r="AU8" s="18">
        <f>DS!AU6</f>
        <v/>
      </c>
      <c r="AV8" s="18">
        <f>DS!AV6</f>
        <v/>
      </c>
      <c r="AW8" s="18">
        <f>DS!AW6</f>
        <v/>
      </c>
      <c r="AX8" s="18">
        <f>DS!AX6</f>
        <v/>
      </c>
      <c r="AY8" s="18">
        <f>DS!AY6</f>
        <v/>
      </c>
      <c r="AZ8" s="18">
        <f>DS!AZ6</f>
        <v/>
      </c>
      <c r="BA8" s="18">
        <f>DS!BA6</f>
        <v/>
      </c>
      <c r="BB8" s="18">
        <f>DS!BB6</f>
        <v/>
      </c>
      <c r="BC8" s="18">
        <f>DS!BC6</f>
        <v/>
      </c>
      <c r="BD8" s="18">
        <f>DS!BD6</f>
        <v/>
      </c>
      <c r="BE8" s="18">
        <f>DS!BE6</f>
        <v/>
      </c>
      <c r="BF8" s="18">
        <f>DS!BF6</f>
        <v/>
      </c>
      <c r="BG8" s="18">
        <f>DS!BG6</f>
        <v/>
      </c>
    </row>
    <row r="9">
      <c r="A9" s="3" t="inlineStr">
        <is>
          <t>Cash available (pre-distribution)</t>
        </is>
      </c>
      <c r="C9" s="10" t="inlineStr">
        <is>
          <t>$</t>
        </is>
      </c>
      <c r="E9" s="18" t="n">
        <v>0</v>
      </c>
      <c r="F9" s="18">
        <f>F3-F4-F5-F6-F7+F8</f>
        <v/>
      </c>
      <c r="G9" s="18">
        <f>G3-G4-G5-G6-G7+G8</f>
        <v/>
      </c>
      <c r="H9" s="18">
        <f>H3-H4-H5-H6-H7+H8</f>
        <v/>
      </c>
      <c r="I9" s="18">
        <f>I3-I4-I5-I6-I7+I8</f>
        <v/>
      </c>
      <c r="J9" s="18">
        <f>J3-J4-J5-J6-J7+J8</f>
        <v/>
      </c>
      <c r="K9" s="18">
        <f>K3-K4-K5-K6-K7+K8</f>
        <v/>
      </c>
      <c r="L9" s="18">
        <f>L3-L4-L5-L6-L7+L8</f>
        <v/>
      </c>
      <c r="M9" s="18">
        <f>M3-M4-M5-M6-M7+M8</f>
        <v/>
      </c>
      <c r="N9" s="18">
        <f>N3-N4-N5-N6-N7+N8</f>
        <v/>
      </c>
      <c r="O9" s="18">
        <f>O3-O4-O5-O6-O7+O8</f>
        <v/>
      </c>
      <c r="P9" s="18">
        <f>P3-P4-P5-P6-P7+P8</f>
        <v/>
      </c>
      <c r="Q9" s="18">
        <f>Q3-Q4-Q5-Q6-Q7+Q8</f>
        <v/>
      </c>
      <c r="R9" s="18">
        <f>R3-R4-R5-R6-R7+R8</f>
        <v/>
      </c>
      <c r="S9" s="18">
        <f>S3-S4-S5-S6-S7+S8</f>
        <v/>
      </c>
      <c r="T9" s="18">
        <f>T3-T4-T5-T6-T7+T8</f>
        <v/>
      </c>
      <c r="U9" s="18">
        <f>U3-U4-U5-U6-U7+U8</f>
        <v/>
      </c>
      <c r="V9" s="18">
        <f>V3-V4-V5-V6-V7+V8</f>
        <v/>
      </c>
      <c r="W9" s="18">
        <f>W3-W4-W5-W6-W7+W8</f>
        <v/>
      </c>
      <c r="X9" s="18">
        <f>X3-X4-X5-X6-X7+X8</f>
        <v/>
      </c>
      <c r="Y9" s="18">
        <f>Y3-Y4-Y5-Y6-Y7+Y8</f>
        <v/>
      </c>
      <c r="Z9" s="18">
        <f>Z3-Z4-Z5-Z6-Z7+Z8</f>
        <v/>
      </c>
      <c r="AA9" s="18">
        <f>AA3-AA4-AA5-AA6-AA7+AA8</f>
        <v/>
      </c>
      <c r="AB9" s="18">
        <f>AB3-AB4-AB5-AB6-AB7+AB8</f>
        <v/>
      </c>
      <c r="AC9" s="18">
        <f>AC3-AC4-AC5-AC6-AC7+AC8</f>
        <v/>
      </c>
      <c r="AD9" s="18">
        <f>AD3-AD4-AD5-AD6-AD7+AD8</f>
        <v/>
      </c>
      <c r="AE9" s="18">
        <f>AE3-AE4-AE5-AE6-AE7+AE8</f>
        <v/>
      </c>
      <c r="AF9" s="18">
        <f>AF3-AF4-AF5-AF6-AF7+AF8</f>
        <v/>
      </c>
      <c r="AG9" s="18">
        <f>AG3-AG4-AG5-AG6-AG7+AG8</f>
        <v/>
      </c>
      <c r="AH9" s="18">
        <f>AH3-AH4-AH5-AH6-AH7+AH8</f>
        <v/>
      </c>
      <c r="AI9" s="18">
        <f>AI3-AI4-AI5-AI6-AI7+AI8</f>
        <v/>
      </c>
      <c r="AJ9" s="18">
        <f>AJ3-AJ4-AJ5-AJ6-AJ7+AJ8</f>
        <v/>
      </c>
      <c r="AK9" s="18">
        <f>AK3-AK4-AK5-AK6-AK7+AK8</f>
        <v/>
      </c>
      <c r="AL9" s="18">
        <f>AL3-AL4-AL5-AL6-AL7+AL8</f>
        <v/>
      </c>
      <c r="AM9" s="18">
        <f>AM3-AM4-AM5-AM6-AM7+AM8</f>
        <v/>
      </c>
      <c r="AN9" s="18">
        <f>AN3-AN4-AN5-AN6-AN7+AN8</f>
        <v/>
      </c>
      <c r="AO9" s="18">
        <f>AO3-AO4-AO5-AO6-AO7+AO8</f>
        <v/>
      </c>
      <c r="AP9" s="18">
        <f>AP3-AP4-AP5-AP6-AP7+AP8</f>
        <v/>
      </c>
      <c r="AQ9" s="18">
        <f>AQ3-AQ4-AQ5-AQ6-AQ7+AQ8</f>
        <v/>
      </c>
      <c r="AR9" s="18">
        <f>AR3-AR4-AR5-AR6-AR7+AR8</f>
        <v/>
      </c>
      <c r="AS9" s="18">
        <f>AS3-AS4-AS5-AS6-AS7+AS8</f>
        <v/>
      </c>
      <c r="AT9" s="18">
        <f>AT3-AT4-AT5-AT6-AT7+AT8</f>
        <v/>
      </c>
      <c r="AU9" s="18">
        <f>AU3-AU4-AU5-AU6-AU7+AU8</f>
        <v/>
      </c>
      <c r="AV9" s="18">
        <f>AV3-AV4-AV5-AV6-AV7+AV8</f>
        <v/>
      </c>
      <c r="AW9" s="18">
        <f>AW3-AW4-AW5-AW6-AW7+AW8</f>
        <v/>
      </c>
      <c r="AX9" s="18">
        <f>AX3-AX4-AX5-AX6-AX7+AX8</f>
        <v/>
      </c>
      <c r="AY9" s="18">
        <f>AY3-AY4-AY5-AY6-AY7+AY8</f>
        <v/>
      </c>
      <c r="AZ9" s="18">
        <f>AZ3-AZ4-AZ5-AZ6-AZ7+AZ8</f>
        <v/>
      </c>
      <c r="BA9" s="18">
        <f>BA3-BA4-BA5-BA6-BA7+BA8</f>
        <v/>
      </c>
      <c r="BB9" s="18">
        <f>BB3-BB4-BB5-BB6-BB7+BB8</f>
        <v/>
      </c>
      <c r="BC9" s="18">
        <f>BC3-BC4-BC5-BC6-BC7+BC8</f>
        <v/>
      </c>
      <c r="BD9" s="18">
        <f>BD3-BD4-BD5-BD6-BD7+BD8</f>
        <v/>
      </c>
      <c r="BE9" s="18">
        <f>BE3-BE4-BE5-BE6-BE7+BE8</f>
        <v/>
      </c>
      <c r="BF9" s="18">
        <f>BF3-BF4-BF5-BF6-BF7+BF8</f>
        <v/>
      </c>
      <c r="BG9" s="18">
        <f>BG3-BG4-BG5-BG6-BG7+BG8</f>
        <v/>
      </c>
    </row>
    <row r="10">
      <c r="A10" t="inlineStr">
        <is>
          <t>Cash at bank — opening</t>
        </is>
      </c>
      <c r="C10" s="10" t="inlineStr">
        <is>
          <t>$</t>
        </is>
      </c>
      <c r="E10" s="18" t="n">
        <v>0</v>
      </c>
      <c r="F10" s="18">
        <f>E13</f>
        <v/>
      </c>
      <c r="G10" s="18">
        <f>F13</f>
        <v/>
      </c>
      <c r="H10" s="18">
        <f>G13</f>
        <v/>
      </c>
      <c r="I10" s="18">
        <f>H13</f>
        <v/>
      </c>
      <c r="J10" s="18">
        <f>I13</f>
        <v/>
      </c>
      <c r="K10" s="18">
        <f>J13</f>
        <v/>
      </c>
      <c r="L10" s="18">
        <f>K13</f>
        <v/>
      </c>
      <c r="M10" s="18">
        <f>L13</f>
        <v/>
      </c>
      <c r="N10" s="18">
        <f>M13</f>
        <v/>
      </c>
      <c r="O10" s="18">
        <f>N13</f>
        <v/>
      </c>
      <c r="P10" s="18">
        <f>O13</f>
        <v/>
      </c>
      <c r="Q10" s="18">
        <f>P13</f>
        <v/>
      </c>
      <c r="R10" s="18">
        <f>Q13</f>
        <v/>
      </c>
      <c r="S10" s="18">
        <f>R13</f>
        <v/>
      </c>
      <c r="T10" s="18">
        <f>S13</f>
        <v/>
      </c>
      <c r="U10" s="18">
        <f>T13</f>
        <v/>
      </c>
      <c r="V10" s="18">
        <f>U13</f>
        <v/>
      </c>
      <c r="W10" s="18">
        <f>V13</f>
        <v/>
      </c>
      <c r="X10" s="18">
        <f>W13</f>
        <v/>
      </c>
      <c r="Y10" s="18">
        <f>X13</f>
        <v/>
      </c>
      <c r="Z10" s="18">
        <f>Y13</f>
        <v/>
      </c>
      <c r="AA10" s="18">
        <f>Z13</f>
        <v/>
      </c>
      <c r="AB10" s="18">
        <f>AA13</f>
        <v/>
      </c>
      <c r="AC10" s="18">
        <f>AB13</f>
        <v/>
      </c>
      <c r="AD10" s="18">
        <f>AC13</f>
        <v/>
      </c>
      <c r="AE10" s="18">
        <f>AD13</f>
        <v/>
      </c>
      <c r="AF10" s="18">
        <f>AE13</f>
        <v/>
      </c>
      <c r="AG10" s="18">
        <f>AF13</f>
        <v/>
      </c>
      <c r="AH10" s="18">
        <f>AG13</f>
        <v/>
      </c>
      <c r="AI10" s="18">
        <f>AH13</f>
        <v/>
      </c>
      <c r="AJ10" s="18">
        <f>AI13</f>
        <v/>
      </c>
      <c r="AK10" s="18">
        <f>AJ13</f>
        <v/>
      </c>
      <c r="AL10" s="18">
        <f>AK13</f>
        <v/>
      </c>
      <c r="AM10" s="18">
        <f>AL13</f>
        <v/>
      </c>
      <c r="AN10" s="18">
        <f>AM13</f>
        <v/>
      </c>
      <c r="AO10" s="18">
        <f>AN13</f>
        <v/>
      </c>
      <c r="AP10" s="18">
        <f>AO13</f>
        <v/>
      </c>
      <c r="AQ10" s="18">
        <f>AP13</f>
        <v/>
      </c>
      <c r="AR10" s="18">
        <f>AQ13</f>
        <v/>
      </c>
      <c r="AS10" s="18">
        <f>AR13</f>
        <v/>
      </c>
      <c r="AT10" s="18">
        <f>AS13</f>
        <v/>
      </c>
      <c r="AU10" s="18">
        <f>AT13</f>
        <v/>
      </c>
      <c r="AV10" s="18">
        <f>AU13</f>
        <v/>
      </c>
      <c r="AW10" s="18">
        <f>AV13</f>
        <v/>
      </c>
      <c r="AX10" s="18">
        <f>AW13</f>
        <v/>
      </c>
      <c r="AY10" s="18">
        <f>AX13</f>
        <v/>
      </c>
      <c r="AZ10" s="18">
        <f>AY13</f>
        <v/>
      </c>
      <c r="BA10" s="18">
        <f>AZ13</f>
        <v/>
      </c>
      <c r="BB10" s="18">
        <f>BA13</f>
        <v/>
      </c>
      <c r="BC10" s="18">
        <f>BB13</f>
        <v/>
      </c>
      <c r="BD10" s="18">
        <f>BC13</f>
        <v/>
      </c>
      <c r="BE10" s="18">
        <f>BD13</f>
        <v/>
      </c>
      <c r="BF10" s="18">
        <f>BE13</f>
        <v/>
      </c>
      <c r="BG10" s="18">
        <f>BF13</f>
        <v/>
      </c>
    </row>
    <row r="11">
      <c r="A11" t="inlineStr">
        <is>
          <t>Equity injection (fund shortfall)</t>
        </is>
      </c>
      <c r="C11" s="10" t="inlineStr">
        <is>
          <t>$</t>
        </is>
      </c>
      <c r="E11" s="18" t="n">
        <v>0</v>
      </c>
      <c r="F11" s="18">
        <f>MAX(0,-(F10+F9))</f>
        <v/>
      </c>
      <c r="G11" s="18">
        <f>MAX(0,-(G10+G9))</f>
        <v/>
      </c>
      <c r="H11" s="18">
        <f>MAX(0,-(H10+H9))</f>
        <v/>
      </c>
      <c r="I11" s="18">
        <f>MAX(0,-(I10+I9))</f>
        <v/>
      </c>
      <c r="J11" s="18">
        <f>MAX(0,-(J10+J9))</f>
        <v/>
      </c>
      <c r="K11" s="18">
        <f>MAX(0,-(K10+K9))</f>
        <v/>
      </c>
      <c r="L11" s="18">
        <f>MAX(0,-(L10+L9))</f>
        <v/>
      </c>
      <c r="M11" s="18">
        <f>MAX(0,-(M10+M9))</f>
        <v/>
      </c>
      <c r="N11" s="18">
        <f>MAX(0,-(N10+N9))</f>
        <v/>
      </c>
      <c r="O11" s="18">
        <f>MAX(0,-(O10+O9))</f>
        <v/>
      </c>
      <c r="P11" s="18">
        <f>MAX(0,-(P10+P9))</f>
        <v/>
      </c>
      <c r="Q11" s="18">
        <f>MAX(0,-(Q10+Q9))</f>
        <v/>
      </c>
      <c r="R11" s="18">
        <f>MAX(0,-(R10+R9))</f>
        <v/>
      </c>
      <c r="S11" s="18">
        <f>MAX(0,-(S10+S9))</f>
        <v/>
      </c>
      <c r="T11" s="18">
        <f>MAX(0,-(T10+T9))</f>
        <v/>
      </c>
      <c r="U11" s="18">
        <f>MAX(0,-(U10+U9))</f>
        <v/>
      </c>
      <c r="V11" s="18">
        <f>MAX(0,-(V10+V9))</f>
        <v/>
      </c>
      <c r="W11" s="18">
        <f>MAX(0,-(W10+W9))</f>
        <v/>
      </c>
      <c r="X11" s="18">
        <f>MAX(0,-(X10+X9))</f>
        <v/>
      </c>
      <c r="Y11" s="18">
        <f>MAX(0,-(Y10+Y9))</f>
        <v/>
      </c>
      <c r="Z11" s="18">
        <f>MAX(0,-(Z10+Z9))</f>
        <v/>
      </c>
      <c r="AA11" s="18">
        <f>MAX(0,-(AA10+AA9))</f>
        <v/>
      </c>
      <c r="AB11" s="18">
        <f>MAX(0,-(AB10+AB9))</f>
        <v/>
      </c>
      <c r="AC11" s="18">
        <f>MAX(0,-(AC10+AC9))</f>
        <v/>
      </c>
      <c r="AD11" s="18">
        <f>MAX(0,-(AD10+AD9))</f>
        <v/>
      </c>
      <c r="AE11" s="18">
        <f>MAX(0,-(AE10+AE9))</f>
        <v/>
      </c>
      <c r="AF11" s="18">
        <f>MAX(0,-(AF10+AF9))</f>
        <v/>
      </c>
      <c r="AG11" s="18">
        <f>MAX(0,-(AG10+AG9))</f>
        <v/>
      </c>
      <c r="AH11" s="18">
        <f>MAX(0,-(AH10+AH9))</f>
        <v/>
      </c>
      <c r="AI11" s="18">
        <f>MAX(0,-(AI10+AI9))</f>
        <v/>
      </c>
      <c r="AJ11" s="18">
        <f>MAX(0,-(AJ10+AJ9))</f>
        <v/>
      </c>
      <c r="AK11" s="18">
        <f>MAX(0,-(AK10+AK9))</f>
        <v/>
      </c>
      <c r="AL11" s="18">
        <f>MAX(0,-(AL10+AL9))</f>
        <v/>
      </c>
      <c r="AM11" s="18">
        <f>MAX(0,-(AM10+AM9))</f>
        <v/>
      </c>
      <c r="AN11" s="18">
        <f>MAX(0,-(AN10+AN9))</f>
        <v/>
      </c>
      <c r="AO11" s="18">
        <f>MAX(0,-(AO10+AO9))</f>
        <v/>
      </c>
      <c r="AP11" s="18">
        <f>MAX(0,-(AP10+AP9))</f>
        <v/>
      </c>
      <c r="AQ11" s="18">
        <f>MAX(0,-(AQ10+AQ9))</f>
        <v/>
      </c>
      <c r="AR11" s="18">
        <f>MAX(0,-(AR10+AR9))</f>
        <v/>
      </c>
      <c r="AS11" s="18">
        <f>MAX(0,-(AS10+AS9))</f>
        <v/>
      </c>
      <c r="AT11" s="18">
        <f>MAX(0,-(AT10+AT9))</f>
        <v/>
      </c>
      <c r="AU11" s="18">
        <f>MAX(0,-(AU10+AU9))</f>
        <v/>
      </c>
      <c r="AV11" s="18">
        <f>MAX(0,-(AV10+AV9))</f>
        <v/>
      </c>
      <c r="AW11" s="18">
        <f>MAX(0,-(AW10+AW9))</f>
        <v/>
      </c>
      <c r="AX11" s="18">
        <f>MAX(0,-(AX10+AX9))</f>
        <v/>
      </c>
      <c r="AY11" s="18">
        <f>MAX(0,-(AY10+AY9))</f>
        <v/>
      </c>
      <c r="AZ11" s="18">
        <f>MAX(0,-(AZ10+AZ9))</f>
        <v/>
      </c>
      <c r="BA11" s="18">
        <f>MAX(0,-(BA10+BA9))</f>
        <v/>
      </c>
      <c r="BB11" s="18">
        <f>MAX(0,-(BB10+BB9))</f>
        <v/>
      </c>
      <c r="BC11" s="18">
        <f>MAX(0,-(BC10+BC9))</f>
        <v/>
      </c>
      <c r="BD11" s="18">
        <f>MAX(0,-(BD10+BD9))</f>
        <v/>
      </c>
      <c r="BE11" s="18">
        <f>MAX(0,-(BE10+BE9))</f>
        <v/>
      </c>
      <c r="BF11" s="18">
        <f>MAX(0,-(BF10+BF9))</f>
        <v/>
      </c>
      <c r="BG11" s="18">
        <f>MAX(0,-(BG10+BG9))</f>
        <v/>
      </c>
    </row>
    <row r="12">
      <c r="A12" s="3" t="inlineStr">
        <is>
          <t>Distributions to equity</t>
        </is>
      </c>
      <c r="C12" s="10" t="inlineStr">
        <is>
          <t>$</t>
        </is>
      </c>
      <c r="E12" s="18" t="n">
        <v>0</v>
      </c>
      <c r="F12" s="18">
        <f>MAX(0,F10+F9)*TM!F8</f>
        <v/>
      </c>
      <c r="G12" s="18">
        <f>MAX(0,G10+G9)*TM!G8</f>
        <v/>
      </c>
      <c r="H12" s="18">
        <f>MAX(0,H10+H9)*TM!H8</f>
        <v/>
      </c>
      <c r="I12" s="18">
        <f>MAX(0,I10+I9)*TM!I8</f>
        <v/>
      </c>
      <c r="J12" s="18">
        <f>MAX(0,J10+J9)*TM!J8</f>
        <v/>
      </c>
      <c r="K12" s="18">
        <f>MAX(0,K10+K9)*TM!K8</f>
        <v/>
      </c>
      <c r="L12" s="18">
        <f>MAX(0,L10+L9)*TM!L8</f>
        <v/>
      </c>
      <c r="M12" s="18">
        <f>MAX(0,M10+M9)*TM!M8</f>
        <v/>
      </c>
      <c r="N12" s="18">
        <f>MAX(0,N10+N9)*TM!N8</f>
        <v/>
      </c>
      <c r="O12" s="18">
        <f>MAX(0,O10+O9)*TM!O8</f>
        <v/>
      </c>
      <c r="P12" s="18">
        <f>MAX(0,P10+P9)*TM!P8</f>
        <v/>
      </c>
      <c r="Q12" s="18">
        <f>MAX(0,Q10+Q9)*TM!Q8</f>
        <v/>
      </c>
      <c r="R12" s="18">
        <f>MAX(0,R10+R9)*TM!R8</f>
        <v/>
      </c>
      <c r="S12" s="18">
        <f>MAX(0,S10+S9)*TM!S8</f>
        <v/>
      </c>
      <c r="T12" s="18">
        <f>MAX(0,T10+T9)*TM!T8</f>
        <v/>
      </c>
      <c r="U12" s="18">
        <f>MAX(0,U10+U9)*TM!U8</f>
        <v/>
      </c>
      <c r="V12" s="18">
        <f>MAX(0,V10+V9)*TM!V8</f>
        <v/>
      </c>
      <c r="W12" s="18">
        <f>MAX(0,W10+W9)*TM!W8</f>
        <v/>
      </c>
      <c r="X12" s="18">
        <f>MAX(0,X10+X9)*TM!X8</f>
        <v/>
      </c>
      <c r="Y12" s="18">
        <f>MAX(0,Y10+Y9)*TM!Y8</f>
        <v/>
      </c>
      <c r="Z12" s="18">
        <f>MAX(0,Z10+Z9)*TM!Z8</f>
        <v/>
      </c>
      <c r="AA12" s="18">
        <f>MAX(0,AA10+AA9)*TM!AA8</f>
        <v/>
      </c>
      <c r="AB12" s="18">
        <f>MAX(0,AB10+AB9)*TM!AB8</f>
        <v/>
      </c>
      <c r="AC12" s="18">
        <f>MAX(0,AC10+AC9)*TM!AC8</f>
        <v/>
      </c>
      <c r="AD12" s="18">
        <f>MAX(0,AD10+AD9)*TM!AD8</f>
        <v/>
      </c>
      <c r="AE12" s="18">
        <f>MAX(0,AE10+AE9)*TM!AE8</f>
        <v/>
      </c>
      <c r="AF12" s="18">
        <f>MAX(0,AF10+AF9)*TM!AF8</f>
        <v/>
      </c>
      <c r="AG12" s="18">
        <f>MAX(0,AG10+AG9)*TM!AG8</f>
        <v/>
      </c>
      <c r="AH12" s="18">
        <f>MAX(0,AH10+AH9)*TM!AH8</f>
        <v/>
      </c>
      <c r="AI12" s="18">
        <f>MAX(0,AI10+AI9)*TM!AI8</f>
        <v/>
      </c>
      <c r="AJ12" s="18">
        <f>MAX(0,AJ10+AJ9)*TM!AJ8</f>
        <v/>
      </c>
      <c r="AK12" s="18">
        <f>MAX(0,AK10+AK9)*TM!AK8</f>
        <v/>
      </c>
      <c r="AL12" s="18">
        <f>MAX(0,AL10+AL9)*TM!AL8</f>
        <v/>
      </c>
      <c r="AM12" s="18">
        <f>MAX(0,AM10+AM9)*TM!AM8</f>
        <v/>
      </c>
      <c r="AN12" s="18">
        <f>MAX(0,AN10+AN9)*TM!AN8</f>
        <v/>
      </c>
      <c r="AO12" s="18">
        <f>MAX(0,AO10+AO9)*TM!AO8</f>
        <v/>
      </c>
      <c r="AP12" s="18">
        <f>MAX(0,AP10+AP9)*TM!AP8</f>
        <v/>
      </c>
      <c r="AQ12" s="18">
        <f>MAX(0,AQ10+AQ9)*TM!AQ8</f>
        <v/>
      </c>
      <c r="AR12" s="18">
        <f>MAX(0,AR10+AR9)*TM!AR8</f>
        <v/>
      </c>
      <c r="AS12" s="18">
        <f>MAX(0,AS10+AS9)*TM!AS8</f>
        <v/>
      </c>
      <c r="AT12" s="18">
        <f>MAX(0,AT10+AT9)*TM!AT8</f>
        <v/>
      </c>
      <c r="AU12" s="18">
        <f>MAX(0,AU10+AU9)*TM!AU8</f>
        <v/>
      </c>
      <c r="AV12" s="18">
        <f>MAX(0,AV10+AV9)*TM!AV8</f>
        <v/>
      </c>
      <c r="AW12" s="18">
        <f>MAX(0,AW10+AW9)*TM!AW8</f>
        <v/>
      </c>
      <c r="AX12" s="18">
        <f>MAX(0,AX10+AX9)*TM!AX8</f>
        <v/>
      </c>
      <c r="AY12" s="18">
        <f>MAX(0,AY10+AY9)*TM!AY8</f>
        <v/>
      </c>
      <c r="AZ12" s="18">
        <f>MAX(0,AZ10+AZ9)*TM!AZ8</f>
        <v/>
      </c>
      <c r="BA12" s="18">
        <f>MAX(0,BA10+BA9)*TM!BA8</f>
        <v/>
      </c>
      <c r="BB12" s="18">
        <f>MAX(0,BB10+BB9)*TM!BB8</f>
        <v/>
      </c>
      <c r="BC12" s="18">
        <f>MAX(0,BC10+BC9)*TM!BC8</f>
        <v/>
      </c>
      <c r="BD12" s="18">
        <f>MAX(0,BD10+BD9)*TM!BD8</f>
        <v/>
      </c>
      <c r="BE12" s="18">
        <f>MAX(0,BE10+BE9)*TM!BE8</f>
        <v/>
      </c>
      <c r="BF12" s="18">
        <f>MAX(0,BF10+BF9)*TM!BF8</f>
        <v/>
      </c>
      <c r="BG12" s="18">
        <f>MAX(0,BG10+BG9)*TM!BG8</f>
        <v/>
      </c>
    </row>
    <row r="13">
      <c r="A13" t="inlineStr">
        <is>
          <t>Cash at bank — closing</t>
        </is>
      </c>
      <c r="C13" s="10" t="inlineStr">
        <is>
          <t>$</t>
        </is>
      </c>
      <c r="E13" s="18" t="n">
        <v>0</v>
      </c>
      <c r="F13" s="18">
        <f>F10+F9+F11-F12</f>
        <v/>
      </c>
      <c r="G13" s="18">
        <f>G10+G9+G11-G12</f>
        <v/>
      </c>
      <c r="H13" s="18">
        <f>H10+H9+H11-H12</f>
        <v/>
      </c>
      <c r="I13" s="18">
        <f>I10+I9+I11-I12</f>
        <v/>
      </c>
      <c r="J13" s="18">
        <f>J10+J9+J11-J12</f>
        <v/>
      </c>
      <c r="K13" s="18">
        <f>K10+K9+K11-K12</f>
        <v/>
      </c>
      <c r="L13" s="18">
        <f>L10+L9+L11-L12</f>
        <v/>
      </c>
      <c r="M13" s="18">
        <f>M10+M9+M11-M12</f>
        <v/>
      </c>
      <c r="N13" s="18">
        <f>N10+N9+N11-N12</f>
        <v/>
      </c>
      <c r="O13" s="18">
        <f>O10+O9+O11-O12</f>
        <v/>
      </c>
      <c r="P13" s="18">
        <f>P10+P9+P11-P12</f>
        <v/>
      </c>
      <c r="Q13" s="18">
        <f>Q10+Q9+Q11-Q12</f>
        <v/>
      </c>
      <c r="R13" s="18">
        <f>R10+R9+R11-R12</f>
        <v/>
      </c>
      <c r="S13" s="18">
        <f>S10+S9+S11-S12</f>
        <v/>
      </c>
      <c r="T13" s="18">
        <f>T10+T9+T11-T12</f>
        <v/>
      </c>
      <c r="U13" s="18">
        <f>U10+U9+U11-U12</f>
        <v/>
      </c>
      <c r="V13" s="18">
        <f>V10+V9+V11-V12</f>
        <v/>
      </c>
      <c r="W13" s="18">
        <f>W10+W9+W11-W12</f>
        <v/>
      </c>
      <c r="X13" s="18">
        <f>X10+X9+X11-X12</f>
        <v/>
      </c>
      <c r="Y13" s="18">
        <f>Y10+Y9+Y11-Y12</f>
        <v/>
      </c>
      <c r="Z13" s="18">
        <f>Z10+Z9+Z11-Z12</f>
        <v/>
      </c>
      <c r="AA13" s="18">
        <f>AA10+AA9+AA11-AA12</f>
        <v/>
      </c>
      <c r="AB13" s="18">
        <f>AB10+AB9+AB11-AB12</f>
        <v/>
      </c>
      <c r="AC13" s="18">
        <f>AC10+AC9+AC11-AC12</f>
        <v/>
      </c>
      <c r="AD13" s="18">
        <f>AD10+AD9+AD11-AD12</f>
        <v/>
      </c>
      <c r="AE13" s="18">
        <f>AE10+AE9+AE11-AE12</f>
        <v/>
      </c>
      <c r="AF13" s="18">
        <f>AF10+AF9+AF11-AF12</f>
        <v/>
      </c>
      <c r="AG13" s="18">
        <f>AG10+AG9+AG11-AG12</f>
        <v/>
      </c>
      <c r="AH13" s="18">
        <f>AH10+AH9+AH11-AH12</f>
        <v/>
      </c>
      <c r="AI13" s="18">
        <f>AI10+AI9+AI11-AI12</f>
        <v/>
      </c>
      <c r="AJ13" s="18">
        <f>AJ10+AJ9+AJ11-AJ12</f>
        <v/>
      </c>
      <c r="AK13" s="18">
        <f>AK10+AK9+AK11-AK12</f>
        <v/>
      </c>
      <c r="AL13" s="18">
        <f>AL10+AL9+AL11-AL12</f>
        <v/>
      </c>
      <c r="AM13" s="18">
        <f>AM10+AM9+AM11-AM12</f>
        <v/>
      </c>
      <c r="AN13" s="18">
        <f>AN10+AN9+AN11-AN12</f>
        <v/>
      </c>
      <c r="AO13" s="18">
        <f>AO10+AO9+AO11-AO12</f>
        <v/>
      </c>
      <c r="AP13" s="18">
        <f>AP10+AP9+AP11-AP12</f>
        <v/>
      </c>
      <c r="AQ13" s="18">
        <f>AQ10+AQ9+AQ11-AQ12</f>
        <v/>
      </c>
      <c r="AR13" s="18">
        <f>AR10+AR9+AR11-AR12</f>
        <v/>
      </c>
      <c r="AS13" s="18">
        <f>AS10+AS9+AS11-AS12</f>
        <v/>
      </c>
      <c r="AT13" s="18">
        <f>AT10+AT9+AT11-AT12</f>
        <v/>
      </c>
      <c r="AU13" s="18">
        <f>AU10+AU9+AU11-AU12</f>
        <v/>
      </c>
      <c r="AV13" s="18">
        <f>AV10+AV9+AV11-AV12</f>
        <v/>
      </c>
      <c r="AW13" s="18">
        <f>AW10+AW9+AW11-AW12</f>
        <v/>
      </c>
      <c r="AX13" s="18">
        <f>AX10+AX9+AX11-AX12</f>
        <v/>
      </c>
      <c r="AY13" s="18">
        <f>AY10+AY9+AY11-AY12</f>
        <v/>
      </c>
      <c r="AZ13" s="18">
        <f>AZ10+AZ9+AZ11-AZ12</f>
        <v/>
      </c>
      <c r="BA13" s="18">
        <f>BA10+BA9+BA11-BA12</f>
        <v/>
      </c>
      <c r="BB13" s="18">
        <f>BB10+BB9+BB11-BB12</f>
        <v/>
      </c>
      <c r="BC13" s="18">
        <f>BC10+BC9+BC11-BC12</f>
        <v/>
      </c>
      <c r="BD13" s="18">
        <f>BD10+BD9+BD11-BD12</f>
        <v/>
      </c>
      <c r="BE13" s="18">
        <f>BE10+BE9+BE11-BE12</f>
        <v/>
      </c>
      <c r="BF13" s="18">
        <f>BF10+BF9+BF11-BF12</f>
        <v/>
      </c>
      <c r="BG13" s="18">
        <f>BG10+BG9+BG11-BG12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G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COVER RATIOS  —  DSCR, LLCR, PLCR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DSCR (period)</t>
        </is>
      </c>
      <c r="C3" s="10" t="inlineStr">
        <is>
          <t>x</t>
        </is>
      </c>
      <c r="E3" s="20" t="inlineStr"/>
      <c r="F3" s="20">
        <f>DB!F8</f>
        <v/>
      </c>
      <c r="G3" s="20">
        <f>DB!G8</f>
        <v/>
      </c>
      <c r="H3" s="20">
        <f>DB!H8</f>
        <v/>
      </c>
      <c r="I3" s="20">
        <f>DB!I8</f>
        <v/>
      </c>
      <c r="J3" s="20">
        <f>DB!J8</f>
        <v/>
      </c>
      <c r="K3" s="20">
        <f>DB!K8</f>
        <v/>
      </c>
      <c r="L3" s="20">
        <f>DB!L8</f>
        <v/>
      </c>
      <c r="M3" s="20">
        <f>DB!M8</f>
        <v/>
      </c>
      <c r="N3" s="20">
        <f>DB!N8</f>
        <v/>
      </c>
      <c r="O3" s="20">
        <f>DB!O8</f>
        <v/>
      </c>
      <c r="P3" s="20">
        <f>DB!P8</f>
        <v/>
      </c>
      <c r="Q3" s="20">
        <f>DB!Q8</f>
        <v/>
      </c>
      <c r="R3" s="20">
        <f>DB!R8</f>
        <v/>
      </c>
      <c r="S3" s="20">
        <f>DB!S8</f>
        <v/>
      </c>
      <c r="T3" s="20">
        <f>DB!T8</f>
        <v/>
      </c>
      <c r="U3" s="20">
        <f>DB!U8</f>
        <v/>
      </c>
      <c r="V3" s="20">
        <f>DB!V8</f>
        <v/>
      </c>
      <c r="W3" s="20">
        <f>DB!W8</f>
        <v/>
      </c>
      <c r="X3" s="20">
        <f>DB!X8</f>
        <v/>
      </c>
      <c r="Y3" s="20">
        <f>DB!Y8</f>
        <v/>
      </c>
      <c r="Z3" s="20">
        <f>DB!Z8</f>
        <v/>
      </c>
      <c r="AA3" s="20">
        <f>DB!AA8</f>
        <v/>
      </c>
      <c r="AB3" s="20">
        <f>DB!AB8</f>
        <v/>
      </c>
      <c r="AC3" s="20">
        <f>DB!AC8</f>
        <v/>
      </c>
      <c r="AD3" s="20">
        <f>DB!AD8</f>
        <v/>
      </c>
      <c r="AE3" s="20">
        <f>DB!AE8</f>
        <v/>
      </c>
      <c r="AF3" s="20">
        <f>DB!AF8</f>
        <v/>
      </c>
      <c r="AG3" s="20">
        <f>DB!AG8</f>
        <v/>
      </c>
      <c r="AH3" s="20">
        <f>DB!AH8</f>
        <v/>
      </c>
      <c r="AI3" s="20">
        <f>DB!AI8</f>
        <v/>
      </c>
      <c r="AJ3" s="20">
        <f>DB!AJ8</f>
        <v/>
      </c>
      <c r="AK3" s="20">
        <f>DB!AK8</f>
        <v/>
      </c>
      <c r="AL3" s="20">
        <f>DB!AL8</f>
        <v/>
      </c>
      <c r="AM3" s="20">
        <f>DB!AM8</f>
        <v/>
      </c>
      <c r="AN3" s="20">
        <f>DB!AN8</f>
        <v/>
      </c>
      <c r="AO3" s="20">
        <f>DB!AO8</f>
        <v/>
      </c>
      <c r="AP3" s="20">
        <f>DB!AP8</f>
        <v/>
      </c>
      <c r="AQ3" s="20">
        <f>DB!AQ8</f>
        <v/>
      </c>
      <c r="AR3" s="20">
        <f>DB!AR8</f>
        <v/>
      </c>
      <c r="AS3" s="20">
        <f>DB!AS8</f>
        <v/>
      </c>
      <c r="AT3" s="20">
        <f>DB!AT8</f>
        <v/>
      </c>
      <c r="AU3" s="20">
        <f>DB!AU8</f>
        <v/>
      </c>
      <c r="AV3" s="20">
        <f>DB!AV8</f>
        <v/>
      </c>
      <c r="AW3" s="20">
        <f>DB!AW8</f>
        <v/>
      </c>
      <c r="AX3" s="20">
        <f>DB!AX8</f>
        <v/>
      </c>
      <c r="AY3" s="20">
        <f>DB!AY8</f>
        <v/>
      </c>
      <c r="AZ3" s="20">
        <f>DB!AZ8</f>
        <v/>
      </c>
      <c r="BA3" s="20">
        <f>DB!BA8</f>
        <v/>
      </c>
      <c r="BB3" s="20">
        <f>DB!BB8</f>
        <v/>
      </c>
      <c r="BC3" s="20">
        <f>DB!BC8</f>
        <v/>
      </c>
      <c r="BD3" s="20">
        <f>DB!BD8</f>
        <v/>
      </c>
      <c r="BE3" s="20">
        <f>DB!BE8</f>
        <v/>
      </c>
      <c r="BF3" s="20">
        <f>DB!BF8</f>
        <v/>
      </c>
      <c r="BG3" s="20">
        <f>DB!BG8</f>
        <v/>
      </c>
    </row>
    <row r="4">
      <c r="A4" t="inlineStr">
        <is>
          <t>NPV of remaining CFADS to tenor end</t>
        </is>
      </c>
      <c r="C4" s="10" t="inlineStr">
        <is>
          <t>$</t>
        </is>
      </c>
      <c r="E4" s="18" t="n">
        <v>0</v>
      </c>
      <c r="F4" s="18">
        <f>SUMPRODUCT((TM!$F$3:$BG$3&gt;=TM!F3)*TM!$F$9:$BG$9*CF!$F$7:$BG$7/(1+TM!F15)^(TM!$F$3:$BG$3-TM!F3+1))</f>
        <v/>
      </c>
      <c r="G4" s="18">
        <f>SUMPRODUCT((TM!$F$3:$BG$3&gt;=TM!G3)*TM!$F$9:$BG$9*CF!$F$7:$BG$7/(1+TM!G15)^(TM!$F$3:$BG$3-TM!G3+1))</f>
        <v/>
      </c>
      <c r="H4" s="18">
        <f>SUMPRODUCT((TM!$F$3:$BG$3&gt;=TM!H3)*TM!$F$9:$BG$9*CF!$F$7:$BG$7/(1+TM!H15)^(TM!$F$3:$BG$3-TM!H3+1))</f>
        <v/>
      </c>
      <c r="I4" s="18">
        <f>SUMPRODUCT((TM!$F$3:$BG$3&gt;=TM!I3)*TM!$F$9:$BG$9*CF!$F$7:$BG$7/(1+TM!I15)^(TM!$F$3:$BG$3-TM!I3+1))</f>
        <v/>
      </c>
      <c r="J4" s="18">
        <f>SUMPRODUCT((TM!$F$3:$BG$3&gt;=TM!J3)*TM!$F$9:$BG$9*CF!$F$7:$BG$7/(1+TM!J15)^(TM!$F$3:$BG$3-TM!J3+1))</f>
        <v/>
      </c>
      <c r="K4" s="18">
        <f>SUMPRODUCT((TM!$F$3:$BG$3&gt;=TM!K3)*TM!$F$9:$BG$9*CF!$F$7:$BG$7/(1+TM!K15)^(TM!$F$3:$BG$3-TM!K3+1))</f>
        <v/>
      </c>
      <c r="L4" s="18">
        <f>SUMPRODUCT((TM!$F$3:$BG$3&gt;=TM!L3)*TM!$F$9:$BG$9*CF!$F$7:$BG$7/(1+TM!L15)^(TM!$F$3:$BG$3-TM!L3+1))</f>
        <v/>
      </c>
      <c r="M4" s="18">
        <f>SUMPRODUCT((TM!$F$3:$BG$3&gt;=TM!M3)*TM!$F$9:$BG$9*CF!$F$7:$BG$7/(1+TM!M15)^(TM!$F$3:$BG$3-TM!M3+1))</f>
        <v/>
      </c>
      <c r="N4" s="18">
        <f>SUMPRODUCT((TM!$F$3:$BG$3&gt;=TM!N3)*TM!$F$9:$BG$9*CF!$F$7:$BG$7/(1+TM!N15)^(TM!$F$3:$BG$3-TM!N3+1))</f>
        <v/>
      </c>
      <c r="O4" s="18">
        <f>SUMPRODUCT((TM!$F$3:$BG$3&gt;=TM!O3)*TM!$F$9:$BG$9*CF!$F$7:$BG$7/(1+TM!O15)^(TM!$F$3:$BG$3-TM!O3+1))</f>
        <v/>
      </c>
      <c r="P4" s="18">
        <f>SUMPRODUCT((TM!$F$3:$BG$3&gt;=TM!P3)*TM!$F$9:$BG$9*CF!$F$7:$BG$7/(1+TM!P15)^(TM!$F$3:$BG$3-TM!P3+1))</f>
        <v/>
      </c>
      <c r="Q4" s="18">
        <f>SUMPRODUCT((TM!$F$3:$BG$3&gt;=TM!Q3)*TM!$F$9:$BG$9*CF!$F$7:$BG$7/(1+TM!Q15)^(TM!$F$3:$BG$3-TM!Q3+1))</f>
        <v/>
      </c>
      <c r="R4" s="18">
        <f>SUMPRODUCT((TM!$F$3:$BG$3&gt;=TM!R3)*TM!$F$9:$BG$9*CF!$F$7:$BG$7/(1+TM!R15)^(TM!$F$3:$BG$3-TM!R3+1))</f>
        <v/>
      </c>
      <c r="S4" s="18">
        <f>SUMPRODUCT((TM!$F$3:$BG$3&gt;=TM!S3)*TM!$F$9:$BG$9*CF!$F$7:$BG$7/(1+TM!S15)^(TM!$F$3:$BG$3-TM!S3+1))</f>
        <v/>
      </c>
      <c r="T4" s="18">
        <f>SUMPRODUCT((TM!$F$3:$BG$3&gt;=TM!T3)*TM!$F$9:$BG$9*CF!$F$7:$BG$7/(1+TM!T15)^(TM!$F$3:$BG$3-TM!T3+1))</f>
        <v/>
      </c>
      <c r="U4" s="18">
        <f>SUMPRODUCT((TM!$F$3:$BG$3&gt;=TM!U3)*TM!$F$9:$BG$9*CF!$F$7:$BG$7/(1+TM!U15)^(TM!$F$3:$BG$3-TM!U3+1))</f>
        <v/>
      </c>
      <c r="V4" s="18">
        <f>SUMPRODUCT((TM!$F$3:$BG$3&gt;=TM!V3)*TM!$F$9:$BG$9*CF!$F$7:$BG$7/(1+TM!V15)^(TM!$F$3:$BG$3-TM!V3+1))</f>
        <v/>
      </c>
      <c r="W4" s="18">
        <f>SUMPRODUCT((TM!$F$3:$BG$3&gt;=TM!W3)*TM!$F$9:$BG$9*CF!$F$7:$BG$7/(1+TM!W15)^(TM!$F$3:$BG$3-TM!W3+1))</f>
        <v/>
      </c>
      <c r="X4" s="18">
        <f>SUMPRODUCT((TM!$F$3:$BG$3&gt;=TM!X3)*TM!$F$9:$BG$9*CF!$F$7:$BG$7/(1+TM!X15)^(TM!$F$3:$BG$3-TM!X3+1))</f>
        <v/>
      </c>
      <c r="Y4" s="18">
        <f>SUMPRODUCT((TM!$F$3:$BG$3&gt;=TM!Y3)*TM!$F$9:$BG$9*CF!$F$7:$BG$7/(1+TM!Y15)^(TM!$F$3:$BG$3-TM!Y3+1))</f>
        <v/>
      </c>
      <c r="Z4" s="18">
        <f>SUMPRODUCT((TM!$F$3:$BG$3&gt;=TM!Z3)*TM!$F$9:$BG$9*CF!$F$7:$BG$7/(1+TM!Z15)^(TM!$F$3:$BG$3-TM!Z3+1))</f>
        <v/>
      </c>
      <c r="AA4" s="18">
        <f>SUMPRODUCT((TM!$F$3:$BG$3&gt;=TM!AA3)*TM!$F$9:$BG$9*CF!$F$7:$BG$7/(1+TM!AA15)^(TM!$F$3:$BG$3-TM!AA3+1))</f>
        <v/>
      </c>
      <c r="AB4" s="18">
        <f>SUMPRODUCT((TM!$F$3:$BG$3&gt;=TM!AB3)*TM!$F$9:$BG$9*CF!$F$7:$BG$7/(1+TM!AB15)^(TM!$F$3:$BG$3-TM!AB3+1))</f>
        <v/>
      </c>
      <c r="AC4" s="18">
        <f>SUMPRODUCT((TM!$F$3:$BG$3&gt;=TM!AC3)*TM!$F$9:$BG$9*CF!$F$7:$BG$7/(1+TM!AC15)^(TM!$F$3:$BG$3-TM!AC3+1))</f>
        <v/>
      </c>
      <c r="AD4" s="18">
        <f>SUMPRODUCT((TM!$F$3:$BG$3&gt;=TM!AD3)*TM!$F$9:$BG$9*CF!$F$7:$BG$7/(1+TM!AD15)^(TM!$F$3:$BG$3-TM!AD3+1))</f>
        <v/>
      </c>
      <c r="AE4" s="18">
        <f>SUMPRODUCT((TM!$F$3:$BG$3&gt;=TM!AE3)*TM!$F$9:$BG$9*CF!$F$7:$BG$7/(1+TM!AE15)^(TM!$F$3:$BG$3-TM!AE3+1))</f>
        <v/>
      </c>
      <c r="AF4" s="18">
        <f>SUMPRODUCT((TM!$F$3:$BG$3&gt;=TM!AF3)*TM!$F$9:$BG$9*CF!$F$7:$BG$7/(1+TM!AF15)^(TM!$F$3:$BG$3-TM!AF3+1))</f>
        <v/>
      </c>
      <c r="AG4" s="18">
        <f>SUMPRODUCT((TM!$F$3:$BG$3&gt;=TM!AG3)*TM!$F$9:$BG$9*CF!$F$7:$BG$7/(1+TM!AG15)^(TM!$F$3:$BG$3-TM!AG3+1))</f>
        <v/>
      </c>
      <c r="AH4" s="18">
        <f>SUMPRODUCT((TM!$F$3:$BG$3&gt;=TM!AH3)*TM!$F$9:$BG$9*CF!$F$7:$BG$7/(1+TM!AH15)^(TM!$F$3:$BG$3-TM!AH3+1))</f>
        <v/>
      </c>
      <c r="AI4" s="18">
        <f>SUMPRODUCT((TM!$F$3:$BG$3&gt;=TM!AI3)*TM!$F$9:$BG$9*CF!$F$7:$BG$7/(1+TM!AI15)^(TM!$F$3:$BG$3-TM!AI3+1))</f>
        <v/>
      </c>
      <c r="AJ4" s="18">
        <f>SUMPRODUCT((TM!$F$3:$BG$3&gt;=TM!AJ3)*TM!$F$9:$BG$9*CF!$F$7:$BG$7/(1+TM!AJ15)^(TM!$F$3:$BG$3-TM!AJ3+1))</f>
        <v/>
      </c>
      <c r="AK4" s="18">
        <f>SUMPRODUCT((TM!$F$3:$BG$3&gt;=TM!AK3)*TM!$F$9:$BG$9*CF!$F$7:$BG$7/(1+TM!AK15)^(TM!$F$3:$BG$3-TM!AK3+1))</f>
        <v/>
      </c>
      <c r="AL4" s="18">
        <f>SUMPRODUCT((TM!$F$3:$BG$3&gt;=TM!AL3)*TM!$F$9:$BG$9*CF!$F$7:$BG$7/(1+TM!AL15)^(TM!$F$3:$BG$3-TM!AL3+1))</f>
        <v/>
      </c>
      <c r="AM4" s="18">
        <f>SUMPRODUCT((TM!$F$3:$BG$3&gt;=TM!AM3)*TM!$F$9:$BG$9*CF!$F$7:$BG$7/(1+TM!AM15)^(TM!$F$3:$BG$3-TM!AM3+1))</f>
        <v/>
      </c>
      <c r="AN4" s="18">
        <f>SUMPRODUCT((TM!$F$3:$BG$3&gt;=TM!AN3)*TM!$F$9:$BG$9*CF!$F$7:$BG$7/(1+TM!AN15)^(TM!$F$3:$BG$3-TM!AN3+1))</f>
        <v/>
      </c>
      <c r="AO4" s="18">
        <f>SUMPRODUCT((TM!$F$3:$BG$3&gt;=TM!AO3)*TM!$F$9:$BG$9*CF!$F$7:$BG$7/(1+TM!AO15)^(TM!$F$3:$BG$3-TM!AO3+1))</f>
        <v/>
      </c>
      <c r="AP4" s="18">
        <f>SUMPRODUCT((TM!$F$3:$BG$3&gt;=TM!AP3)*TM!$F$9:$BG$9*CF!$F$7:$BG$7/(1+TM!AP15)^(TM!$F$3:$BG$3-TM!AP3+1))</f>
        <v/>
      </c>
      <c r="AQ4" s="18">
        <f>SUMPRODUCT((TM!$F$3:$BG$3&gt;=TM!AQ3)*TM!$F$9:$BG$9*CF!$F$7:$BG$7/(1+TM!AQ15)^(TM!$F$3:$BG$3-TM!AQ3+1))</f>
        <v/>
      </c>
      <c r="AR4" s="18">
        <f>SUMPRODUCT((TM!$F$3:$BG$3&gt;=TM!AR3)*TM!$F$9:$BG$9*CF!$F$7:$BG$7/(1+TM!AR15)^(TM!$F$3:$BG$3-TM!AR3+1))</f>
        <v/>
      </c>
      <c r="AS4" s="18">
        <f>SUMPRODUCT((TM!$F$3:$BG$3&gt;=TM!AS3)*TM!$F$9:$BG$9*CF!$F$7:$BG$7/(1+TM!AS15)^(TM!$F$3:$BG$3-TM!AS3+1))</f>
        <v/>
      </c>
      <c r="AT4" s="18">
        <f>SUMPRODUCT((TM!$F$3:$BG$3&gt;=TM!AT3)*TM!$F$9:$BG$9*CF!$F$7:$BG$7/(1+TM!AT15)^(TM!$F$3:$BG$3-TM!AT3+1))</f>
        <v/>
      </c>
      <c r="AU4" s="18">
        <f>SUMPRODUCT((TM!$F$3:$BG$3&gt;=TM!AU3)*TM!$F$9:$BG$9*CF!$F$7:$BG$7/(1+TM!AU15)^(TM!$F$3:$BG$3-TM!AU3+1))</f>
        <v/>
      </c>
      <c r="AV4" s="18">
        <f>SUMPRODUCT((TM!$F$3:$BG$3&gt;=TM!AV3)*TM!$F$9:$BG$9*CF!$F$7:$BG$7/(1+TM!AV15)^(TM!$F$3:$BG$3-TM!AV3+1))</f>
        <v/>
      </c>
      <c r="AW4" s="18">
        <f>SUMPRODUCT((TM!$F$3:$BG$3&gt;=TM!AW3)*TM!$F$9:$BG$9*CF!$F$7:$BG$7/(1+TM!AW15)^(TM!$F$3:$BG$3-TM!AW3+1))</f>
        <v/>
      </c>
      <c r="AX4" s="18">
        <f>SUMPRODUCT((TM!$F$3:$BG$3&gt;=TM!AX3)*TM!$F$9:$BG$9*CF!$F$7:$BG$7/(1+TM!AX15)^(TM!$F$3:$BG$3-TM!AX3+1))</f>
        <v/>
      </c>
      <c r="AY4" s="18">
        <f>SUMPRODUCT((TM!$F$3:$BG$3&gt;=TM!AY3)*TM!$F$9:$BG$9*CF!$F$7:$BG$7/(1+TM!AY15)^(TM!$F$3:$BG$3-TM!AY3+1))</f>
        <v/>
      </c>
      <c r="AZ4" s="18">
        <f>SUMPRODUCT((TM!$F$3:$BG$3&gt;=TM!AZ3)*TM!$F$9:$BG$9*CF!$F$7:$BG$7/(1+TM!AZ15)^(TM!$F$3:$BG$3-TM!AZ3+1))</f>
        <v/>
      </c>
      <c r="BA4" s="18">
        <f>SUMPRODUCT((TM!$F$3:$BG$3&gt;=TM!BA3)*TM!$F$9:$BG$9*CF!$F$7:$BG$7/(1+TM!BA15)^(TM!$F$3:$BG$3-TM!BA3+1))</f>
        <v/>
      </c>
      <c r="BB4" s="18">
        <f>SUMPRODUCT((TM!$F$3:$BG$3&gt;=TM!BB3)*TM!$F$9:$BG$9*CF!$F$7:$BG$7/(1+TM!BB15)^(TM!$F$3:$BG$3-TM!BB3+1))</f>
        <v/>
      </c>
      <c r="BC4" s="18">
        <f>SUMPRODUCT((TM!$F$3:$BG$3&gt;=TM!BC3)*TM!$F$9:$BG$9*CF!$F$7:$BG$7/(1+TM!BC15)^(TM!$F$3:$BG$3-TM!BC3+1))</f>
        <v/>
      </c>
      <c r="BD4" s="18">
        <f>SUMPRODUCT((TM!$F$3:$BG$3&gt;=TM!BD3)*TM!$F$9:$BG$9*CF!$F$7:$BG$7/(1+TM!BD15)^(TM!$F$3:$BG$3-TM!BD3+1))</f>
        <v/>
      </c>
      <c r="BE4" s="18">
        <f>SUMPRODUCT((TM!$F$3:$BG$3&gt;=TM!BE3)*TM!$F$9:$BG$9*CF!$F$7:$BG$7/(1+TM!BE15)^(TM!$F$3:$BG$3-TM!BE3+1))</f>
        <v/>
      </c>
      <c r="BF4" s="18">
        <f>SUMPRODUCT((TM!$F$3:$BG$3&gt;=TM!BF3)*TM!$F$9:$BG$9*CF!$F$7:$BG$7/(1+TM!BF15)^(TM!$F$3:$BG$3-TM!BF3+1))</f>
        <v/>
      </c>
      <c r="BG4" s="18">
        <f>SUMPRODUCT((TM!$F$3:$BG$3&gt;=TM!BG3)*TM!$F$9:$BG$9*CF!$F$7:$BG$7/(1+TM!BG15)^(TM!$F$3:$BG$3-TM!BG3+1))</f>
        <v/>
      </c>
    </row>
    <row r="5">
      <c r="A5" t="inlineStr">
        <is>
          <t>LLCR</t>
        </is>
      </c>
      <c r="C5" s="10" t="inlineStr">
        <is>
          <t>x</t>
        </is>
      </c>
      <c r="E5" s="20" t="inlineStr"/>
      <c r="F5" s="20">
        <f>IF(DB!F3=0,"",F4/DB!F3)</f>
        <v/>
      </c>
      <c r="G5" s="20">
        <f>IF(DB!G3=0,"",G4/DB!G3)</f>
        <v/>
      </c>
      <c r="H5" s="20">
        <f>IF(DB!H3=0,"",H4/DB!H3)</f>
        <v/>
      </c>
      <c r="I5" s="20">
        <f>IF(DB!I3=0,"",I4/DB!I3)</f>
        <v/>
      </c>
      <c r="J5" s="20">
        <f>IF(DB!J3=0,"",J4/DB!J3)</f>
        <v/>
      </c>
      <c r="K5" s="20">
        <f>IF(DB!K3=0,"",K4/DB!K3)</f>
        <v/>
      </c>
      <c r="L5" s="20">
        <f>IF(DB!L3=0,"",L4/DB!L3)</f>
        <v/>
      </c>
      <c r="M5" s="20">
        <f>IF(DB!M3=0,"",M4/DB!M3)</f>
        <v/>
      </c>
      <c r="N5" s="20">
        <f>IF(DB!N3=0,"",N4/DB!N3)</f>
        <v/>
      </c>
      <c r="O5" s="20">
        <f>IF(DB!O3=0,"",O4/DB!O3)</f>
        <v/>
      </c>
      <c r="P5" s="20">
        <f>IF(DB!P3=0,"",P4/DB!P3)</f>
        <v/>
      </c>
      <c r="Q5" s="20">
        <f>IF(DB!Q3=0,"",Q4/DB!Q3)</f>
        <v/>
      </c>
      <c r="R5" s="20">
        <f>IF(DB!R3=0,"",R4/DB!R3)</f>
        <v/>
      </c>
      <c r="S5" s="20">
        <f>IF(DB!S3=0,"",S4/DB!S3)</f>
        <v/>
      </c>
      <c r="T5" s="20">
        <f>IF(DB!T3=0,"",T4/DB!T3)</f>
        <v/>
      </c>
      <c r="U5" s="20">
        <f>IF(DB!U3=0,"",U4/DB!U3)</f>
        <v/>
      </c>
      <c r="V5" s="20">
        <f>IF(DB!V3=0,"",V4/DB!V3)</f>
        <v/>
      </c>
      <c r="W5" s="20">
        <f>IF(DB!W3=0,"",W4/DB!W3)</f>
        <v/>
      </c>
      <c r="X5" s="20">
        <f>IF(DB!X3=0,"",X4/DB!X3)</f>
        <v/>
      </c>
      <c r="Y5" s="20">
        <f>IF(DB!Y3=0,"",Y4/DB!Y3)</f>
        <v/>
      </c>
      <c r="Z5" s="20">
        <f>IF(DB!Z3=0,"",Z4/DB!Z3)</f>
        <v/>
      </c>
      <c r="AA5" s="20">
        <f>IF(DB!AA3=0,"",AA4/DB!AA3)</f>
        <v/>
      </c>
      <c r="AB5" s="20">
        <f>IF(DB!AB3=0,"",AB4/DB!AB3)</f>
        <v/>
      </c>
      <c r="AC5" s="20">
        <f>IF(DB!AC3=0,"",AC4/DB!AC3)</f>
        <v/>
      </c>
      <c r="AD5" s="20">
        <f>IF(DB!AD3=0,"",AD4/DB!AD3)</f>
        <v/>
      </c>
      <c r="AE5" s="20">
        <f>IF(DB!AE3=0,"",AE4/DB!AE3)</f>
        <v/>
      </c>
      <c r="AF5" s="20">
        <f>IF(DB!AF3=0,"",AF4/DB!AF3)</f>
        <v/>
      </c>
      <c r="AG5" s="20">
        <f>IF(DB!AG3=0,"",AG4/DB!AG3)</f>
        <v/>
      </c>
      <c r="AH5" s="20">
        <f>IF(DB!AH3=0,"",AH4/DB!AH3)</f>
        <v/>
      </c>
      <c r="AI5" s="20">
        <f>IF(DB!AI3=0,"",AI4/DB!AI3)</f>
        <v/>
      </c>
      <c r="AJ5" s="20">
        <f>IF(DB!AJ3=0,"",AJ4/DB!AJ3)</f>
        <v/>
      </c>
      <c r="AK5" s="20">
        <f>IF(DB!AK3=0,"",AK4/DB!AK3)</f>
        <v/>
      </c>
      <c r="AL5" s="20">
        <f>IF(DB!AL3=0,"",AL4/DB!AL3)</f>
        <v/>
      </c>
      <c r="AM5" s="20">
        <f>IF(DB!AM3=0,"",AM4/DB!AM3)</f>
        <v/>
      </c>
      <c r="AN5" s="20">
        <f>IF(DB!AN3=0,"",AN4/DB!AN3)</f>
        <v/>
      </c>
      <c r="AO5" s="20">
        <f>IF(DB!AO3=0,"",AO4/DB!AO3)</f>
        <v/>
      </c>
      <c r="AP5" s="20">
        <f>IF(DB!AP3=0,"",AP4/DB!AP3)</f>
        <v/>
      </c>
      <c r="AQ5" s="20">
        <f>IF(DB!AQ3=0,"",AQ4/DB!AQ3)</f>
        <v/>
      </c>
      <c r="AR5" s="20">
        <f>IF(DB!AR3=0,"",AR4/DB!AR3)</f>
        <v/>
      </c>
      <c r="AS5" s="20">
        <f>IF(DB!AS3=0,"",AS4/DB!AS3)</f>
        <v/>
      </c>
      <c r="AT5" s="20">
        <f>IF(DB!AT3=0,"",AT4/DB!AT3)</f>
        <v/>
      </c>
      <c r="AU5" s="20">
        <f>IF(DB!AU3=0,"",AU4/DB!AU3)</f>
        <v/>
      </c>
      <c r="AV5" s="20">
        <f>IF(DB!AV3=0,"",AV4/DB!AV3)</f>
        <v/>
      </c>
      <c r="AW5" s="20">
        <f>IF(DB!AW3=0,"",AW4/DB!AW3)</f>
        <v/>
      </c>
      <c r="AX5" s="20">
        <f>IF(DB!AX3=0,"",AX4/DB!AX3)</f>
        <v/>
      </c>
      <c r="AY5" s="20">
        <f>IF(DB!AY3=0,"",AY4/DB!AY3)</f>
        <v/>
      </c>
      <c r="AZ5" s="20">
        <f>IF(DB!AZ3=0,"",AZ4/DB!AZ3)</f>
        <v/>
      </c>
      <c r="BA5" s="20">
        <f>IF(DB!BA3=0,"",BA4/DB!BA3)</f>
        <v/>
      </c>
      <c r="BB5" s="20">
        <f>IF(DB!BB3=0,"",BB4/DB!BB3)</f>
        <v/>
      </c>
      <c r="BC5" s="20">
        <f>IF(DB!BC3=0,"",BC4/DB!BC3)</f>
        <v/>
      </c>
      <c r="BD5" s="20">
        <f>IF(DB!BD3=0,"",BD4/DB!BD3)</f>
        <v/>
      </c>
      <c r="BE5" s="20">
        <f>IF(DB!BE3=0,"",BE4/DB!BE3)</f>
        <v/>
      </c>
      <c r="BF5" s="20">
        <f>IF(DB!BF3=0,"",BF4/DB!BF3)</f>
        <v/>
      </c>
      <c r="BG5" s="20">
        <f>IF(DB!BG3=0,"",BG4/DB!BG3)</f>
        <v/>
      </c>
    </row>
    <row r="6">
      <c r="A6" t="inlineStr">
        <is>
          <t>NPV of remaining CFADS to project end</t>
        </is>
      </c>
      <c r="C6" s="10" t="inlineStr">
        <is>
          <t>$</t>
        </is>
      </c>
      <c r="E6" s="18" t="n">
        <v>0</v>
      </c>
      <c r="F6" s="18">
        <f>SUMPRODUCT((TM!$F$3:$BG$3&gt;=TM!F3)*TM!$F$8:$BG$8*CF!$F$7:$BG$7/(1+TM!F15)^(TM!$F$3:$BG$3-TM!F3+1))</f>
        <v/>
      </c>
      <c r="G6" s="18">
        <f>SUMPRODUCT((TM!$F$3:$BG$3&gt;=TM!G3)*TM!$F$8:$BG$8*CF!$F$7:$BG$7/(1+TM!G15)^(TM!$F$3:$BG$3-TM!G3+1))</f>
        <v/>
      </c>
      <c r="H6" s="18">
        <f>SUMPRODUCT((TM!$F$3:$BG$3&gt;=TM!H3)*TM!$F$8:$BG$8*CF!$F$7:$BG$7/(1+TM!H15)^(TM!$F$3:$BG$3-TM!H3+1))</f>
        <v/>
      </c>
      <c r="I6" s="18">
        <f>SUMPRODUCT((TM!$F$3:$BG$3&gt;=TM!I3)*TM!$F$8:$BG$8*CF!$F$7:$BG$7/(1+TM!I15)^(TM!$F$3:$BG$3-TM!I3+1))</f>
        <v/>
      </c>
      <c r="J6" s="18">
        <f>SUMPRODUCT((TM!$F$3:$BG$3&gt;=TM!J3)*TM!$F$8:$BG$8*CF!$F$7:$BG$7/(1+TM!J15)^(TM!$F$3:$BG$3-TM!J3+1))</f>
        <v/>
      </c>
      <c r="K6" s="18">
        <f>SUMPRODUCT((TM!$F$3:$BG$3&gt;=TM!K3)*TM!$F$8:$BG$8*CF!$F$7:$BG$7/(1+TM!K15)^(TM!$F$3:$BG$3-TM!K3+1))</f>
        <v/>
      </c>
      <c r="L6" s="18">
        <f>SUMPRODUCT((TM!$F$3:$BG$3&gt;=TM!L3)*TM!$F$8:$BG$8*CF!$F$7:$BG$7/(1+TM!L15)^(TM!$F$3:$BG$3-TM!L3+1))</f>
        <v/>
      </c>
      <c r="M6" s="18">
        <f>SUMPRODUCT((TM!$F$3:$BG$3&gt;=TM!M3)*TM!$F$8:$BG$8*CF!$F$7:$BG$7/(1+TM!M15)^(TM!$F$3:$BG$3-TM!M3+1))</f>
        <v/>
      </c>
      <c r="N6" s="18">
        <f>SUMPRODUCT((TM!$F$3:$BG$3&gt;=TM!N3)*TM!$F$8:$BG$8*CF!$F$7:$BG$7/(1+TM!N15)^(TM!$F$3:$BG$3-TM!N3+1))</f>
        <v/>
      </c>
      <c r="O6" s="18">
        <f>SUMPRODUCT((TM!$F$3:$BG$3&gt;=TM!O3)*TM!$F$8:$BG$8*CF!$F$7:$BG$7/(1+TM!O15)^(TM!$F$3:$BG$3-TM!O3+1))</f>
        <v/>
      </c>
      <c r="P6" s="18">
        <f>SUMPRODUCT((TM!$F$3:$BG$3&gt;=TM!P3)*TM!$F$8:$BG$8*CF!$F$7:$BG$7/(1+TM!P15)^(TM!$F$3:$BG$3-TM!P3+1))</f>
        <v/>
      </c>
      <c r="Q6" s="18">
        <f>SUMPRODUCT((TM!$F$3:$BG$3&gt;=TM!Q3)*TM!$F$8:$BG$8*CF!$F$7:$BG$7/(1+TM!Q15)^(TM!$F$3:$BG$3-TM!Q3+1))</f>
        <v/>
      </c>
      <c r="R6" s="18">
        <f>SUMPRODUCT((TM!$F$3:$BG$3&gt;=TM!R3)*TM!$F$8:$BG$8*CF!$F$7:$BG$7/(1+TM!R15)^(TM!$F$3:$BG$3-TM!R3+1))</f>
        <v/>
      </c>
      <c r="S6" s="18">
        <f>SUMPRODUCT((TM!$F$3:$BG$3&gt;=TM!S3)*TM!$F$8:$BG$8*CF!$F$7:$BG$7/(1+TM!S15)^(TM!$F$3:$BG$3-TM!S3+1))</f>
        <v/>
      </c>
      <c r="T6" s="18">
        <f>SUMPRODUCT((TM!$F$3:$BG$3&gt;=TM!T3)*TM!$F$8:$BG$8*CF!$F$7:$BG$7/(1+TM!T15)^(TM!$F$3:$BG$3-TM!T3+1))</f>
        <v/>
      </c>
      <c r="U6" s="18">
        <f>SUMPRODUCT((TM!$F$3:$BG$3&gt;=TM!U3)*TM!$F$8:$BG$8*CF!$F$7:$BG$7/(1+TM!U15)^(TM!$F$3:$BG$3-TM!U3+1))</f>
        <v/>
      </c>
      <c r="V6" s="18">
        <f>SUMPRODUCT((TM!$F$3:$BG$3&gt;=TM!V3)*TM!$F$8:$BG$8*CF!$F$7:$BG$7/(1+TM!V15)^(TM!$F$3:$BG$3-TM!V3+1))</f>
        <v/>
      </c>
      <c r="W6" s="18">
        <f>SUMPRODUCT((TM!$F$3:$BG$3&gt;=TM!W3)*TM!$F$8:$BG$8*CF!$F$7:$BG$7/(1+TM!W15)^(TM!$F$3:$BG$3-TM!W3+1))</f>
        <v/>
      </c>
      <c r="X6" s="18">
        <f>SUMPRODUCT((TM!$F$3:$BG$3&gt;=TM!X3)*TM!$F$8:$BG$8*CF!$F$7:$BG$7/(1+TM!X15)^(TM!$F$3:$BG$3-TM!X3+1))</f>
        <v/>
      </c>
      <c r="Y6" s="18">
        <f>SUMPRODUCT((TM!$F$3:$BG$3&gt;=TM!Y3)*TM!$F$8:$BG$8*CF!$F$7:$BG$7/(1+TM!Y15)^(TM!$F$3:$BG$3-TM!Y3+1))</f>
        <v/>
      </c>
      <c r="Z6" s="18">
        <f>SUMPRODUCT((TM!$F$3:$BG$3&gt;=TM!Z3)*TM!$F$8:$BG$8*CF!$F$7:$BG$7/(1+TM!Z15)^(TM!$F$3:$BG$3-TM!Z3+1))</f>
        <v/>
      </c>
      <c r="AA6" s="18">
        <f>SUMPRODUCT((TM!$F$3:$BG$3&gt;=TM!AA3)*TM!$F$8:$BG$8*CF!$F$7:$BG$7/(1+TM!AA15)^(TM!$F$3:$BG$3-TM!AA3+1))</f>
        <v/>
      </c>
      <c r="AB6" s="18">
        <f>SUMPRODUCT((TM!$F$3:$BG$3&gt;=TM!AB3)*TM!$F$8:$BG$8*CF!$F$7:$BG$7/(1+TM!AB15)^(TM!$F$3:$BG$3-TM!AB3+1))</f>
        <v/>
      </c>
      <c r="AC6" s="18">
        <f>SUMPRODUCT((TM!$F$3:$BG$3&gt;=TM!AC3)*TM!$F$8:$BG$8*CF!$F$7:$BG$7/(1+TM!AC15)^(TM!$F$3:$BG$3-TM!AC3+1))</f>
        <v/>
      </c>
      <c r="AD6" s="18">
        <f>SUMPRODUCT((TM!$F$3:$BG$3&gt;=TM!AD3)*TM!$F$8:$BG$8*CF!$F$7:$BG$7/(1+TM!AD15)^(TM!$F$3:$BG$3-TM!AD3+1))</f>
        <v/>
      </c>
      <c r="AE6" s="18">
        <f>SUMPRODUCT((TM!$F$3:$BG$3&gt;=TM!AE3)*TM!$F$8:$BG$8*CF!$F$7:$BG$7/(1+TM!AE15)^(TM!$F$3:$BG$3-TM!AE3+1))</f>
        <v/>
      </c>
      <c r="AF6" s="18">
        <f>SUMPRODUCT((TM!$F$3:$BG$3&gt;=TM!AF3)*TM!$F$8:$BG$8*CF!$F$7:$BG$7/(1+TM!AF15)^(TM!$F$3:$BG$3-TM!AF3+1))</f>
        <v/>
      </c>
      <c r="AG6" s="18">
        <f>SUMPRODUCT((TM!$F$3:$BG$3&gt;=TM!AG3)*TM!$F$8:$BG$8*CF!$F$7:$BG$7/(1+TM!AG15)^(TM!$F$3:$BG$3-TM!AG3+1))</f>
        <v/>
      </c>
      <c r="AH6" s="18">
        <f>SUMPRODUCT((TM!$F$3:$BG$3&gt;=TM!AH3)*TM!$F$8:$BG$8*CF!$F$7:$BG$7/(1+TM!AH15)^(TM!$F$3:$BG$3-TM!AH3+1))</f>
        <v/>
      </c>
      <c r="AI6" s="18">
        <f>SUMPRODUCT((TM!$F$3:$BG$3&gt;=TM!AI3)*TM!$F$8:$BG$8*CF!$F$7:$BG$7/(1+TM!AI15)^(TM!$F$3:$BG$3-TM!AI3+1))</f>
        <v/>
      </c>
      <c r="AJ6" s="18">
        <f>SUMPRODUCT((TM!$F$3:$BG$3&gt;=TM!AJ3)*TM!$F$8:$BG$8*CF!$F$7:$BG$7/(1+TM!AJ15)^(TM!$F$3:$BG$3-TM!AJ3+1))</f>
        <v/>
      </c>
      <c r="AK6" s="18">
        <f>SUMPRODUCT((TM!$F$3:$BG$3&gt;=TM!AK3)*TM!$F$8:$BG$8*CF!$F$7:$BG$7/(1+TM!AK15)^(TM!$F$3:$BG$3-TM!AK3+1))</f>
        <v/>
      </c>
      <c r="AL6" s="18">
        <f>SUMPRODUCT((TM!$F$3:$BG$3&gt;=TM!AL3)*TM!$F$8:$BG$8*CF!$F$7:$BG$7/(1+TM!AL15)^(TM!$F$3:$BG$3-TM!AL3+1))</f>
        <v/>
      </c>
      <c r="AM6" s="18">
        <f>SUMPRODUCT((TM!$F$3:$BG$3&gt;=TM!AM3)*TM!$F$8:$BG$8*CF!$F$7:$BG$7/(1+TM!AM15)^(TM!$F$3:$BG$3-TM!AM3+1))</f>
        <v/>
      </c>
      <c r="AN6" s="18">
        <f>SUMPRODUCT((TM!$F$3:$BG$3&gt;=TM!AN3)*TM!$F$8:$BG$8*CF!$F$7:$BG$7/(1+TM!AN15)^(TM!$F$3:$BG$3-TM!AN3+1))</f>
        <v/>
      </c>
      <c r="AO6" s="18">
        <f>SUMPRODUCT((TM!$F$3:$BG$3&gt;=TM!AO3)*TM!$F$8:$BG$8*CF!$F$7:$BG$7/(1+TM!AO15)^(TM!$F$3:$BG$3-TM!AO3+1))</f>
        <v/>
      </c>
      <c r="AP6" s="18">
        <f>SUMPRODUCT((TM!$F$3:$BG$3&gt;=TM!AP3)*TM!$F$8:$BG$8*CF!$F$7:$BG$7/(1+TM!AP15)^(TM!$F$3:$BG$3-TM!AP3+1))</f>
        <v/>
      </c>
      <c r="AQ6" s="18">
        <f>SUMPRODUCT((TM!$F$3:$BG$3&gt;=TM!AQ3)*TM!$F$8:$BG$8*CF!$F$7:$BG$7/(1+TM!AQ15)^(TM!$F$3:$BG$3-TM!AQ3+1))</f>
        <v/>
      </c>
      <c r="AR6" s="18">
        <f>SUMPRODUCT((TM!$F$3:$BG$3&gt;=TM!AR3)*TM!$F$8:$BG$8*CF!$F$7:$BG$7/(1+TM!AR15)^(TM!$F$3:$BG$3-TM!AR3+1))</f>
        <v/>
      </c>
      <c r="AS6" s="18">
        <f>SUMPRODUCT((TM!$F$3:$BG$3&gt;=TM!AS3)*TM!$F$8:$BG$8*CF!$F$7:$BG$7/(1+TM!AS15)^(TM!$F$3:$BG$3-TM!AS3+1))</f>
        <v/>
      </c>
      <c r="AT6" s="18">
        <f>SUMPRODUCT((TM!$F$3:$BG$3&gt;=TM!AT3)*TM!$F$8:$BG$8*CF!$F$7:$BG$7/(1+TM!AT15)^(TM!$F$3:$BG$3-TM!AT3+1))</f>
        <v/>
      </c>
      <c r="AU6" s="18">
        <f>SUMPRODUCT((TM!$F$3:$BG$3&gt;=TM!AU3)*TM!$F$8:$BG$8*CF!$F$7:$BG$7/(1+TM!AU15)^(TM!$F$3:$BG$3-TM!AU3+1))</f>
        <v/>
      </c>
      <c r="AV6" s="18">
        <f>SUMPRODUCT((TM!$F$3:$BG$3&gt;=TM!AV3)*TM!$F$8:$BG$8*CF!$F$7:$BG$7/(1+TM!AV15)^(TM!$F$3:$BG$3-TM!AV3+1))</f>
        <v/>
      </c>
      <c r="AW6" s="18">
        <f>SUMPRODUCT((TM!$F$3:$BG$3&gt;=TM!AW3)*TM!$F$8:$BG$8*CF!$F$7:$BG$7/(1+TM!AW15)^(TM!$F$3:$BG$3-TM!AW3+1))</f>
        <v/>
      </c>
      <c r="AX6" s="18">
        <f>SUMPRODUCT((TM!$F$3:$BG$3&gt;=TM!AX3)*TM!$F$8:$BG$8*CF!$F$7:$BG$7/(1+TM!AX15)^(TM!$F$3:$BG$3-TM!AX3+1))</f>
        <v/>
      </c>
      <c r="AY6" s="18">
        <f>SUMPRODUCT((TM!$F$3:$BG$3&gt;=TM!AY3)*TM!$F$8:$BG$8*CF!$F$7:$BG$7/(1+TM!AY15)^(TM!$F$3:$BG$3-TM!AY3+1))</f>
        <v/>
      </c>
      <c r="AZ6" s="18">
        <f>SUMPRODUCT((TM!$F$3:$BG$3&gt;=TM!AZ3)*TM!$F$8:$BG$8*CF!$F$7:$BG$7/(1+TM!AZ15)^(TM!$F$3:$BG$3-TM!AZ3+1))</f>
        <v/>
      </c>
      <c r="BA6" s="18">
        <f>SUMPRODUCT((TM!$F$3:$BG$3&gt;=TM!BA3)*TM!$F$8:$BG$8*CF!$F$7:$BG$7/(1+TM!BA15)^(TM!$F$3:$BG$3-TM!BA3+1))</f>
        <v/>
      </c>
      <c r="BB6" s="18">
        <f>SUMPRODUCT((TM!$F$3:$BG$3&gt;=TM!BB3)*TM!$F$8:$BG$8*CF!$F$7:$BG$7/(1+TM!BB15)^(TM!$F$3:$BG$3-TM!BB3+1))</f>
        <v/>
      </c>
      <c r="BC6" s="18">
        <f>SUMPRODUCT((TM!$F$3:$BG$3&gt;=TM!BC3)*TM!$F$8:$BG$8*CF!$F$7:$BG$7/(1+TM!BC15)^(TM!$F$3:$BG$3-TM!BC3+1))</f>
        <v/>
      </c>
      <c r="BD6" s="18">
        <f>SUMPRODUCT((TM!$F$3:$BG$3&gt;=TM!BD3)*TM!$F$8:$BG$8*CF!$F$7:$BG$7/(1+TM!BD15)^(TM!$F$3:$BG$3-TM!BD3+1))</f>
        <v/>
      </c>
      <c r="BE6" s="18">
        <f>SUMPRODUCT((TM!$F$3:$BG$3&gt;=TM!BE3)*TM!$F$8:$BG$8*CF!$F$7:$BG$7/(1+TM!BE15)^(TM!$F$3:$BG$3-TM!BE3+1))</f>
        <v/>
      </c>
      <c r="BF6" s="18">
        <f>SUMPRODUCT((TM!$F$3:$BG$3&gt;=TM!BF3)*TM!$F$8:$BG$8*CF!$F$7:$BG$7/(1+TM!BF15)^(TM!$F$3:$BG$3-TM!BF3+1))</f>
        <v/>
      </c>
      <c r="BG6" s="18">
        <f>SUMPRODUCT((TM!$F$3:$BG$3&gt;=TM!BG3)*TM!$F$8:$BG$8*CF!$F$7:$BG$7/(1+TM!BG15)^(TM!$F$3:$BG$3-TM!BG3+1))</f>
        <v/>
      </c>
    </row>
    <row r="7">
      <c r="A7" t="inlineStr">
        <is>
          <t>PLCR</t>
        </is>
      </c>
      <c r="C7" s="10" t="inlineStr">
        <is>
          <t>x</t>
        </is>
      </c>
      <c r="E7" s="20" t="inlineStr"/>
      <c r="F7" s="20">
        <f>IF(DB!F3=0,"",F6/DB!F3)</f>
        <v/>
      </c>
      <c r="G7" s="20">
        <f>IF(DB!G3=0,"",G6/DB!G3)</f>
        <v/>
      </c>
      <c r="H7" s="20">
        <f>IF(DB!H3=0,"",H6/DB!H3)</f>
        <v/>
      </c>
      <c r="I7" s="20">
        <f>IF(DB!I3=0,"",I6/DB!I3)</f>
        <v/>
      </c>
      <c r="J7" s="20">
        <f>IF(DB!J3=0,"",J6/DB!J3)</f>
        <v/>
      </c>
      <c r="K7" s="20">
        <f>IF(DB!K3=0,"",K6/DB!K3)</f>
        <v/>
      </c>
      <c r="L7" s="20">
        <f>IF(DB!L3=0,"",L6/DB!L3)</f>
        <v/>
      </c>
      <c r="M7" s="20">
        <f>IF(DB!M3=0,"",M6/DB!M3)</f>
        <v/>
      </c>
      <c r="N7" s="20">
        <f>IF(DB!N3=0,"",N6/DB!N3)</f>
        <v/>
      </c>
      <c r="O7" s="20">
        <f>IF(DB!O3=0,"",O6/DB!O3)</f>
        <v/>
      </c>
      <c r="P7" s="20">
        <f>IF(DB!P3=0,"",P6/DB!P3)</f>
        <v/>
      </c>
      <c r="Q7" s="20">
        <f>IF(DB!Q3=0,"",Q6/DB!Q3)</f>
        <v/>
      </c>
      <c r="R7" s="20">
        <f>IF(DB!R3=0,"",R6/DB!R3)</f>
        <v/>
      </c>
      <c r="S7" s="20">
        <f>IF(DB!S3=0,"",S6/DB!S3)</f>
        <v/>
      </c>
      <c r="T7" s="20">
        <f>IF(DB!T3=0,"",T6/DB!T3)</f>
        <v/>
      </c>
      <c r="U7" s="20">
        <f>IF(DB!U3=0,"",U6/DB!U3)</f>
        <v/>
      </c>
      <c r="V7" s="20">
        <f>IF(DB!V3=0,"",V6/DB!V3)</f>
        <v/>
      </c>
      <c r="W7" s="20">
        <f>IF(DB!W3=0,"",W6/DB!W3)</f>
        <v/>
      </c>
      <c r="X7" s="20">
        <f>IF(DB!X3=0,"",X6/DB!X3)</f>
        <v/>
      </c>
      <c r="Y7" s="20">
        <f>IF(DB!Y3=0,"",Y6/DB!Y3)</f>
        <v/>
      </c>
      <c r="Z7" s="20">
        <f>IF(DB!Z3=0,"",Z6/DB!Z3)</f>
        <v/>
      </c>
      <c r="AA7" s="20">
        <f>IF(DB!AA3=0,"",AA6/DB!AA3)</f>
        <v/>
      </c>
      <c r="AB7" s="20">
        <f>IF(DB!AB3=0,"",AB6/DB!AB3)</f>
        <v/>
      </c>
      <c r="AC7" s="20">
        <f>IF(DB!AC3=0,"",AC6/DB!AC3)</f>
        <v/>
      </c>
      <c r="AD7" s="20">
        <f>IF(DB!AD3=0,"",AD6/DB!AD3)</f>
        <v/>
      </c>
      <c r="AE7" s="20">
        <f>IF(DB!AE3=0,"",AE6/DB!AE3)</f>
        <v/>
      </c>
      <c r="AF7" s="20">
        <f>IF(DB!AF3=0,"",AF6/DB!AF3)</f>
        <v/>
      </c>
      <c r="AG7" s="20">
        <f>IF(DB!AG3=0,"",AG6/DB!AG3)</f>
        <v/>
      </c>
      <c r="AH7" s="20">
        <f>IF(DB!AH3=0,"",AH6/DB!AH3)</f>
        <v/>
      </c>
      <c r="AI7" s="20">
        <f>IF(DB!AI3=0,"",AI6/DB!AI3)</f>
        <v/>
      </c>
      <c r="AJ7" s="20">
        <f>IF(DB!AJ3=0,"",AJ6/DB!AJ3)</f>
        <v/>
      </c>
      <c r="AK7" s="20">
        <f>IF(DB!AK3=0,"",AK6/DB!AK3)</f>
        <v/>
      </c>
      <c r="AL7" s="20">
        <f>IF(DB!AL3=0,"",AL6/DB!AL3)</f>
        <v/>
      </c>
      <c r="AM7" s="20">
        <f>IF(DB!AM3=0,"",AM6/DB!AM3)</f>
        <v/>
      </c>
      <c r="AN7" s="20">
        <f>IF(DB!AN3=0,"",AN6/DB!AN3)</f>
        <v/>
      </c>
      <c r="AO7" s="20">
        <f>IF(DB!AO3=0,"",AO6/DB!AO3)</f>
        <v/>
      </c>
      <c r="AP7" s="20">
        <f>IF(DB!AP3=0,"",AP6/DB!AP3)</f>
        <v/>
      </c>
      <c r="AQ7" s="20">
        <f>IF(DB!AQ3=0,"",AQ6/DB!AQ3)</f>
        <v/>
      </c>
      <c r="AR7" s="20">
        <f>IF(DB!AR3=0,"",AR6/DB!AR3)</f>
        <v/>
      </c>
      <c r="AS7" s="20">
        <f>IF(DB!AS3=0,"",AS6/DB!AS3)</f>
        <v/>
      </c>
      <c r="AT7" s="20">
        <f>IF(DB!AT3=0,"",AT6/DB!AT3)</f>
        <v/>
      </c>
      <c r="AU7" s="20">
        <f>IF(DB!AU3=0,"",AU6/DB!AU3)</f>
        <v/>
      </c>
      <c r="AV7" s="20">
        <f>IF(DB!AV3=0,"",AV6/DB!AV3)</f>
        <v/>
      </c>
      <c r="AW7" s="20">
        <f>IF(DB!AW3=0,"",AW6/DB!AW3)</f>
        <v/>
      </c>
      <c r="AX7" s="20">
        <f>IF(DB!AX3=0,"",AX6/DB!AX3)</f>
        <v/>
      </c>
      <c r="AY7" s="20">
        <f>IF(DB!AY3=0,"",AY6/DB!AY3)</f>
        <v/>
      </c>
      <c r="AZ7" s="20">
        <f>IF(DB!AZ3=0,"",AZ6/DB!AZ3)</f>
        <v/>
      </c>
      <c r="BA7" s="20">
        <f>IF(DB!BA3=0,"",BA6/DB!BA3)</f>
        <v/>
      </c>
      <c r="BB7" s="20">
        <f>IF(DB!BB3=0,"",BB6/DB!BB3)</f>
        <v/>
      </c>
      <c r="BC7" s="20">
        <f>IF(DB!BC3=0,"",BC6/DB!BC3)</f>
        <v/>
      </c>
      <c r="BD7" s="20">
        <f>IF(DB!BD3=0,"",BD6/DB!BD3)</f>
        <v/>
      </c>
      <c r="BE7" s="20">
        <f>IF(DB!BE3=0,"",BE6/DB!BE3)</f>
        <v/>
      </c>
      <c r="BF7" s="20">
        <f>IF(DB!BF3=0,"",BF6/DB!BF3)</f>
        <v/>
      </c>
      <c r="BG7" s="20">
        <f>IF(DB!BG3=0,"",BG6/DB!BG3)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G2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FINANCIAL STATEMENTS  —  P&amp;L and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2">
      <c r="A2" s="8" t="inlineStr">
        <is>
          <t>PROFIT &amp; LOSS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9" t="n"/>
      <c r="AI2" s="9" t="n"/>
      <c r="AJ2" s="9" t="n"/>
      <c r="AK2" s="9" t="n"/>
      <c r="AL2" s="9" t="n"/>
      <c r="AM2" s="9" t="n"/>
      <c r="AN2" s="9" t="n"/>
      <c r="AO2" s="9" t="n"/>
      <c r="AP2" s="9" t="n"/>
      <c r="AQ2" s="9" t="n"/>
      <c r="AR2" s="9" t="n"/>
      <c r="AS2" s="9" t="n"/>
      <c r="AT2" s="9" t="n"/>
      <c r="AU2" s="9" t="n"/>
      <c r="AV2" s="9" t="n"/>
      <c r="AW2" s="9" t="n"/>
      <c r="AX2" s="9" t="n"/>
      <c r="AY2" s="9" t="n"/>
      <c r="AZ2" s="9" t="n"/>
      <c r="BA2" s="9" t="n"/>
      <c r="BB2" s="9" t="n"/>
      <c r="BC2" s="9" t="n"/>
      <c r="BD2" s="9" t="n"/>
      <c r="BE2" s="9" t="n"/>
      <c r="BF2" s="9" t="n"/>
      <c r="BG2" s="9" t="n"/>
    </row>
    <row r="3">
      <c r="A3" t="inlineStr">
        <is>
          <t>Revenue</t>
        </is>
      </c>
      <c r="C3" s="10" t="inlineStr">
        <is>
          <t>$</t>
        </is>
      </c>
      <c r="E3" s="18" t="n">
        <v>0</v>
      </c>
      <c r="F3" s="18">
        <f>PR!F7</f>
        <v/>
      </c>
      <c r="G3" s="18">
        <f>PR!G7</f>
        <v/>
      </c>
      <c r="H3" s="18">
        <f>PR!H7</f>
        <v/>
      </c>
      <c r="I3" s="18">
        <f>PR!I7</f>
        <v/>
      </c>
      <c r="J3" s="18">
        <f>PR!J7</f>
        <v/>
      </c>
      <c r="K3" s="18">
        <f>PR!K7</f>
        <v/>
      </c>
      <c r="L3" s="18">
        <f>PR!L7</f>
        <v/>
      </c>
      <c r="M3" s="18">
        <f>PR!M7</f>
        <v/>
      </c>
      <c r="N3" s="18">
        <f>PR!N7</f>
        <v/>
      </c>
      <c r="O3" s="18">
        <f>PR!O7</f>
        <v/>
      </c>
      <c r="P3" s="18">
        <f>PR!P7</f>
        <v/>
      </c>
      <c r="Q3" s="18">
        <f>PR!Q7</f>
        <v/>
      </c>
      <c r="R3" s="18">
        <f>PR!R7</f>
        <v/>
      </c>
      <c r="S3" s="18">
        <f>PR!S7</f>
        <v/>
      </c>
      <c r="T3" s="18">
        <f>PR!T7</f>
        <v/>
      </c>
      <c r="U3" s="18">
        <f>PR!U7</f>
        <v/>
      </c>
      <c r="V3" s="18">
        <f>PR!V7</f>
        <v/>
      </c>
      <c r="W3" s="18">
        <f>PR!W7</f>
        <v/>
      </c>
      <c r="X3" s="18">
        <f>PR!X7</f>
        <v/>
      </c>
      <c r="Y3" s="18">
        <f>PR!Y7</f>
        <v/>
      </c>
      <c r="Z3" s="18">
        <f>PR!Z7</f>
        <v/>
      </c>
      <c r="AA3" s="18">
        <f>PR!AA7</f>
        <v/>
      </c>
      <c r="AB3" s="18">
        <f>PR!AB7</f>
        <v/>
      </c>
      <c r="AC3" s="18">
        <f>PR!AC7</f>
        <v/>
      </c>
      <c r="AD3" s="18">
        <f>PR!AD7</f>
        <v/>
      </c>
      <c r="AE3" s="18">
        <f>PR!AE7</f>
        <v/>
      </c>
      <c r="AF3" s="18">
        <f>PR!AF7</f>
        <v/>
      </c>
      <c r="AG3" s="18">
        <f>PR!AG7</f>
        <v/>
      </c>
      <c r="AH3" s="18">
        <f>PR!AH7</f>
        <v/>
      </c>
      <c r="AI3" s="18">
        <f>PR!AI7</f>
        <v/>
      </c>
      <c r="AJ3" s="18">
        <f>PR!AJ7</f>
        <v/>
      </c>
      <c r="AK3" s="18">
        <f>PR!AK7</f>
        <v/>
      </c>
      <c r="AL3" s="18">
        <f>PR!AL7</f>
        <v/>
      </c>
      <c r="AM3" s="18">
        <f>PR!AM7</f>
        <v/>
      </c>
      <c r="AN3" s="18">
        <f>PR!AN7</f>
        <v/>
      </c>
      <c r="AO3" s="18">
        <f>PR!AO7</f>
        <v/>
      </c>
      <c r="AP3" s="18">
        <f>PR!AP7</f>
        <v/>
      </c>
      <c r="AQ3" s="18">
        <f>PR!AQ7</f>
        <v/>
      </c>
      <c r="AR3" s="18">
        <f>PR!AR7</f>
        <v/>
      </c>
      <c r="AS3" s="18">
        <f>PR!AS7</f>
        <v/>
      </c>
      <c r="AT3" s="18">
        <f>PR!AT7</f>
        <v/>
      </c>
      <c r="AU3" s="18">
        <f>PR!AU7</f>
        <v/>
      </c>
      <c r="AV3" s="18">
        <f>PR!AV7</f>
        <v/>
      </c>
      <c r="AW3" s="18">
        <f>PR!AW7</f>
        <v/>
      </c>
      <c r="AX3" s="18">
        <f>PR!AX7</f>
        <v/>
      </c>
      <c r="AY3" s="18">
        <f>PR!AY7</f>
        <v/>
      </c>
      <c r="AZ3" s="18">
        <f>PR!AZ7</f>
        <v/>
      </c>
      <c r="BA3" s="18">
        <f>PR!BA7</f>
        <v/>
      </c>
      <c r="BB3" s="18">
        <f>PR!BB7</f>
        <v/>
      </c>
      <c r="BC3" s="18">
        <f>PR!BC7</f>
        <v/>
      </c>
      <c r="BD3" s="18">
        <f>PR!BD7</f>
        <v/>
      </c>
      <c r="BE3" s="18">
        <f>PR!BE7</f>
        <v/>
      </c>
      <c r="BF3" s="18">
        <f>PR!BF7</f>
        <v/>
      </c>
      <c r="BG3" s="18">
        <f>PR!BG7</f>
        <v/>
      </c>
    </row>
    <row r="4">
      <c r="A4" t="inlineStr">
        <is>
          <t>Operating costs</t>
        </is>
      </c>
      <c r="C4" s="10" t="inlineStr">
        <is>
          <t>$</t>
        </is>
      </c>
      <c r="E4" s="18" t="n">
        <v>0</v>
      </c>
      <c r="F4" s="18">
        <f>-OP!F9</f>
        <v/>
      </c>
      <c r="G4" s="18">
        <f>-OP!G9</f>
        <v/>
      </c>
      <c r="H4" s="18">
        <f>-OP!H9</f>
        <v/>
      </c>
      <c r="I4" s="18">
        <f>-OP!I9</f>
        <v/>
      </c>
      <c r="J4" s="18">
        <f>-OP!J9</f>
        <v/>
      </c>
      <c r="K4" s="18">
        <f>-OP!K9</f>
        <v/>
      </c>
      <c r="L4" s="18">
        <f>-OP!L9</f>
        <v/>
      </c>
      <c r="M4" s="18">
        <f>-OP!M9</f>
        <v/>
      </c>
      <c r="N4" s="18">
        <f>-OP!N9</f>
        <v/>
      </c>
      <c r="O4" s="18">
        <f>-OP!O9</f>
        <v/>
      </c>
      <c r="P4" s="18">
        <f>-OP!P9</f>
        <v/>
      </c>
      <c r="Q4" s="18">
        <f>-OP!Q9</f>
        <v/>
      </c>
      <c r="R4" s="18">
        <f>-OP!R9</f>
        <v/>
      </c>
      <c r="S4" s="18">
        <f>-OP!S9</f>
        <v/>
      </c>
      <c r="T4" s="18">
        <f>-OP!T9</f>
        <v/>
      </c>
      <c r="U4" s="18">
        <f>-OP!U9</f>
        <v/>
      </c>
      <c r="V4" s="18">
        <f>-OP!V9</f>
        <v/>
      </c>
      <c r="W4" s="18">
        <f>-OP!W9</f>
        <v/>
      </c>
      <c r="X4" s="18">
        <f>-OP!X9</f>
        <v/>
      </c>
      <c r="Y4" s="18">
        <f>-OP!Y9</f>
        <v/>
      </c>
      <c r="Z4" s="18">
        <f>-OP!Z9</f>
        <v/>
      </c>
      <c r="AA4" s="18">
        <f>-OP!AA9</f>
        <v/>
      </c>
      <c r="AB4" s="18">
        <f>-OP!AB9</f>
        <v/>
      </c>
      <c r="AC4" s="18">
        <f>-OP!AC9</f>
        <v/>
      </c>
      <c r="AD4" s="18">
        <f>-OP!AD9</f>
        <v/>
      </c>
      <c r="AE4" s="18">
        <f>-OP!AE9</f>
        <v/>
      </c>
      <c r="AF4" s="18">
        <f>-OP!AF9</f>
        <v/>
      </c>
      <c r="AG4" s="18">
        <f>-OP!AG9</f>
        <v/>
      </c>
      <c r="AH4" s="18">
        <f>-OP!AH9</f>
        <v/>
      </c>
      <c r="AI4" s="18">
        <f>-OP!AI9</f>
        <v/>
      </c>
      <c r="AJ4" s="18">
        <f>-OP!AJ9</f>
        <v/>
      </c>
      <c r="AK4" s="18">
        <f>-OP!AK9</f>
        <v/>
      </c>
      <c r="AL4" s="18">
        <f>-OP!AL9</f>
        <v/>
      </c>
      <c r="AM4" s="18">
        <f>-OP!AM9</f>
        <v/>
      </c>
      <c r="AN4" s="18">
        <f>-OP!AN9</f>
        <v/>
      </c>
      <c r="AO4" s="18">
        <f>-OP!AO9</f>
        <v/>
      </c>
      <c r="AP4" s="18">
        <f>-OP!AP9</f>
        <v/>
      </c>
      <c r="AQ4" s="18">
        <f>-OP!AQ9</f>
        <v/>
      </c>
      <c r="AR4" s="18">
        <f>-OP!AR9</f>
        <v/>
      </c>
      <c r="AS4" s="18">
        <f>-OP!AS9</f>
        <v/>
      </c>
      <c r="AT4" s="18">
        <f>-OP!AT9</f>
        <v/>
      </c>
      <c r="AU4" s="18">
        <f>-OP!AU9</f>
        <v/>
      </c>
      <c r="AV4" s="18">
        <f>-OP!AV9</f>
        <v/>
      </c>
      <c r="AW4" s="18">
        <f>-OP!AW9</f>
        <v/>
      </c>
      <c r="AX4" s="18">
        <f>-OP!AX9</f>
        <v/>
      </c>
      <c r="AY4" s="18">
        <f>-OP!AY9</f>
        <v/>
      </c>
      <c r="AZ4" s="18">
        <f>-OP!AZ9</f>
        <v/>
      </c>
      <c r="BA4" s="18">
        <f>-OP!BA9</f>
        <v/>
      </c>
      <c r="BB4" s="18">
        <f>-OP!BB9</f>
        <v/>
      </c>
      <c r="BC4" s="18">
        <f>-OP!BC9</f>
        <v/>
      </c>
      <c r="BD4" s="18">
        <f>-OP!BD9</f>
        <v/>
      </c>
      <c r="BE4" s="18">
        <f>-OP!BE9</f>
        <v/>
      </c>
      <c r="BF4" s="18">
        <f>-OP!BF9</f>
        <v/>
      </c>
      <c r="BG4" s="18">
        <f>-OP!BG9</f>
        <v/>
      </c>
    </row>
    <row r="5">
      <c r="A5" t="inlineStr">
        <is>
          <t>EBITDA</t>
        </is>
      </c>
      <c r="C5" s="10" t="inlineStr">
        <is>
          <t>$</t>
        </is>
      </c>
      <c r="E5" s="18" t="n">
        <v>0</v>
      </c>
      <c r="F5" s="18">
        <f>OP!F10</f>
        <v/>
      </c>
      <c r="G5" s="18">
        <f>OP!G10</f>
        <v/>
      </c>
      <c r="H5" s="18">
        <f>OP!H10</f>
        <v/>
      </c>
      <c r="I5" s="18">
        <f>OP!I10</f>
        <v/>
      </c>
      <c r="J5" s="18">
        <f>OP!J10</f>
        <v/>
      </c>
      <c r="K5" s="18">
        <f>OP!K10</f>
        <v/>
      </c>
      <c r="L5" s="18">
        <f>OP!L10</f>
        <v/>
      </c>
      <c r="M5" s="18">
        <f>OP!M10</f>
        <v/>
      </c>
      <c r="N5" s="18">
        <f>OP!N10</f>
        <v/>
      </c>
      <c r="O5" s="18">
        <f>OP!O10</f>
        <v/>
      </c>
      <c r="P5" s="18">
        <f>OP!P10</f>
        <v/>
      </c>
      <c r="Q5" s="18">
        <f>OP!Q10</f>
        <v/>
      </c>
      <c r="R5" s="18">
        <f>OP!R10</f>
        <v/>
      </c>
      <c r="S5" s="18">
        <f>OP!S10</f>
        <v/>
      </c>
      <c r="T5" s="18">
        <f>OP!T10</f>
        <v/>
      </c>
      <c r="U5" s="18">
        <f>OP!U10</f>
        <v/>
      </c>
      <c r="V5" s="18">
        <f>OP!V10</f>
        <v/>
      </c>
      <c r="W5" s="18">
        <f>OP!W10</f>
        <v/>
      </c>
      <c r="X5" s="18">
        <f>OP!X10</f>
        <v/>
      </c>
      <c r="Y5" s="18">
        <f>OP!Y10</f>
        <v/>
      </c>
      <c r="Z5" s="18">
        <f>OP!Z10</f>
        <v/>
      </c>
      <c r="AA5" s="18">
        <f>OP!AA10</f>
        <v/>
      </c>
      <c r="AB5" s="18">
        <f>OP!AB10</f>
        <v/>
      </c>
      <c r="AC5" s="18">
        <f>OP!AC10</f>
        <v/>
      </c>
      <c r="AD5" s="18">
        <f>OP!AD10</f>
        <v/>
      </c>
      <c r="AE5" s="18">
        <f>OP!AE10</f>
        <v/>
      </c>
      <c r="AF5" s="18">
        <f>OP!AF10</f>
        <v/>
      </c>
      <c r="AG5" s="18">
        <f>OP!AG10</f>
        <v/>
      </c>
      <c r="AH5" s="18">
        <f>OP!AH10</f>
        <v/>
      </c>
      <c r="AI5" s="18">
        <f>OP!AI10</f>
        <v/>
      </c>
      <c r="AJ5" s="18">
        <f>OP!AJ10</f>
        <v/>
      </c>
      <c r="AK5" s="18">
        <f>OP!AK10</f>
        <v/>
      </c>
      <c r="AL5" s="18">
        <f>OP!AL10</f>
        <v/>
      </c>
      <c r="AM5" s="18">
        <f>OP!AM10</f>
        <v/>
      </c>
      <c r="AN5" s="18">
        <f>OP!AN10</f>
        <v/>
      </c>
      <c r="AO5" s="18">
        <f>OP!AO10</f>
        <v/>
      </c>
      <c r="AP5" s="18">
        <f>OP!AP10</f>
        <v/>
      </c>
      <c r="AQ5" s="18">
        <f>OP!AQ10</f>
        <v/>
      </c>
      <c r="AR5" s="18">
        <f>OP!AR10</f>
        <v/>
      </c>
      <c r="AS5" s="18">
        <f>OP!AS10</f>
        <v/>
      </c>
      <c r="AT5" s="18">
        <f>OP!AT10</f>
        <v/>
      </c>
      <c r="AU5" s="18">
        <f>OP!AU10</f>
        <v/>
      </c>
      <c r="AV5" s="18">
        <f>OP!AV10</f>
        <v/>
      </c>
      <c r="AW5" s="18">
        <f>OP!AW10</f>
        <v/>
      </c>
      <c r="AX5" s="18">
        <f>OP!AX10</f>
        <v/>
      </c>
      <c r="AY5" s="18">
        <f>OP!AY10</f>
        <v/>
      </c>
      <c r="AZ5" s="18">
        <f>OP!AZ10</f>
        <v/>
      </c>
      <c r="BA5" s="18">
        <f>OP!BA10</f>
        <v/>
      </c>
      <c r="BB5" s="18">
        <f>OP!BB10</f>
        <v/>
      </c>
      <c r="BC5" s="18">
        <f>OP!BC10</f>
        <v/>
      </c>
      <c r="BD5" s="18">
        <f>OP!BD10</f>
        <v/>
      </c>
      <c r="BE5" s="18">
        <f>OP!BE10</f>
        <v/>
      </c>
      <c r="BF5" s="18">
        <f>OP!BF10</f>
        <v/>
      </c>
      <c r="BG5" s="18">
        <f>OP!BG10</f>
        <v/>
      </c>
    </row>
    <row r="6">
      <c r="A6" t="inlineStr">
        <is>
          <t>Stack replacement (expensed)</t>
        </is>
      </c>
      <c r="C6" s="10" t="inlineStr">
        <is>
          <t>$</t>
        </is>
      </c>
      <c r="E6" s="18" t="n">
        <v>0</v>
      </c>
      <c r="F6" s="18">
        <f>-OP!F8</f>
        <v/>
      </c>
      <c r="G6" s="18">
        <f>-OP!G8</f>
        <v/>
      </c>
      <c r="H6" s="18">
        <f>-OP!H8</f>
        <v/>
      </c>
      <c r="I6" s="18">
        <f>-OP!I8</f>
        <v/>
      </c>
      <c r="J6" s="18">
        <f>-OP!J8</f>
        <v/>
      </c>
      <c r="K6" s="18">
        <f>-OP!K8</f>
        <v/>
      </c>
      <c r="L6" s="18">
        <f>-OP!L8</f>
        <v/>
      </c>
      <c r="M6" s="18">
        <f>-OP!M8</f>
        <v/>
      </c>
      <c r="N6" s="18">
        <f>-OP!N8</f>
        <v/>
      </c>
      <c r="O6" s="18">
        <f>-OP!O8</f>
        <v/>
      </c>
      <c r="P6" s="18">
        <f>-OP!P8</f>
        <v/>
      </c>
      <c r="Q6" s="18">
        <f>-OP!Q8</f>
        <v/>
      </c>
      <c r="R6" s="18">
        <f>-OP!R8</f>
        <v/>
      </c>
      <c r="S6" s="18">
        <f>-OP!S8</f>
        <v/>
      </c>
      <c r="T6" s="18">
        <f>-OP!T8</f>
        <v/>
      </c>
      <c r="U6" s="18">
        <f>-OP!U8</f>
        <v/>
      </c>
      <c r="V6" s="18">
        <f>-OP!V8</f>
        <v/>
      </c>
      <c r="W6" s="18">
        <f>-OP!W8</f>
        <v/>
      </c>
      <c r="X6" s="18">
        <f>-OP!X8</f>
        <v/>
      </c>
      <c r="Y6" s="18">
        <f>-OP!Y8</f>
        <v/>
      </c>
      <c r="Z6" s="18">
        <f>-OP!Z8</f>
        <v/>
      </c>
      <c r="AA6" s="18">
        <f>-OP!AA8</f>
        <v/>
      </c>
      <c r="AB6" s="18">
        <f>-OP!AB8</f>
        <v/>
      </c>
      <c r="AC6" s="18">
        <f>-OP!AC8</f>
        <v/>
      </c>
      <c r="AD6" s="18">
        <f>-OP!AD8</f>
        <v/>
      </c>
      <c r="AE6" s="18">
        <f>-OP!AE8</f>
        <v/>
      </c>
      <c r="AF6" s="18">
        <f>-OP!AF8</f>
        <v/>
      </c>
      <c r="AG6" s="18">
        <f>-OP!AG8</f>
        <v/>
      </c>
      <c r="AH6" s="18">
        <f>-OP!AH8</f>
        <v/>
      </c>
      <c r="AI6" s="18">
        <f>-OP!AI8</f>
        <v/>
      </c>
      <c r="AJ6" s="18">
        <f>-OP!AJ8</f>
        <v/>
      </c>
      <c r="AK6" s="18">
        <f>-OP!AK8</f>
        <v/>
      </c>
      <c r="AL6" s="18">
        <f>-OP!AL8</f>
        <v/>
      </c>
      <c r="AM6" s="18">
        <f>-OP!AM8</f>
        <v/>
      </c>
      <c r="AN6" s="18">
        <f>-OP!AN8</f>
        <v/>
      </c>
      <c r="AO6" s="18">
        <f>-OP!AO8</f>
        <v/>
      </c>
      <c r="AP6" s="18">
        <f>-OP!AP8</f>
        <v/>
      </c>
      <c r="AQ6" s="18">
        <f>-OP!AQ8</f>
        <v/>
      </c>
      <c r="AR6" s="18">
        <f>-OP!AR8</f>
        <v/>
      </c>
      <c r="AS6" s="18">
        <f>-OP!AS8</f>
        <v/>
      </c>
      <c r="AT6" s="18">
        <f>-OP!AT8</f>
        <v/>
      </c>
      <c r="AU6" s="18">
        <f>-OP!AU8</f>
        <v/>
      </c>
      <c r="AV6" s="18">
        <f>-OP!AV8</f>
        <v/>
      </c>
      <c r="AW6" s="18">
        <f>-OP!AW8</f>
        <v/>
      </c>
      <c r="AX6" s="18">
        <f>-OP!AX8</f>
        <v/>
      </c>
      <c r="AY6" s="18">
        <f>-OP!AY8</f>
        <v/>
      </c>
      <c r="AZ6" s="18">
        <f>-OP!AZ8</f>
        <v/>
      </c>
      <c r="BA6" s="18">
        <f>-OP!BA8</f>
        <v/>
      </c>
      <c r="BB6" s="18">
        <f>-OP!BB8</f>
        <v/>
      </c>
      <c r="BC6" s="18">
        <f>-OP!BC8</f>
        <v/>
      </c>
      <c r="BD6" s="18">
        <f>-OP!BD8</f>
        <v/>
      </c>
      <c r="BE6" s="18">
        <f>-OP!BE8</f>
        <v/>
      </c>
      <c r="BF6" s="18">
        <f>-OP!BF8</f>
        <v/>
      </c>
      <c r="BG6" s="18">
        <f>-OP!BG8</f>
        <v/>
      </c>
    </row>
    <row r="7">
      <c r="A7" t="inlineStr">
        <is>
          <t>DSRA interest income</t>
        </is>
      </c>
      <c r="C7" s="10" t="inlineStr">
        <is>
          <t>$</t>
        </is>
      </c>
      <c r="E7" s="18" t="n">
        <v>0</v>
      </c>
      <c r="F7" s="18">
        <f>DS!F6</f>
        <v/>
      </c>
      <c r="G7" s="18">
        <f>DS!G6</f>
        <v/>
      </c>
      <c r="H7" s="18">
        <f>DS!H6</f>
        <v/>
      </c>
      <c r="I7" s="18">
        <f>DS!I6</f>
        <v/>
      </c>
      <c r="J7" s="18">
        <f>DS!J6</f>
        <v/>
      </c>
      <c r="K7" s="18">
        <f>DS!K6</f>
        <v/>
      </c>
      <c r="L7" s="18">
        <f>DS!L6</f>
        <v/>
      </c>
      <c r="M7" s="18">
        <f>DS!M6</f>
        <v/>
      </c>
      <c r="N7" s="18">
        <f>DS!N6</f>
        <v/>
      </c>
      <c r="O7" s="18">
        <f>DS!O6</f>
        <v/>
      </c>
      <c r="P7" s="18">
        <f>DS!P6</f>
        <v/>
      </c>
      <c r="Q7" s="18">
        <f>DS!Q6</f>
        <v/>
      </c>
      <c r="R7" s="18">
        <f>DS!R6</f>
        <v/>
      </c>
      <c r="S7" s="18">
        <f>DS!S6</f>
        <v/>
      </c>
      <c r="T7" s="18">
        <f>DS!T6</f>
        <v/>
      </c>
      <c r="U7" s="18">
        <f>DS!U6</f>
        <v/>
      </c>
      <c r="V7" s="18">
        <f>DS!V6</f>
        <v/>
      </c>
      <c r="W7" s="18">
        <f>DS!W6</f>
        <v/>
      </c>
      <c r="X7" s="18">
        <f>DS!X6</f>
        <v/>
      </c>
      <c r="Y7" s="18">
        <f>DS!Y6</f>
        <v/>
      </c>
      <c r="Z7" s="18">
        <f>DS!Z6</f>
        <v/>
      </c>
      <c r="AA7" s="18">
        <f>DS!AA6</f>
        <v/>
      </c>
      <c r="AB7" s="18">
        <f>DS!AB6</f>
        <v/>
      </c>
      <c r="AC7" s="18">
        <f>DS!AC6</f>
        <v/>
      </c>
      <c r="AD7" s="18">
        <f>DS!AD6</f>
        <v/>
      </c>
      <c r="AE7" s="18">
        <f>DS!AE6</f>
        <v/>
      </c>
      <c r="AF7" s="18">
        <f>DS!AF6</f>
        <v/>
      </c>
      <c r="AG7" s="18">
        <f>DS!AG6</f>
        <v/>
      </c>
      <c r="AH7" s="18">
        <f>DS!AH6</f>
        <v/>
      </c>
      <c r="AI7" s="18">
        <f>DS!AI6</f>
        <v/>
      </c>
      <c r="AJ7" s="18">
        <f>DS!AJ6</f>
        <v/>
      </c>
      <c r="AK7" s="18">
        <f>DS!AK6</f>
        <v/>
      </c>
      <c r="AL7" s="18">
        <f>DS!AL6</f>
        <v/>
      </c>
      <c r="AM7" s="18">
        <f>DS!AM6</f>
        <v/>
      </c>
      <c r="AN7" s="18">
        <f>DS!AN6</f>
        <v/>
      </c>
      <c r="AO7" s="18">
        <f>DS!AO6</f>
        <v/>
      </c>
      <c r="AP7" s="18">
        <f>DS!AP6</f>
        <v/>
      </c>
      <c r="AQ7" s="18">
        <f>DS!AQ6</f>
        <v/>
      </c>
      <c r="AR7" s="18">
        <f>DS!AR6</f>
        <v/>
      </c>
      <c r="AS7" s="18">
        <f>DS!AS6</f>
        <v/>
      </c>
      <c r="AT7" s="18">
        <f>DS!AT6</f>
        <v/>
      </c>
      <c r="AU7" s="18">
        <f>DS!AU6</f>
        <v/>
      </c>
      <c r="AV7" s="18">
        <f>DS!AV6</f>
        <v/>
      </c>
      <c r="AW7" s="18">
        <f>DS!AW6</f>
        <v/>
      </c>
      <c r="AX7" s="18">
        <f>DS!AX6</f>
        <v/>
      </c>
      <c r="AY7" s="18">
        <f>DS!AY6</f>
        <v/>
      </c>
      <c r="AZ7" s="18">
        <f>DS!AZ6</f>
        <v/>
      </c>
      <c r="BA7" s="18">
        <f>DS!BA6</f>
        <v/>
      </c>
      <c r="BB7" s="18">
        <f>DS!BB6</f>
        <v/>
      </c>
      <c r="BC7" s="18">
        <f>DS!BC6</f>
        <v/>
      </c>
      <c r="BD7" s="18">
        <f>DS!BD6</f>
        <v/>
      </c>
      <c r="BE7" s="18">
        <f>DS!BE6</f>
        <v/>
      </c>
      <c r="BF7" s="18">
        <f>DS!BF6</f>
        <v/>
      </c>
      <c r="BG7" s="18">
        <f>DS!BG6</f>
        <v/>
      </c>
    </row>
    <row r="8">
      <c r="A8" t="inlineStr">
        <is>
          <t>Depreciation</t>
        </is>
      </c>
      <c r="C8" s="10" t="inlineStr">
        <is>
          <t>$</t>
        </is>
      </c>
      <c r="E8" s="18" t="n">
        <v>0</v>
      </c>
      <c r="F8" s="18">
        <f>-TX!F5</f>
        <v/>
      </c>
      <c r="G8" s="18">
        <f>-TX!G5</f>
        <v/>
      </c>
      <c r="H8" s="18">
        <f>-TX!H5</f>
        <v/>
      </c>
      <c r="I8" s="18">
        <f>-TX!I5</f>
        <v/>
      </c>
      <c r="J8" s="18">
        <f>-TX!J5</f>
        <v/>
      </c>
      <c r="K8" s="18">
        <f>-TX!K5</f>
        <v/>
      </c>
      <c r="L8" s="18">
        <f>-TX!L5</f>
        <v/>
      </c>
      <c r="M8" s="18">
        <f>-TX!M5</f>
        <v/>
      </c>
      <c r="N8" s="18">
        <f>-TX!N5</f>
        <v/>
      </c>
      <c r="O8" s="18">
        <f>-TX!O5</f>
        <v/>
      </c>
      <c r="P8" s="18">
        <f>-TX!P5</f>
        <v/>
      </c>
      <c r="Q8" s="18">
        <f>-TX!Q5</f>
        <v/>
      </c>
      <c r="R8" s="18">
        <f>-TX!R5</f>
        <v/>
      </c>
      <c r="S8" s="18">
        <f>-TX!S5</f>
        <v/>
      </c>
      <c r="T8" s="18">
        <f>-TX!T5</f>
        <v/>
      </c>
      <c r="U8" s="18">
        <f>-TX!U5</f>
        <v/>
      </c>
      <c r="V8" s="18">
        <f>-TX!V5</f>
        <v/>
      </c>
      <c r="W8" s="18">
        <f>-TX!W5</f>
        <v/>
      </c>
      <c r="X8" s="18">
        <f>-TX!X5</f>
        <v/>
      </c>
      <c r="Y8" s="18">
        <f>-TX!Y5</f>
        <v/>
      </c>
      <c r="Z8" s="18">
        <f>-TX!Z5</f>
        <v/>
      </c>
      <c r="AA8" s="18">
        <f>-TX!AA5</f>
        <v/>
      </c>
      <c r="AB8" s="18">
        <f>-TX!AB5</f>
        <v/>
      </c>
      <c r="AC8" s="18">
        <f>-TX!AC5</f>
        <v/>
      </c>
      <c r="AD8" s="18">
        <f>-TX!AD5</f>
        <v/>
      </c>
      <c r="AE8" s="18">
        <f>-TX!AE5</f>
        <v/>
      </c>
      <c r="AF8" s="18">
        <f>-TX!AF5</f>
        <v/>
      </c>
      <c r="AG8" s="18">
        <f>-TX!AG5</f>
        <v/>
      </c>
      <c r="AH8" s="18">
        <f>-TX!AH5</f>
        <v/>
      </c>
      <c r="AI8" s="18">
        <f>-TX!AI5</f>
        <v/>
      </c>
      <c r="AJ8" s="18">
        <f>-TX!AJ5</f>
        <v/>
      </c>
      <c r="AK8" s="18">
        <f>-TX!AK5</f>
        <v/>
      </c>
      <c r="AL8" s="18">
        <f>-TX!AL5</f>
        <v/>
      </c>
      <c r="AM8" s="18">
        <f>-TX!AM5</f>
        <v/>
      </c>
      <c r="AN8" s="18">
        <f>-TX!AN5</f>
        <v/>
      </c>
      <c r="AO8" s="18">
        <f>-TX!AO5</f>
        <v/>
      </c>
      <c r="AP8" s="18">
        <f>-TX!AP5</f>
        <v/>
      </c>
      <c r="AQ8" s="18">
        <f>-TX!AQ5</f>
        <v/>
      </c>
      <c r="AR8" s="18">
        <f>-TX!AR5</f>
        <v/>
      </c>
      <c r="AS8" s="18">
        <f>-TX!AS5</f>
        <v/>
      </c>
      <c r="AT8" s="18">
        <f>-TX!AT5</f>
        <v/>
      </c>
      <c r="AU8" s="18">
        <f>-TX!AU5</f>
        <v/>
      </c>
      <c r="AV8" s="18">
        <f>-TX!AV5</f>
        <v/>
      </c>
      <c r="AW8" s="18">
        <f>-TX!AW5</f>
        <v/>
      </c>
      <c r="AX8" s="18">
        <f>-TX!AX5</f>
        <v/>
      </c>
      <c r="AY8" s="18">
        <f>-TX!AY5</f>
        <v/>
      </c>
      <c r="AZ8" s="18">
        <f>-TX!AZ5</f>
        <v/>
      </c>
      <c r="BA8" s="18">
        <f>-TX!BA5</f>
        <v/>
      </c>
      <c r="BB8" s="18">
        <f>-TX!BB5</f>
        <v/>
      </c>
      <c r="BC8" s="18">
        <f>-TX!BC5</f>
        <v/>
      </c>
      <c r="BD8" s="18">
        <f>-TX!BD5</f>
        <v/>
      </c>
      <c r="BE8" s="18">
        <f>-TX!BE5</f>
        <v/>
      </c>
      <c r="BF8" s="18">
        <f>-TX!BF5</f>
        <v/>
      </c>
      <c r="BG8" s="18">
        <f>-TX!BG5</f>
        <v/>
      </c>
    </row>
    <row r="9">
      <c r="A9" t="inlineStr">
        <is>
          <t>Interest</t>
        </is>
      </c>
      <c r="C9" s="10" t="inlineStr">
        <is>
          <t>$</t>
        </is>
      </c>
      <c r="E9" s="18" t="n">
        <v>0</v>
      </c>
      <c r="F9" s="18">
        <f>-DB!F4-CX!F8</f>
        <v/>
      </c>
      <c r="G9" s="18">
        <f>-DB!G4-CX!G8</f>
        <v/>
      </c>
      <c r="H9" s="18">
        <f>-DB!H4-CX!H8</f>
        <v/>
      </c>
      <c r="I9" s="18">
        <f>-DB!I4-CX!I8</f>
        <v/>
      </c>
      <c r="J9" s="18">
        <f>-DB!J4-CX!J8</f>
        <v/>
      </c>
      <c r="K9" s="18">
        <f>-DB!K4-CX!K8</f>
        <v/>
      </c>
      <c r="L9" s="18">
        <f>-DB!L4-CX!L8</f>
        <v/>
      </c>
      <c r="M9" s="18">
        <f>-DB!M4-CX!M8</f>
        <v/>
      </c>
      <c r="N9" s="18">
        <f>-DB!N4-CX!N8</f>
        <v/>
      </c>
      <c r="O9" s="18">
        <f>-DB!O4-CX!O8</f>
        <v/>
      </c>
      <c r="P9" s="18">
        <f>-DB!P4-CX!P8</f>
        <v/>
      </c>
      <c r="Q9" s="18">
        <f>-DB!Q4-CX!Q8</f>
        <v/>
      </c>
      <c r="R9" s="18">
        <f>-DB!R4-CX!R8</f>
        <v/>
      </c>
      <c r="S9" s="18">
        <f>-DB!S4-CX!S8</f>
        <v/>
      </c>
      <c r="T9" s="18">
        <f>-DB!T4-CX!T8</f>
        <v/>
      </c>
      <c r="U9" s="18">
        <f>-DB!U4-CX!U8</f>
        <v/>
      </c>
      <c r="V9" s="18">
        <f>-DB!V4-CX!V8</f>
        <v/>
      </c>
      <c r="W9" s="18">
        <f>-DB!W4-CX!W8</f>
        <v/>
      </c>
      <c r="X9" s="18">
        <f>-DB!X4-CX!X8</f>
        <v/>
      </c>
      <c r="Y9" s="18">
        <f>-DB!Y4-CX!Y8</f>
        <v/>
      </c>
      <c r="Z9" s="18">
        <f>-DB!Z4-CX!Z8</f>
        <v/>
      </c>
      <c r="AA9" s="18">
        <f>-DB!AA4-CX!AA8</f>
        <v/>
      </c>
      <c r="AB9" s="18">
        <f>-DB!AB4-CX!AB8</f>
        <v/>
      </c>
      <c r="AC9" s="18">
        <f>-DB!AC4-CX!AC8</f>
        <v/>
      </c>
      <c r="AD9" s="18">
        <f>-DB!AD4-CX!AD8</f>
        <v/>
      </c>
      <c r="AE9" s="18">
        <f>-DB!AE4-CX!AE8</f>
        <v/>
      </c>
      <c r="AF9" s="18">
        <f>-DB!AF4-CX!AF8</f>
        <v/>
      </c>
      <c r="AG9" s="18">
        <f>-DB!AG4-CX!AG8</f>
        <v/>
      </c>
      <c r="AH9" s="18">
        <f>-DB!AH4-CX!AH8</f>
        <v/>
      </c>
      <c r="AI9" s="18">
        <f>-DB!AI4-CX!AI8</f>
        <v/>
      </c>
      <c r="AJ9" s="18">
        <f>-DB!AJ4-CX!AJ8</f>
        <v/>
      </c>
      <c r="AK9" s="18">
        <f>-DB!AK4-CX!AK8</f>
        <v/>
      </c>
      <c r="AL9" s="18">
        <f>-DB!AL4-CX!AL8</f>
        <v/>
      </c>
      <c r="AM9" s="18">
        <f>-DB!AM4-CX!AM8</f>
        <v/>
      </c>
      <c r="AN9" s="18">
        <f>-DB!AN4-CX!AN8</f>
        <v/>
      </c>
      <c r="AO9" s="18">
        <f>-DB!AO4-CX!AO8</f>
        <v/>
      </c>
      <c r="AP9" s="18">
        <f>-DB!AP4-CX!AP8</f>
        <v/>
      </c>
      <c r="AQ9" s="18">
        <f>-DB!AQ4-CX!AQ8</f>
        <v/>
      </c>
      <c r="AR9" s="18">
        <f>-DB!AR4-CX!AR8</f>
        <v/>
      </c>
      <c r="AS9" s="18">
        <f>-DB!AS4-CX!AS8</f>
        <v/>
      </c>
      <c r="AT9" s="18">
        <f>-DB!AT4-CX!AT8</f>
        <v/>
      </c>
      <c r="AU9" s="18">
        <f>-DB!AU4-CX!AU8</f>
        <v/>
      </c>
      <c r="AV9" s="18">
        <f>-DB!AV4-CX!AV8</f>
        <v/>
      </c>
      <c r="AW9" s="18">
        <f>-DB!AW4-CX!AW8</f>
        <v/>
      </c>
      <c r="AX9" s="18">
        <f>-DB!AX4-CX!AX8</f>
        <v/>
      </c>
      <c r="AY9" s="18">
        <f>-DB!AY4-CX!AY8</f>
        <v/>
      </c>
      <c r="AZ9" s="18">
        <f>-DB!AZ4-CX!AZ8</f>
        <v/>
      </c>
      <c r="BA9" s="18">
        <f>-DB!BA4-CX!BA8</f>
        <v/>
      </c>
      <c r="BB9" s="18">
        <f>-DB!BB4-CX!BB8</f>
        <v/>
      </c>
      <c r="BC9" s="18">
        <f>-DB!BC4-CX!BC8</f>
        <v/>
      </c>
      <c r="BD9" s="18">
        <f>-DB!BD4-CX!BD8</f>
        <v/>
      </c>
      <c r="BE9" s="18">
        <f>-DB!BE4-CX!BE8</f>
        <v/>
      </c>
      <c r="BF9" s="18">
        <f>-DB!BF4-CX!BF8</f>
        <v/>
      </c>
      <c r="BG9" s="18">
        <f>-DB!BG4-CX!BG8</f>
        <v/>
      </c>
    </row>
    <row r="10">
      <c r="A10" t="inlineStr">
        <is>
          <t>Profit before tax</t>
        </is>
      </c>
      <c r="C10" s="10" t="inlineStr">
        <is>
          <t>$</t>
        </is>
      </c>
      <c r="E10" s="18" t="n">
        <v>0</v>
      </c>
      <c r="F10" s="18">
        <f>F5+F6+F7+F8+F9</f>
        <v/>
      </c>
      <c r="G10" s="18">
        <f>G5+G6+G7+G8+G9</f>
        <v/>
      </c>
      <c r="H10" s="18">
        <f>H5+H6+H7+H8+H9</f>
        <v/>
      </c>
      <c r="I10" s="18">
        <f>I5+I6+I7+I8+I9</f>
        <v/>
      </c>
      <c r="J10" s="18">
        <f>J5+J6+J7+J8+J9</f>
        <v/>
      </c>
      <c r="K10" s="18">
        <f>K5+K6+K7+K8+K9</f>
        <v/>
      </c>
      <c r="L10" s="18">
        <f>L5+L6+L7+L8+L9</f>
        <v/>
      </c>
      <c r="M10" s="18">
        <f>M5+M6+M7+M8+M9</f>
        <v/>
      </c>
      <c r="N10" s="18">
        <f>N5+N6+N7+N8+N9</f>
        <v/>
      </c>
      <c r="O10" s="18">
        <f>O5+O6+O7+O8+O9</f>
        <v/>
      </c>
      <c r="P10" s="18">
        <f>P5+P6+P7+P8+P9</f>
        <v/>
      </c>
      <c r="Q10" s="18">
        <f>Q5+Q6+Q7+Q8+Q9</f>
        <v/>
      </c>
      <c r="R10" s="18">
        <f>R5+R6+R7+R8+R9</f>
        <v/>
      </c>
      <c r="S10" s="18">
        <f>S5+S6+S7+S8+S9</f>
        <v/>
      </c>
      <c r="T10" s="18">
        <f>T5+T6+T7+T8+T9</f>
        <v/>
      </c>
      <c r="U10" s="18">
        <f>U5+U6+U7+U8+U9</f>
        <v/>
      </c>
      <c r="V10" s="18">
        <f>V5+V6+V7+V8+V9</f>
        <v/>
      </c>
      <c r="W10" s="18">
        <f>W5+W6+W7+W8+W9</f>
        <v/>
      </c>
      <c r="X10" s="18">
        <f>X5+X6+X7+X8+X9</f>
        <v/>
      </c>
      <c r="Y10" s="18">
        <f>Y5+Y6+Y7+Y8+Y9</f>
        <v/>
      </c>
      <c r="Z10" s="18">
        <f>Z5+Z6+Z7+Z8+Z9</f>
        <v/>
      </c>
      <c r="AA10" s="18">
        <f>AA5+AA6+AA7+AA8+AA9</f>
        <v/>
      </c>
      <c r="AB10" s="18">
        <f>AB5+AB6+AB7+AB8+AB9</f>
        <v/>
      </c>
      <c r="AC10" s="18">
        <f>AC5+AC6+AC7+AC8+AC9</f>
        <v/>
      </c>
      <c r="AD10" s="18">
        <f>AD5+AD6+AD7+AD8+AD9</f>
        <v/>
      </c>
      <c r="AE10" s="18">
        <f>AE5+AE6+AE7+AE8+AE9</f>
        <v/>
      </c>
      <c r="AF10" s="18">
        <f>AF5+AF6+AF7+AF8+AF9</f>
        <v/>
      </c>
      <c r="AG10" s="18">
        <f>AG5+AG6+AG7+AG8+AG9</f>
        <v/>
      </c>
      <c r="AH10" s="18">
        <f>AH5+AH6+AH7+AH8+AH9</f>
        <v/>
      </c>
      <c r="AI10" s="18">
        <f>AI5+AI6+AI7+AI8+AI9</f>
        <v/>
      </c>
      <c r="AJ10" s="18">
        <f>AJ5+AJ6+AJ7+AJ8+AJ9</f>
        <v/>
      </c>
      <c r="AK10" s="18">
        <f>AK5+AK6+AK7+AK8+AK9</f>
        <v/>
      </c>
      <c r="AL10" s="18">
        <f>AL5+AL6+AL7+AL8+AL9</f>
        <v/>
      </c>
      <c r="AM10" s="18">
        <f>AM5+AM6+AM7+AM8+AM9</f>
        <v/>
      </c>
      <c r="AN10" s="18">
        <f>AN5+AN6+AN7+AN8+AN9</f>
        <v/>
      </c>
      <c r="AO10" s="18">
        <f>AO5+AO6+AO7+AO8+AO9</f>
        <v/>
      </c>
      <c r="AP10" s="18">
        <f>AP5+AP6+AP7+AP8+AP9</f>
        <v/>
      </c>
      <c r="AQ10" s="18">
        <f>AQ5+AQ6+AQ7+AQ8+AQ9</f>
        <v/>
      </c>
      <c r="AR10" s="18">
        <f>AR5+AR6+AR7+AR8+AR9</f>
        <v/>
      </c>
      <c r="AS10" s="18">
        <f>AS5+AS6+AS7+AS8+AS9</f>
        <v/>
      </c>
      <c r="AT10" s="18">
        <f>AT5+AT6+AT7+AT8+AT9</f>
        <v/>
      </c>
      <c r="AU10" s="18">
        <f>AU5+AU6+AU7+AU8+AU9</f>
        <v/>
      </c>
      <c r="AV10" s="18">
        <f>AV5+AV6+AV7+AV8+AV9</f>
        <v/>
      </c>
      <c r="AW10" s="18">
        <f>AW5+AW6+AW7+AW8+AW9</f>
        <v/>
      </c>
      <c r="AX10" s="18">
        <f>AX5+AX6+AX7+AX8+AX9</f>
        <v/>
      </c>
      <c r="AY10" s="18">
        <f>AY5+AY6+AY7+AY8+AY9</f>
        <v/>
      </c>
      <c r="AZ10" s="18">
        <f>AZ5+AZ6+AZ7+AZ8+AZ9</f>
        <v/>
      </c>
      <c r="BA10" s="18">
        <f>BA5+BA6+BA7+BA8+BA9</f>
        <v/>
      </c>
      <c r="BB10" s="18">
        <f>BB5+BB6+BB7+BB8+BB9</f>
        <v/>
      </c>
      <c r="BC10" s="18">
        <f>BC5+BC6+BC7+BC8+BC9</f>
        <v/>
      </c>
      <c r="BD10" s="18">
        <f>BD5+BD6+BD7+BD8+BD9</f>
        <v/>
      </c>
      <c r="BE10" s="18">
        <f>BE5+BE6+BE7+BE8+BE9</f>
        <v/>
      </c>
      <c r="BF10" s="18">
        <f>BF5+BF6+BF7+BF8+BF9</f>
        <v/>
      </c>
      <c r="BG10" s="18">
        <f>BG5+BG6+BG7+BG8+BG9</f>
        <v/>
      </c>
    </row>
    <row r="11">
      <c r="A11" t="inlineStr">
        <is>
          <t>Tax charge</t>
        </is>
      </c>
      <c r="C11" s="10" t="inlineStr">
        <is>
          <t>$</t>
        </is>
      </c>
      <c r="E11" s="18" t="n">
        <v>0</v>
      </c>
      <c r="F11" s="18">
        <f>-TX!F11</f>
        <v/>
      </c>
      <c r="G11" s="18">
        <f>-TX!G11</f>
        <v/>
      </c>
      <c r="H11" s="18">
        <f>-TX!H11</f>
        <v/>
      </c>
      <c r="I11" s="18">
        <f>-TX!I11</f>
        <v/>
      </c>
      <c r="J11" s="18">
        <f>-TX!J11</f>
        <v/>
      </c>
      <c r="K11" s="18">
        <f>-TX!K11</f>
        <v/>
      </c>
      <c r="L11" s="18">
        <f>-TX!L11</f>
        <v/>
      </c>
      <c r="M11" s="18">
        <f>-TX!M11</f>
        <v/>
      </c>
      <c r="N11" s="18">
        <f>-TX!N11</f>
        <v/>
      </c>
      <c r="O11" s="18">
        <f>-TX!O11</f>
        <v/>
      </c>
      <c r="P11" s="18">
        <f>-TX!P11</f>
        <v/>
      </c>
      <c r="Q11" s="18">
        <f>-TX!Q11</f>
        <v/>
      </c>
      <c r="R11" s="18">
        <f>-TX!R11</f>
        <v/>
      </c>
      <c r="S11" s="18">
        <f>-TX!S11</f>
        <v/>
      </c>
      <c r="T11" s="18">
        <f>-TX!T11</f>
        <v/>
      </c>
      <c r="U11" s="18">
        <f>-TX!U11</f>
        <v/>
      </c>
      <c r="V11" s="18">
        <f>-TX!V11</f>
        <v/>
      </c>
      <c r="W11" s="18">
        <f>-TX!W11</f>
        <v/>
      </c>
      <c r="X11" s="18">
        <f>-TX!X11</f>
        <v/>
      </c>
      <c r="Y11" s="18">
        <f>-TX!Y11</f>
        <v/>
      </c>
      <c r="Z11" s="18">
        <f>-TX!Z11</f>
        <v/>
      </c>
      <c r="AA11" s="18">
        <f>-TX!AA11</f>
        <v/>
      </c>
      <c r="AB11" s="18">
        <f>-TX!AB11</f>
        <v/>
      </c>
      <c r="AC11" s="18">
        <f>-TX!AC11</f>
        <v/>
      </c>
      <c r="AD11" s="18">
        <f>-TX!AD11</f>
        <v/>
      </c>
      <c r="AE11" s="18">
        <f>-TX!AE11</f>
        <v/>
      </c>
      <c r="AF11" s="18">
        <f>-TX!AF11</f>
        <v/>
      </c>
      <c r="AG11" s="18">
        <f>-TX!AG11</f>
        <v/>
      </c>
      <c r="AH11" s="18">
        <f>-TX!AH11</f>
        <v/>
      </c>
      <c r="AI11" s="18">
        <f>-TX!AI11</f>
        <v/>
      </c>
      <c r="AJ11" s="18">
        <f>-TX!AJ11</f>
        <v/>
      </c>
      <c r="AK11" s="18">
        <f>-TX!AK11</f>
        <v/>
      </c>
      <c r="AL11" s="18">
        <f>-TX!AL11</f>
        <v/>
      </c>
      <c r="AM11" s="18">
        <f>-TX!AM11</f>
        <v/>
      </c>
      <c r="AN11" s="18">
        <f>-TX!AN11</f>
        <v/>
      </c>
      <c r="AO11" s="18">
        <f>-TX!AO11</f>
        <v/>
      </c>
      <c r="AP11" s="18">
        <f>-TX!AP11</f>
        <v/>
      </c>
      <c r="AQ11" s="18">
        <f>-TX!AQ11</f>
        <v/>
      </c>
      <c r="AR11" s="18">
        <f>-TX!AR11</f>
        <v/>
      </c>
      <c r="AS11" s="18">
        <f>-TX!AS11</f>
        <v/>
      </c>
      <c r="AT11" s="18">
        <f>-TX!AT11</f>
        <v/>
      </c>
      <c r="AU11" s="18">
        <f>-TX!AU11</f>
        <v/>
      </c>
      <c r="AV11" s="18">
        <f>-TX!AV11</f>
        <v/>
      </c>
      <c r="AW11" s="18">
        <f>-TX!AW11</f>
        <v/>
      </c>
      <c r="AX11" s="18">
        <f>-TX!AX11</f>
        <v/>
      </c>
      <c r="AY11" s="18">
        <f>-TX!AY11</f>
        <v/>
      </c>
      <c r="AZ11" s="18">
        <f>-TX!AZ11</f>
        <v/>
      </c>
      <c r="BA11" s="18">
        <f>-TX!BA11</f>
        <v/>
      </c>
      <c r="BB11" s="18">
        <f>-TX!BB11</f>
        <v/>
      </c>
      <c r="BC11" s="18">
        <f>-TX!BC11</f>
        <v/>
      </c>
      <c r="BD11" s="18">
        <f>-TX!BD11</f>
        <v/>
      </c>
      <c r="BE11" s="18">
        <f>-TX!BE11</f>
        <v/>
      </c>
      <c r="BF11" s="18">
        <f>-TX!BF11</f>
        <v/>
      </c>
      <c r="BG11" s="18">
        <f>-TX!BG11</f>
        <v/>
      </c>
    </row>
    <row r="12">
      <c r="A12" s="3" t="inlineStr">
        <is>
          <t>Net profit after tax</t>
        </is>
      </c>
      <c r="C12" s="10" t="inlineStr">
        <is>
          <t>$</t>
        </is>
      </c>
      <c r="E12" s="18" t="n">
        <v>0</v>
      </c>
      <c r="F12" s="18">
        <f>F10+F11</f>
        <v/>
      </c>
      <c r="G12" s="18">
        <f>G10+G11</f>
        <v/>
      </c>
      <c r="H12" s="18">
        <f>H10+H11</f>
        <v/>
      </c>
      <c r="I12" s="18">
        <f>I10+I11</f>
        <v/>
      </c>
      <c r="J12" s="18">
        <f>J10+J11</f>
        <v/>
      </c>
      <c r="K12" s="18">
        <f>K10+K11</f>
        <v/>
      </c>
      <c r="L12" s="18">
        <f>L10+L11</f>
        <v/>
      </c>
      <c r="M12" s="18">
        <f>M10+M11</f>
        <v/>
      </c>
      <c r="N12" s="18">
        <f>N10+N11</f>
        <v/>
      </c>
      <c r="O12" s="18">
        <f>O10+O11</f>
        <v/>
      </c>
      <c r="P12" s="18">
        <f>P10+P11</f>
        <v/>
      </c>
      <c r="Q12" s="18">
        <f>Q10+Q11</f>
        <v/>
      </c>
      <c r="R12" s="18">
        <f>R10+R11</f>
        <v/>
      </c>
      <c r="S12" s="18">
        <f>S10+S11</f>
        <v/>
      </c>
      <c r="T12" s="18">
        <f>T10+T11</f>
        <v/>
      </c>
      <c r="U12" s="18">
        <f>U10+U11</f>
        <v/>
      </c>
      <c r="V12" s="18">
        <f>V10+V11</f>
        <v/>
      </c>
      <c r="W12" s="18">
        <f>W10+W11</f>
        <v/>
      </c>
      <c r="X12" s="18">
        <f>X10+X11</f>
        <v/>
      </c>
      <c r="Y12" s="18">
        <f>Y10+Y11</f>
        <v/>
      </c>
      <c r="Z12" s="18">
        <f>Z10+Z11</f>
        <v/>
      </c>
      <c r="AA12" s="18">
        <f>AA10+AA11</f>
        <v/>
      </c>
      <c r="AB12" s="18">
        <f>AB10+AB11</f>
        <v/>
      </c>
      <c r="AC12" s="18">
        <f>AC10+AC11</f>
        <v/>
      </c>
      <c r="AD12" s="18">
        <f>AD10+AD11</f>
        <v/>
      </c>
      <c r="AE12" s="18">
        <f>AE10+AE11</f>
        <v/>
      </c>
      <c r="AF12" s="18">
        <f>AF10+AF11</f>
        <v/>
      </c>
      <c r="AG12" s="18">
        <f>AG10+AG11</f>
        <v/>
      </c>
      <c r="AH12" s="18">
        <f>AH10+AH11</f>
        <v/>
      </c>
      <c r="AI12" s="18">
        <f>AI10+AI11</f>
        <v/>
      </c>
      <c r="AJ12" s="18">
        <f>AJ10+AJ11</f>
        <v/>
      </c>
      <c r="AK12" s="18">
        <f>AK10+AK11</f>
        <v/>
      </c>
      <c r="AL12" s="18">
        <f>AL10+AL11</f>
        <v/>
      </c>
      <c r="AM12" s="18">
        <f>AM10+AM11</f>
        <v/>
      </c>
      <c r="AN12" s="18">
        <f>AN10+AN11</f>
        <v/>
      </c>
      <c r="AO12" s="18">
        <f>AO10+AO11</f>
        <v/>
      </c>
      <c r="AP12" s="18">
        <f>AP10+AP11</f>
        <v/>
      </c>
      <c r="AQ12" s="18">
        <f>AQ10+AQ11</f>
        <v/>
      </c>
      <c r="AR12" s="18">
        <f>AR10+AR11</f>
        <v/>
      </c>
      <c r="AS12" s="18">
        <f>AS10+AS11</f>
        <v/>
      </c>
      <c r="AT12" s="18">
        <f>AT10+AT11</f>
        <v/>
      </c>
      <c r="AU12" s="18">
        <f>AU10+AU11</f>
        <v/>
      </c>
      <c r="AV12" s="18">
        <f>AV10+AV11</f>
        <v/>
      </c>
      <c r="AW12" s="18">
        <f>AW10+AW11</f>
        <v/>
      </c>
      <c r="AX12" s="18">
        <f>AX10+AX11</f>
        <v/>
      </c>
      <c r="AY12" s="18">
        <f>AY10+AY11</f>
        <v/>
      </c>
      <c r="AZ12" s="18">
        <f>AZ10+AZ11</f>
        <v/>
      </c>
      <c r="BA12" s="18">
        <f>BA10+BA11</f>
        <v/>
      </c>
      <c r="BB12" s="18">
        <f>BB10+BB11</f>
        <v/>
      </c>
      <c r="BC12" s="18">
        <f>BC10+BC11</f>
        <v/>
      </c>
      <c r="BD12" s="18">
        <f>BD10+BD11</f>
        <v/>
      </c>
      <c r="BE12" s="18">
        <f>BE10+BE11</f>
        <v/>
      </c>
      <c r="BF12" s="18">
        <f>BF10+BF11</f>
        <v/>
      </c>
      <c r="BG12" s="18">
        <f>BG10+BG11</f>
        <v/>
      </c>
    </row>
    <row r="14">
      <c r="A14" s="8" t="inlineStr">
        <is>
          <t>BALANCE SHEET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  <c r="AZ14" s="9" t="n"/>
      <c r="BA14" s="9" t="n"/>
      <c r="BB14" s="9" t="n"/>
      <c r="BC14" s="9" t="n"/>
      <c r="BD14" s="9" t="n"/>
      <c r="BE14" s="9" t="n"/>
      <c r="BF14" s="9" t="n"/>
      <c r="BG14" s="9" t="n"/>
    </row>
    <row r="15">
      <c r="A15" t="inlineStr">
        <is>
          <t>PP&amp;E (net)</t>
        </is>
      </c>
      <c r="C15" s="10" t="inlineStr">
        <is>
          <t>$</t>
        </is>
      </c>
      <c r="E15" s="18" t="n">
        <v>0</v>
      </c>
      <c r="F15" s="18">
        <f>E15+CX!F12-TX!F5</f>
        <v/>
      </c>
      <c r="G15" s="18">
        <f>F15+CX!G12-TX!G5</f>
        <v/>
      </c>
      <c r="H15" s="18">
        <f>G15+CX!H12-TX!H5</f>
        <v/>
      </c>
      <c r="I15" s="18">
        <f>H15+CX!I12-TX!I5</f>
        <v/>
      </c>
      <c r="J15" s="18">
        <f>I15+CX!J12-TX!J5</f>
        <v/>
      </c>
      <c r="K15" s="18">
        <f>J15+CX!K12-TX!K5</f>
        <v/>
      </c>
      <c r="L15" s="18">
        <f>K15+CX!L12-TX!L5</f>
        <v/>
      </c>
      <c r="M15" s="18">
        <f>L15+CX!M12-TX!M5</f>
        <v/>
      </c>
      <c r="N15" s="18">
        <f>M15+CX!N12-TX!N5</f>
        <v/>
      </c>
      <c r="O15" s="18">
        <f>N15+CX!O12-TX!O5</f>
        <v/>
      </c>
      <c r="P15" s="18">
        <f>O15+CX!P12-TX!P5</f>
        <v/>
      </c>
      <c r="Q15" s="18">
        <f>P15+CX!Q12-TX!Q5</f>
        <v/>
      </c>
      <c r="R15" s="18">
        <f>Q15+CX!R12-TX!R5</f>
        <v/>
      </c>
      <c r="S15" s="18">
        <f>R15+CX!S12-TX!S5</f>
        <v/>
      </c>
      <c r="T15" s="18">
        <f>S15+CX!T12-TX!T5</f>
        <v/>
      </c>
      <c r="U15" s="18">
        <f>T15+CX!U12-TX!U5</f>
        <v/>
      </c>
      <c r="V15" s="18">
        <f>U15+CX!V12-TX!V5</f>
        <v/>
      </c>
      <c r="W15" s="18">
        <f>V15+CX!W12-TX!W5</f>
        <v/>
      </c>
      <c r="X15" s="18">
        <f>W15+CX!X12-TX!X5</f>
        <v/>
      </c>
      <c r="Y15" s="18">
        <f>X15+CX!Y12-TX!Y5</f>
        <v/>
      </c>
      <c r="Z15" s="18">
        <f>Y15+CX!Z12-TX!Z5</f>
        <v/>
      </c>
      <c r="AA15" s="18">
        <f>Z15+CX!AA12-TX!AA5</f>
        <v/>
      </c>
      <c r="AB15" s="18">
        <f>AA15+CX!AB12-TX!AB5</f>
        <v/>
      </c>
      <c r="AC15" s="18">
        <f>AB15+CX!AC12-TX!AC5</f>
        <v/>
      </c>
      <c r="AD15" s="18">
        <f>AC15+CX!AD12-TX!AD5</f>
        <v/>
      </c>
      <c r="AE15" s="18">
        <f>AD15+CX!AE12-TX!AE5</f>
        <v/>
      </c>
      <c r="AF15" s="18">
        <f>AE15+CX!AF12-TX!AF5</f>
        <v/>
      </c>
      <c r="AG15" s="18">
        <f>AF15+CX!AG12-TX!AG5</f>
        <v/>
      </c>
      <c r="AH15" s="18">
        <f>AG15+CX!AH12-TX!AH5</f>
        <v/>
      </c>
      <c r="AI15" s="18">
        <f>AH15+CX!AI12-TX!AI5</f>
        <v/>
      </c>
      <c r="AJ15" s="18">
        <f>AI15+CX!AJ12-TX!AJ5</f>
        <v/>
      </c>
      <c r="AK15" s="18">
        <f>AJ15+CX!AK12-TX!AK5</f>
        <v/>
      </c>
      <c r="AL15" s="18">
        <f>AK15+CX!AL12-TX!AL5</f>
        <v/>
      </c>
      <c r="AM15" s="18">
        <f>AL15+CX!AM12-TX!AM5</f>
        <v/>
      </c>
      <c r="AN15" s="18">
        <f>AM15+CX!AN12-TX!AN5</f>
        <v/>
      </c>
      <c r="AO15" s="18">
        <f>AN15+CX!AO12-TX!AO5</f>
        <v/>
      </c>
      <c r="AP15" s="18">
        <f>AO15+CX!AP12-TX!AP5</f>
        <v/>
      </c>
      <c r="AQ15" s="18">
        <f>AP15+CX!AQ12-TX!AQ5</f>
        <v/>
      </c>
      <c r="AR15" s="18">
        <f>AQ15+CX!AR12-TX!AR5</f>
        <v/>
      </c>
      <c r="AS15" s="18">
        <f>AR15+CX!AS12-TX!AS5</f>
        <v/>
      </c>
      <c r="AT15" s="18">
        <f>AS15+CX!AT12-TX!AT5</f>
        <v/>
      </c>
      <c r="AU15" s="18">
        <f>AT15+CX!AU12-TX!AU5</f>
        <v/>
      </c>
      <c r="AV15" s="18">
        <f>AU15+CX!AV12-TX!AV5</f>
        <v/>
      </c>
      <c r="AW15" s="18">
        <f>AV15+CX!AW12-TX!AW5</f>
        <v/>
      </c>
      <c r="AX15" s="18">
        <f>AW15+CX!AX12-TX!AX5</f>
        <v/>
      </c>
      <c r="AY15" s="18">
        <f>AX15+CX!AY12-TX!AY5</f>
        <v/>
      </c>
      <c r="AZ15" s="18">
        <f>AY15+CX!AZ12-TX!AZ5</f>
        <v/>
      </c>
      <c r="BA15" s="18">
        <f>AZ15+CX!BA12-TX!BA5</f>
        <v/>
      </c>
      <c r="BB15" s="18">
        <f>BA15+CX!BB12-TX!BB5</f>
        <v/>
      </c>
      <c r="BC15" s="18">
        <f>BB15+CX!BC12-TX!BC5</f>
        <v/>
      </c>
      <c r="BD15" s="18">
        <f>BC15+CX!BD12-TX!BD5</f>
        <v/>
      </c>
      <c r="BE15" s="18">
        <f>BD15+CX!BE12-TX!BE5</f>
        <v/>
      </c>
      <c r="BF15" s="18">
        <f>BE15+CX!BF12-TX!BF5</f>
        <v/>
      </c>
      <c r="BG15" s="18">
        <f>BF15+CX!BG12-TX!BG5</f>
        <v/>
      </c>
    </row>
    <row r="16">
      <c r="A16" t="inlineStr">
        <is>
          <t>DSRA</t>
        </is>
      </c>
      <c r="C16" s="10" t="inlineStr">
        <is>
          <t>$</t>
        </is>
      </c>
      <c r="E16" s="18" t="n">
        <v>0</v>
      </c>
      <c r="F16" s="18">
        <f>DS!F7</f>
        <v/>
      </c>
      <c r="G16" s="18">
        <f>DS!G7</f>
        <v/>
      </c>
      <c r="H16" s="18">
        <f>DS!H7</f>
        <v/>
      </c>
      <c r="I16" s="18">
        <f>DS!I7</f>
        <v/>
      </c>
      <c r="J16" s="18">
        <f>DS!J7</f>
        <v/>
      </c>
      <c r="K16" s="18">
        <f>DS!K7</f>
        <v/>
      </c>
      <c r="L16" s="18">
        <f>DS!L7</f>
        <v/>
      </c>
      <c r="M16" s="18">
        <f>DS!M7</f>
        <v/>
      </c>
      <c r="N16" s="18">
        <f>DS!N7</f>
        <v/>
      </c>
      <c r="O16" s="18">
        <f>DS!O7</f>
        <v/>
      </c>
      <c r="P16" s="18">
        <f>DS!P7</f>
        <v/>
      </c>
      <c r="Q16" s="18">
        <f>DS!Q7</f>
        <v/>
      </c>
      <c r="R16" s="18">
        <f>DS!R7</f>
        <v/>
      </c>
      <c r="S16" s="18">
        <f>DS!S7</f>
        <v/>
      </c>
      <c r="T16" s="18">
        <f>DS!T7</f>
        <v/>
      </c>
      <c r="U16" s="18">
        <f>DS!U7</f>
        <v/>
      </c>
      <c r="V16" s="18">
        <f>DS!V7</f>
        <v/>
      </c>
      <c r="W16" s="18">
        <f>DS!W7</f>
        <v/>
      </c>
      <c r="X16" s="18">
        <f>DS!X7</f>
        <v/>
      </c>
      <c r="Y16" s="18">
        <f>DS!Y7</f>
        <v/>
      </c>
      <c r="Z16" s="18">
        <f>DS!Z7</f>
        <v/>
      </c>
      <c r="AA16" s="18">
        <f>DS!AA7</f>
        <v/>
      </c>
      <c r="AB16" s="18">
        <f>DS!AB7</f>
        <v/>
      </c>
      <c r="AC16" s="18">
        <f>DS!AC7</f>
        <v/>
      </c>
      <c r="AD16" s="18">
        <f>DS!AD7</f>
        <v/>
      </c>
      <c r="AE16" s="18">
        <f>DS!AE7</f>
        <v/>
      </c>
      <c r="AF16" s="18">
        <f>DS!AF7</f>
        <v/>
      </c>
      <c r="AG16" s="18">
        <f>DS!AG7</f>
        <v/>
      </c>
      <c r="AH16" s="18">
        <f>DS!AH7</f>
        <v/>
      </c>
      <c r="AI16" s="18">
        <f>DS!AI7</f>
        <v/>
      </c>
      <c r="AJ16" s="18">
        <f>DS!AJ7</f>
        <v/>
      </c>
      <c r="AK16" s="18">
        <f>DS!AK7</f>
        <v/>
      </c>
      <c r="AL16" s="18">
        <f>DS!AL7</f>
        <v/>
      </c>
      <c r="AM16" s="18">
        <f>DS!AM7</f>
        <v/>
      </c>
      <c r="AN16" s="18">
        <f>DS!AN7</f>
        <v/>
      </c>
      <c r="AO16" s="18">
        <f>DS!AO7</f>
        <v/>
      </c>
      <c r="AP16" s="18">
        <f>DS!AP7</f>
        <v/>
      </c>
      <c r="AQ16" s="18">
        <f>DS!AQ7</f>
        <v/>
      </c>
      <c r="AR16" s="18">
        <f>DS!AR7</f>
        <v/>
      </c>
      <c r="AS16" s="18">
        <f>DS!AS7</f>
        <v/>
      </c>
      <c r="AT16" s="18">
        <f>DS!AT7</f>
        <v/>
      </c>
      <c r="AU16" s="18">
        <f>DS!AU7</f>
        <v/>
      </c>
      <c r="AV16" s="18">
        <f>DS!AV7</f>
        <v/>
      </c>
      <c r="AW16" s="18">
        <f>DS!AW7</f>
        <v/>
      </c>
      <c r="AX16" s="18">
        <f>DS!AX7</f>
        <v/>
      </c>
      <c r="AY16" s="18">
        <f>DS!AY7</f>
        <v/>
      </c>
      <c r="AZ16" s="18">
        <f>DS!AZ7</f>
        <v/>
      </c>
      <c r="BA16" s="18">
        <f>DS!BA7</f>
        <v/>
      </c>
      <c r="BB16" s="18">
        <f>DS!BB7</f>
        <v/>
      </c>
      <c r="BC16" s="18">
        <f>DS!BC7</f>
        <v/>
      </c>
      <c r="BD16" s="18">
        <f>DS!BD7</f>
        <v/>
      </c>
      <c r="BE16" s="18">
        <f>DS!BE7</f>
        <v/>
      </c>
      <c r="BF16" s="18">
        <f>DS!BF7</f>
        <v/>
      </c>
      <c r="BG16" s="18">
        <f>DS!BG7</f>
        <v/>
      </c>
    </row>
    <row r="17">
      <c r="A17" t="inlineStr">
        <is>
          <t>Net working capital</t>
        </is>
      </c>
      <c r="C17" s="10" t="inlineStr">
        <is>
          <t>$</t>
        </is>
      </c>
      <c r="E17" s="18" t="n">
        <v>0</v>
      </c>
      <c r="F17" s="18">
        <f>WC!F5</f>
        <v/>
      </c>
      <c r="G17" s="18">
        <f>WC!G5</f>
        <v/>
      </c>
      <c r="H17" s="18">
        <f>WC!H5</f>
        <v/>
      </c>
      <c r="I17" s="18">
        <f>WC!I5</f>
        <v/>
      </c>
      <c r="J17" s="18">
        <f>WC!J5</f>
        <v/>
      </c>
      <c r="K17" s="18">
        <f>WC!K5</f>
        <v/>
      </c>
      <c r="L17" s="18">
        <f>WC!L5</f>
        <v/>
      </c>
      <c r="M17" s="18">
        <f>WC!M5</f>
        <v/>
      </c>
      <c r="N17" s="18">
        <f>WC!N5</f>
        <v/>
      </c>
      <c r="O17" s="18">
        <f>WC!O5</f>
        <v/>
      </c>
      <c r="P17" s="18">
        <f>WC!P5</f>
        <v/>
      </c>
      <c r="Q17" s="18">
        <f>WC!Q5</f>
        <v/>
      </c>
      <c r="R17" s="18">
        <f>WC!R5</f>
        <v/>
      </c>
      <c r="S17" s="18">
        <f>WC!S5</f>
        <v/>
      </c>
      <c r="T17" s="18">
        <f>WC!T5</f>
        <v/>
      </c>
      <c r="U17" s="18">
        <f>WC!U5</f>
        <v/>
      </c>
      <c r="V17" s="18">
        <f>WC!V5</f>
        <v/>
      </c>
      <c r="W17" s="18">
        <f>WC!W5</f>
        <v/>
      </c>
      <c r="X17" s="18">
        <f>WC!X5</f>
        <v/>
      </c>
      <c r="Y17" s="18">
        <f>WC!Y5</f>
        <v/>
      </c>
      <c r="Z17" s="18">
        <f>WC!Z5</f>
        <v/>
      </c>
      <c r="AA17" s="18">
        <f>WC!AA5</f>
        <v/>
      </c>
      <c r="AB17" s="18">
        <f>WC!AB5</f>
        <v/>
      </c>
      <c r="AC17" s="18">
        <f>WC!AC5</f>
        <v/>
      </c>
      <c r="AD17" s="18">
        <f>WC!AD5</f>
        <v/>
      </c>
      <c r="AE17" s="18">
        <f>WC!AE5</f>
        <v/>
      </c>
      <c r="AF17" s="18">
        <f>WC!AF5</f>
        <v/>
      </c>
      <c r="AG17" s="18">
        <f>WC!AG5</f>
        <v/>
      </c>
      <c r="AH17" s="18">
        <f>WC!AH5</f>
        <v/>
      </c>
      <c r="AI17" s="18">
        <f>WC!AI5</f>
        <v/>
      </c>
      <c r="AJ17" s="18">
        <f>WC!AJ5</f>
        <v/>
      </c>
      <c r="AK17" s="18">
        <f>WC!AK5</f>
        <v/>
      </c>
      <c r="AL17" s="18">
        <f>WC!AL5</f>
        <v/>
      </c>
      <c r="AM17" s="18">
        <f>WC!AM5</f>
        <v/>
      </c>
      <c r="AN17" s="18">
        <f>WC!AN5</f>
        <v/>
      </c>
      <c r="AO17" s="18">
        <f>WC!AO5</f>
        <v/>
      </c>
      <c r="AP17" s="18">
        <f>WC!AP5</f>
        <v/>
      </c>
      <c r="AQ17" s="18">
        <f>WC!AQ5</f>
        <v/>
      </c>
      <c r="AR17" s="18">
        <f>WC!AR5</f>
        <v/>
      </c>
      <c r="AS17" s="18">
        <f>WC!AS5</f>
        <v/>
      </c>
      <c r="AT17" s="18">
        <f>WC!AT5</f>
        <v/>
      </c>
      <c r="AU17" s="18">
        <f>WC!AU5</f>
        <v/>
      </c>
      <c r="AV17" s="18">
        <f>WC!AV5</f>
        <v/>
      </c>
      <c r="AW17" s="18">
        <f>WC!AW5</f>
        <v/>
      </c>
      <c r="AX17" s="18">
        <f>WC!AX5</f>
        <v/>
      </c>
      <c r="AY17" s="18">
        <f>WC!AY5</f>
        <v/>
      </c>
      <c r="AZ17" s="18">
        <f>WC!AZ5</f>
        <v/>
      </c>
      <c r="BA17" s="18">
        <f>WC!BA5</f>
        <v/>
      </c>
      <c r="BB17" s="18">
        <f>WC!BB5</f>
        <v/>
      </c>
      <c r="BC17" s="18">
        <f>WC!BC5</f>
        <v/>
      </c>
      <c r="BD17" s="18">
        <f>WC!BD5</f>
        <v/>
      </c>
      <c r="BE17" s="18">
        <f>WC!BE5</f>
        <v/>
      </c>
      <c r="BF17" s="18">
        <f>WC!BF5</f>
        <v/>
      </c>
      <c r="BG17" s="18">
        <f>WC!BG5</f>
        <v/>
      </c>
    </row>
    <row r="18">
      <c r="A18" t="inlineStr">
        <is>
          <t>Cash at bank</t>
        </is>
      </c>
      <c r="C18" s="10" t="inlineStr">
        <is>
          <t>$</t>
        </is>
      </c>
      <c r="E18" s="18" t="n">
        <v>0</v>
      </c>
      <c r="F18" s="18">
        <f>WF!F13</f>
        <v/>
      </c>
      <c r="G18" s="18">
        <f>WF!G13</f>
        <v/>
      </c>
      <c r="H18" s="18">
        <f>WF!H13</f>
        <v/>
      </c>
      <c r="I18" s="18">
        <f>WF!I13</f>
        <v/>
      </c>
      <c r="J18" s="18">
        <f>WF!J13</f>
        <v/>
      </c>
      <c r="K18" s="18">
        <f>WF!K13</f>
        <v/>
      </c>
      <c r="L18" s="18">
        <f>WF!L13</f>
        <v/>
      </c>
      <c r="M18" s="18">
        <f>WF!M13</f>
        <v/>
      </c>
      <c r="N18" s="18">
        <f>WF!N13</f>
        <v/>
      </c>
      <c r="O18" s="18">
        <f>WF!O13</f>
        <v/>
      </c>
      <c r="P18" s="18">
        <f>WF!P13</f>
        <v/>
      </c>
      <c r="Q18" s="18">
        <f>WF!Q13</f>
        <v/>
      </c>
      <c r="R18" s="18">
        <f>WF!R13</f>
        <v/>
      </c>
      <c r="S18" s="18">
        <f>WF!S13</f>
        <v/>
      </c>
      <c r="T18" s="18">
        <f>WF!T13</f>
        <v/>
      </c>
      <c r="U18" s="18">
        <f>WF!U13</f>
        <v/>
      </c>
      <c r="V18" s="18">
        <f>WF!V13</f>
        <v/>
      </c>
      <c r="W18" s="18">
        <f>WF!W13</f>
        <v/>
      </c>
      <c r="X18" s="18">
        <f>WF!X13</f>
        <v/>
      </c>
      <c r="Y18" s="18">
        <f>WF!Y13</f>
        <v/>
      </c>
      <c r="Z18" s="18">
        <f>WF!Z13</f>
        <v/>
      </c>
      <c r="AA18" s="18">
        <f>WF!AA13</f>
        <v/>
      </c>
      <c r="AB18" s="18">
        <f>WF!AB13</f>
        <v/>
      </c>
      <c r="AC18" s="18">
        <f>WF!AC13</f>
        <v/>
      </c>
      <c r="AD18" s="18">
        <f>WF!AD13</f>
        <v/>
      </c>
      <c r="AE18" s="18">
        <f>WF!AE13</f>
        <v/>
      </c>
      <c r="AF18" s="18">
        <f>WF!AF13</f>
        <v/>
      </c>
      <c r="AG18" s="18">
        <f>WF!AG13</f>
        <v/>
      </c>
      <c r="AH18" s="18">
        <f>WF!AH13</f>
        <v/>
      </c>
      <c r="AI18" s="18">
        <f>WF!AI13</f>
        <v/>
      </c>
      <c r="AJ18" s="18">
        <f>WF!AJ13</f>
        <v/>
      </c>
      <c r="AK18" s="18">
        <f>WF!AK13</f>
        <v/>
      </c>
      <c r="AL18" s="18">
        <f>WF!AL13</f>
        <v/>
      </c>
      <c r="AM18" s="18">
        <f>WF!AM13</f>
        <v/>
      </c>
      <c r="AN18" s="18">
        <f>WF!AN13</f>
        <v/>
      </c>
      <c r="AO18" s="18">
        <f>WF!AO13</f>
        <v/>
      </c>
      <c r="AP18" s="18">
        <f>WF!AP13</f>
        <v/>
      </c>
      <c r="AQ18" s="18">
        <f>WF!AQ13</f>
        <v/>
      </c>
      <c r="AR18" s="18">
        <f>WF!AR13</f>
        <v/>
      </c>
      <c r="AS18" s="18">
        <f>WF!AS13</f>
        <v/>
      </c>
      <c r="AT18" s="18">
        <f>WF!AT13</f>
        <v/>
      </c>
      <c r="AU18" s="18">
        <f>WF!AU13</f>
        <v/>
      </c>
      <c r="AV18" s="18">
        <f>WF!AV13</f>
        <v/>
      </c>
      <c r="AW18" s="18">
        <f>WF!AW13</f>
        <v/>
      </c>
      <c r="AX18" s="18">
        <f>WF!AX13</f>
        <v/>
      </c>
      <c r="AY18" s="18">
        <f>WF!AY13</f>
        <v/>
      </c>
      <c r="AZ18" s="18">
        <f>WF!AZ13</f>
        <v/>
      </c>
      <c r="BA18" s="18">
        <f>WF!BA13</f>
        <v/>
      </c>
      <c r="BB18" s="18">
        <f>WF!BB13</f>
        <v/>
      </c>
      <c r="BC18" s="18">
        <f>WF!BC13</f>
        <v/>
      </c>
      <c r="BD18" s="18">
        <f>WF!BD13</f>
        <v/>
      </c>
      <c r="BE18" s="18">
        <f>WF!BE13</f>
        <v/>
      </c>
      <c r="BF18" s="18">
        <f>WF!BF13</f>
        <v/>
      </c>
      <c r="BG18" s="18">
        <f>WF!BG13</f>
        <v/>
      </c>
    </row>
    <row r="19">
      <c r="A19" s="3" t="inlineStr">
        <is>
          <t>Total assets</t>
        </is>
      </c>
      <c r="C19" s="10" t="inlineStr">
        <is>
          <t>$</t>
        </is>
      </c>
      <c r="E19" s="18" t="n">
        <v>0</v>
      </c>
      <c r="F19" s="18">
        <f>F15+F16+F17+F18</f>
        <v/>
      </c>
      <c r="G19" s="18">
        <f>G15+G16+G17+G18</f>
        <v/>
      </c>
      <c r="H19" s="18">
        <f>H15+H16+H17+H18</f>
        <v/>
      </c>
      <c r="I19" s="18">
        <f>I15+I16+I17+I18</f>
        <v/>
      </c>
      <c r="J19" s="18">
        <f>J15+J16+J17+J18</f>
        <v/>
      </c>
      <c r="K19" s="18">
        <f>K15+K16+K17+K18</f>
        <v/>
      </c>
      <c r="L19" s="18">
        <f>L15+L16+L17+L18</f>
        <v/>
      </c>
      <c r="M19" s="18">
        <f>M15+M16+M17+M18</f>
        <v/>
      </c>
      <c r="N19" s="18">
        <f>N15+N16+N17+N18</f>
        <v/>
      </c>
      <c r="O19" s="18">
        <f>O15+O16+O17+O18</f>
        <v/>
      </c>
      <c r="P19" s="18">
        <f>P15+P16+P17+P18</f>
        <v/>
      </c>
      <c r="Q19" s="18">
        <f>Q15+Q16+Q17+Q18</f>
        <v/>
      </c>
      <c r="R19" s="18">
        <f>R15+R16+R17+R18</f>
        <v/>
      </c>
      <c r="S19" s="18">
        <f>S15+S16+S17+S18</f>
        <v/>
      </c>
      <c r="T19" s="18">
        <f>T15+T16+T17+T18</f>
        <v/>
      </c>
      <c r="U19" s="18">
        <f>U15+U16+U17+U18</f>
        <v/>
      </c>
      <c r="V19" s="18">
        <f>V15+V16+V17+V18</f>
        <v/>
      </c>
      <c r="W19" s="18">
        <f>W15+W16+W17+W18</f>
        <v/>
      </c>
      <c r="X19" s="18">
        <f>X15+X16+X17+X18</f>
        <v/>
      </c>
      <c r="Y19" s="18">
        <f>Y15+Y16+Y17+Y18</f>
        <v/>
      </c>
      <c r="Z19" s="18">
        <f>Z15+Z16+Z17+Z18</f>
        <v/>
      </c>
      <c r="AA19" s="18">
        <f>AA15+AA16+AA17+AA18</f>
        <v/>
      </c>
      <c r="AB19" s="18">
        <f>AB15+AB16+AB17+AB18</f>
        <v/>
      </c>
      <c r="AC19" s="18">
        <f>AC15+AC16+AC17+AC18</f>
        <v/>
      </c>
      <c r="AD19" s="18">
        <f>AD15+AD16+AD17+AD18</f>
        <v/>
      </c>
      <c r="AE19" s="18">
        <f>AE15+AE16+AE17+AE18</f>
        <v/>
      </c>
      <c r="AF19" s="18">
        <f>AF15+AF16+AF17+AF18</f>
        <v/>
      </c>
      <c r="AG19" s="18">
        <f>AG15+AG16+AG17+AG18</f>
        <v/>
      </c>
      <c r="AH19" s="18">
        <f>AH15+AH16+AH17+AH18</f>
        <v/>
      </c>
      <c r="AI19" s="18">
        <f>AI15+AI16+AI17+AI18</f>
        <v/>
      </c>
      <c r="AJ19" s="18">
        <f>AJ15+AJ16+AJ17+AJ18</f>
        <v/>
      </c>
      <c r="AK19" s="18">
        <f>AK15+AK16+AK17+AK18</f>
        <v/>
      </c>
      <c r="AL19" s="18">
        <f>AL15+AL16+AL17+AL18</f>
        <v/>
      </c>
      <c r="AM19" s="18">
        <f>AM15+AM16+AM17+AM18</f>
        <v/>
      </c>
      <c r="AN19" s="18">
        <f>AN15+AN16+AN17+AN18</f>
        <v/>
      </c>
      <c r="AO19" s="18">
        <f>AO15+AO16+AO17+AO18</f>
        <v/>
      </c>
      <c r="AP19" s="18">
        <f>AP15+AP16+AP17+AP18</f>
        <v/>
      </c>
      <c r="AQ19" s="18">
        <f>AQ15+AQ16+AQ17+AQ18</f>
        <v/>
      </c>
      <c r="AR19" s="18">
        <f>AR15+AR16+AR17+AR18</f>
        <v/>
      </c>
      <c r="AS19" s="18">
        <f>AS15+AS16+AS17+AS18</f>
        <v/>
      </c>
      <c r="AT19" s="18">
        <f>AT15+AT16+AT17+AT18</f>
        <v/>
      </c>
      <c r="AU19" s="18">
        <f>AU15+AU16+AU17+AU18</f>
        <v/>
      </c>
      <c r="AV19" s="18">
        <f>AV15+AV16+AV17+AV18</f>
        <v/>
      </c>
      <c r="AW19" s="18">
        <f>AW15+AW16+AW17+AW18</f>
        <v/>
      </c>
      <c r="AX19" s="18">
        <f>AX15+AX16+AX17+AX18</f>
        <v/>
      </c>
      <c r="AY19" s="18">
        <f>AY15+AY16+AY17+AY18</f>
        <v/>
      </c>
      <c r="AZ19" s="18">
        <f>AZ15+AZ16+AZ17+AZ18</f>
        <v/>
      </c>
      <c r="BA19" s="18">
        <f>BA15+BA16+BA17+BA18</f>
        <v/>
      </c>
      <c r="BB19" s="18">
        <f>BB15+BB16+BB17+BB18</f>
        <v/>
      </c>
      <c r="BC19" s="18">
        <f>BC15+BC16+BC17+BC18</f>
        <v/>
      </c>
      <c r="BD19" s="18">
        <f>BD15+BD16+BD17+BD18</f>
        <v/>
      </c>
      <c r="BE19" s="18">
        <f>BE15+BE16+BE17+BE18</f>
        <v/>
      </c>
      <c r="BF19" s="18">
        <f>BF15+BF16+BF17+BF18</f>
        <v/>
      </c>
      <c r="BG19" s="18">
        <f>BG15+BG16+BG17+BG18</f>
        <v/>
      </c>
    </row>
    <row r="20">
      <c r="A20" t="inlineStr">
        <is>
          <t>Debt</t>
        </is>
      </c>
      <c r="C20" s="10" t="inlineStr">
        <is>
          <t>$</t>
        </is>
      </c>
      <c r="E20" s="18" t="n">
        <v>0</v>
      </c>
      <c r="F20" s="18">
        <f>CX!F10*TM!F7+DB!F7*(1-TM!F7)</f>
        <v/>
      </c>
      <c r="G20" s="18">
        <f>CX!G10*TM!G7+DB!G7*(1-TM!G7)</f>
        <v/>
      </c>
      <c r="H20" s="18">
        <f>CX!H10*TM!H7+DB!H7*(1-TM!H7)</f>
        <v/>
      </c>
      <c r="I20" s="18">
        <f>CX!I10*TM!I7+DB!I7*(1-TM!I7)</f>
        <v/>
      </c>
      <c r="J20" s="18">
        <f>CX!J10*TM!J7+DB!J7*(1-TM!J7)</f>
        <v/>
      </c>
      <c r="K20" s="18">
        <f>CX!K10*TM!K7+DB!K7*(1-TM!K7)</f>
        <v/>
      </c>
      <c r="L20" s="18">
        <f>CX!L10*TM!L7+DB!L7*(1-TM!L7)</f>
        <v/>
      </c>
      <c r="M20" s="18">
        <f>CX!M10*TM!M7+DB!M7*(1-TM!M7)</f>
        <v/>
      </c>
      <c r="N20" s="18">
        <f>CX!N10*TM!N7+DB!N7*(1-TM!N7)</f>
        <v/>
      </c>
      <c r="O20" s="18">
        <f>CX!O10*TM!O7+DB!O7*(1-TM!O7)</f>
        <v/>
      </c>
      <c r="P20" s="18">
        <f>CX!P10*TM!P7+DB!P7*(1-TM!P7)</f>
        <v/>
      </c>
      <c r="Q20" s="18">
        <f>CX!Q10*TM!Q7+DB!Q7*(1-TM!Q7)</f>
        <v/>
      </c>
      <c r="R20" s="18">
        <f>CX!R10*TM!R7+DB!R7*(1-TM!R7)</f>
        <v/>
      </c>
      <c r="S20" s="18">
        <f>CX!S10*TM!S7+DB!S7*(1-TM!S7)</f>
        <v/>
      </c>
      <c r="T20" s="18">
        <f>CX!T10*TM!T7+DB!T7*(1-TM!T7)</f>
        <v/>
      </c>
      <c r="U20" s="18">
        <f>CX!U10*TM!U7+DB!U7*(1-TM!U7)</f>
        <v/>
      </c>
      <c r="V20" s="18">
        <f>CX!V10*TM!V7+DB!V7*(1-TM!V7)</f>
        <v/>
      </c>
      <c r="W20" s="18">
        <f>CX!W10*TM!W7+DB!W7*(1-TM!W7)</f>
        <v/>
      </c>
      <c r="X20" s="18">
        <f>CX!X10*TM!X7+DB!X7*(1-TM!X7)</f>
        <v/>
      </c>
      <c r="Y20" s="18">
        <f>CX!Y10*TM!Y7+DB!Y7*(1-TM!Y7)</f>
        <v/>
      </c>
      <c r="Z20" s="18">
        <f>CX!Z10*TM!Z7+DB!Z7*(1-TM!Z7)</f>
        <v/>
      </c>
      <c r="AA20" s="18">
        <f>CX!AA10*TM!AA7+DB!AA7*(1-TM!AA7)</f>
        <v/>
      </c>
      <c r="AB20" s="18">
        <f>CX!AB10*TM!AB7+DB!AB7*(1-TM!AB7)</f>
        <v/>
      </c>
      <c r="AC20" s="18">
        <f>CX!AC10*TM!AC7+DB!AC7*(1-TM!AC7)</f>
        <v/>
      </c>
      <c r="AD20" s="18">
        <f>CX!AD10*TM!AD7+DB!AD7*(1-TM!AD7)</f>
        <v/>
      </c>
      <c r="AE20" s="18">
        <f>CX!AE10*TM!AE7+DB!AE7*(1-TM!AE7)</f>
        <v/>
      </c>
      <c r="AF20" s="18">
        <f>CX!AF10*TM!AF7+DB!AF7*(1-TM!AF7)</f>
        <v/>
      </c>
      <c r="AG20" s="18">
        <f>CX!AG10*TM!AG7+DB!AG7*(1-TM!AG7)</f>
        <v/>
      </c>
      <c r="AH20" s="18">
        <f>CX!AH10*TM!AH7+DB!AH7*(1-TM!AH7)</f>
        <v/>
      </c>
      <c r="AI20" s="18">
        <f>CX!AI10*TM!AI7+DB!AI7*(1-TM!AI7)</f>
        <v/>
      </c>
      <c r="AJ20" s="18">
        <f>CX!AJ10*TM!AJ7+DB!AJ7*(1-TM!AJ7)</f>
        <v/>
      </c>
      <c r="AK20" s="18">
        <f>CX!AK10*TM!AK7+DB!AK7*(1-TM!AK7)</f>
        <v/>
      </c>
      <c r="AL20" s="18">
        <f>CX!AL10*TM!AL7+DB!AL7*(1-TM!AL7)</f>
        <v/>
      </c>
      <c r="AM20" s="18">
        <f>CX!AM10*TM!AM7+DB!AM7*(1-TM!AM7)</f>
        <v/>
      </c>
      <c r="AN20" s="18">
        <f>CX!AN10*TM!AN7+DB!AN7*(1-TM!AN7)</f>
        <v/>
      </c>
      <c r="AO20" s="18">
        <f>CX!AO10*TM!AO7+DB!AO7*(1-TM!AO7)</f>
        <v/>
      </c>
      <c r="AP20" s="18">
        <f>CX!AP10*TM!AP7+DB!AP7*(1-TM!AP7)</f>
        <v/>
      </c>
      <c r="AQ20" s="18">
        <f>CX!AQ10*TM!AQ7+DB!AQ7*(1-TM!AQ7)</f>
        <v/>
      </c>
      <c r="AR20" s="18">
        <f>CX!AR10*TM!AR7+DB!AR7*(1-TM!AR7)</f>
        <v/>
      </c>
      <c r="AS20" s="18">
        <f>CX!AS10*TM!AS7+DB!AS7*(1-TM!AS7)</f>
        <v/>
      </c>
      <c r="AT20" s="18">
        <f>CX!AT10*TM!AT7+DB!AT7*(1-TM!AT7)</f>
        <v/>
      </c>
      <c r="AU20" s="18">
        <f>CX!AU10*TM!AU7+DB!AU7*(1-TM!AU7)</f>
        <v/>
      </c>
      <c r="AV20" s="18">
        <f>CX!AV10*TM!AV7+DB!AV7*(1-TM!AV7)</f>
        <v/>
      </c>
      <c r="AW20" s="18">
        <f>CX!AW10*TM!AW7+DB!AW7*(1-TM!AW7)</f>
        <v/>
      </c>
      <c r="AX20" s="18">
        <f>CX!AX10*TM!AX7+DB!AX7*(1-TM!AX7)</f>
        <v/>
      </c>
      <c r="AY20" s="18">
        <f>CX!AY10*TM!AY7+DB!AY7*(1-TM!AY7)</f>
        <v/>
      </c>
      <c r="AZ20" s="18">
        <f>CX!AZ10*TM!AZ7+DB!AZ7*(1-TM!AZ7)</f>
        <v/>
      </c>
      <c r="BA20" s="18">
        <f>CX!BA10*TM!BA7+DB!BA7*(1-TM!BA7)</f>
        <v/>
      </c>
      <c r="BB20" s="18">
        <f>CX!BB10*TM!BB7+DB!BB7*(1-TM!BB7)</f>
        <v/>
      </c>
      <c r="BC20" s="18">
        <f>CX!BC10*TM!BC7+DB!BC7*(1-TM!BC7)</f>
        <v/>
      </c>
      <c r="BD20" s="18">
        <f>CX!BD10*TM!BD7+DB!BD7*(1-TM!BD7)</f>
        <v/>
      </c>
      <c r="BE20" s="18">
        <f>CX!BE10*TM!BE7+DB!BE7*(1-TM!BE7)</f>
        <v/>
      </c>
      <c r="BF20" s="18">
        <f>CX!BF10*TM!BF7+DB!BF7*(1-TM!BF7)</f>
        <v/>
      </c>
      <c r="BG20" s="18">
        <f>CX!BG10*TM!BG7+DB!BG7*(1-TM!BG7)</f>
        <v/>
      </c>
    </row>
    <row r="21">
      <c r="A21" t="inlineStr">
        <is>
          <t>Tax payable</t>
        </is>
      </c>
      <c r="C21" s="10" t="inlineStr">
        <is>
          <t>$</t>
        </is>
      </c>
      <c r="E21" s="18" t="n">
        <v>0</v>
      </c>
      <c r="F21" s="18">
        <f>E21+TX!F11-TX!F12</f>
        <v/>
      </c>
      <c r="G21" s="18">
        <f>F21+TX!G11-TX!G12</f>
        <v/>
      </c>
      <c r="H21" s="18">
        <f>G21+TX!H11-TX!H12</f>
        <v/>
      </c>
      <c r="I21" s="18">
        <f>H21+TX!I11-TX!I12</f>
        <v/>
      </c>
      <c r="J21" s="18">
        <f>I21+TX!J11-TX!J12</f>
        <v/>
      </c>
      <c r="K21" s="18">
        <f>J21+TX!K11-TX!K12</f>
        <v/>
      </c>
      <c r="L21" s="18">
        <f>K21+TX!L11-TX!L12</f>
        <v/>
      </c>
      <c r="M21" s="18">
        <f>L21+TX!M11-TX!M12</f>
        <v/>
      </c>
      <c r="N21" s="18">
        <f>M21+TX!N11-TX!N12</f>
        <v/>
      </c>
      <c r="O21" s="18">
        <f>N21+TX!O11-TX!O12</f>
        <v/>
      </c>
      <c r="P21" s="18">
        <f>O21+TX!P11-TX!P12</f>
        <v/>
      </c>
      <c r="Q21" s="18">
        <f>P21+TX!Q11-TX!Q12</f>
        <v/>
      </c>
      <c r="R21" s="18">
        <f>Q21+TX!R11-TX!R12</f>
        <v/>
      </c>
      <c r="S21" s="18">
        <f>R21+TX!S11-TX!S12</f>
        <v/>
      </c>
      <c r="T21" s="18">
        <f>S21+TX!T11-TX!T12</f>
        <v/>
      </c>
      <c r="U21" s="18">
        <f>T21+TX!U11-TX!U12</f>
        <v/>
      </c>
      <c r="V21" s="18">
        <f>U21+TX!V11-TX!V12</f>
        <v/>
      </c>
      <c r="W21" s="18">
        <f>V21+TX!W11-TX!W12</f>
        <v/>
      </c>
      <c r="X21" s="18">
        <f>W21+TX!X11-TX!X12</f>
        <v/>
      </c>
      <c r="Y21" s="18">
        <f>X21+TX!Y11-TX!Y12</f>
        <v/>
      </c>
      <c r="Z21" s="18">
        <f>Y21+TX!Z11-TX!Z12</f>
        <v/>
      </c>
      <c r="AA21" s="18">
        <f>Z21+TX!AA11-TX!AA12</f>
        <v/>
      </c>
      <c r="AB21" s="18">
        <f>AA21+TX!AB11-TX!AB12</f>
        <v/>
      </c>
      <c r="AC21" s="18">
        <f>AB21+TX!AC11-TX!AC12</f>
        <v/>
      </c>
      <c r="AD21" s="18">
        <f>AC21+TX!AD11-TX!AD12</f>
        <v/>
      </c>
      <c r="AE21" s="18">
        <f>AD21+TX!AE11-TX!AE12</f>
        <v/>
      </c>
      <c r="AF21" s="18">
        <f>AE21+TX!AF11-TX!AF12</f>
        <v/>
      </c>
      <c r="AG21" s="18">
        <f>AF21+TX!AG11-TX!AG12</f>
        <v/>
      </c>
      <c r="AH21" s="18">
        <f>AG21+TX!AH11-TX!AH12</f>
        <v/>
      </c>
      <c r="AI21" s="18">
        <f>AH21+TX!AI11-TX!AI12</f>
        <v/>
      </c>
      <c r="AJ21" s="18">
        <f>AI21+TX!AJ11-TX!AJ12</f>
        <v/>
      </c>
      <c r="AK21" s="18">
        <f>AJ21+TX!AK11-TX!AK12</f>
        <v/>
      </c>
      <c r="AL21" s="18">
        <f>AK21+TX!AL11-TX!AL12</f>
        <v/>
      </c>
      <c r="AM21" s="18">
        <f>AL21+TX!AM11-TX!AM12</f>
        <v/>
      </c>
      <c r="AN21" s="18">
        <f>AM21+TX!AN11-TX!AN12</f>
        <v/>
      </c>
      <c r="AO21" s="18">
        <f>AN21+TX!AO11-TX!AO12</f>
        <v/>
      </c>
      <c r="AP21" s="18">
        <f>AO21+TX!AP11-TX!AP12</f>
        <v/>
      </c>
      <c r="AQ21" s="18">
        <f>AP21+TX!AQ11-TX!AQ12</f>
        <v/>
      </c>
      <c r="AR21" s="18">
        <f>AQ21+TX!AR11-TX!AR12</f>
        <v/>
      </c>
      <c r="AS21" s="18">
        <f>AR21+TX!AS11-TX!AS12</f>
        <v/>
      </c>
      <c r="AT21" s="18">
        <f>AS21+TX!AT11-TX!AT12</f>
        <v/>
      </c>
      <c r="AU21" s="18">
        <f>AT21+TX!AU11-TX!AU12</f>
        <v/>
      </c>
      <c r="AV21" s="18">
        <f>AU21+TX!AV11-TX!AV12</f>
        <v/>
      </c>
      <c r="AW21" s="18">
        <f>AV21+TX!AW11-TX!AW12</f>
        <v/>
      </c>
      <c r="AX21" s="18">
        <f>AW21+TX!AX11-TX!AX12</f>
        <v/>
      </c>
      <c r="AY21" s="18">
        <f>AX21+TX!AY11-TX!AY12</f>
        <v/>
      </c>
      <c r="AZ21" s="18">
        <f>AY21+TX!AZ11-TX!AZ12</f>
        <v/>
      </c>
      <c r="BA21" s="18">
        <f>AZ21+TX!BA11-TX!BA12</f>
        <v/>
      </c>
      <c r="BB21" s="18">
        <f>BA21+TX!BB11-TX!BB12</f>
        <v/>
      </c>
      <c r="BC21" s="18">
        <f>BB21+TX!BC11-TX!BC12</f>
        <v/>
      </c>
      <c r="BD21" s="18">
        <f>BC21+TX!BD11-TX!BD12</f>
        <v/>
      </c>
      <c r="BE21" s="18">
        <f>BD21+TX!BE11-TX!BE12</f>
        <v/>
      </c>
      <c r="BF21" s="18">
        <f>BE21+TX!BF11-TX!BF12</f>
        <v/>
      </c>
      <c r="BG21" s="18">
        <f>BF21+TX!BG11-TX!BG12</f>
        <v/>
      </c>
    </row>
    <row r="22">
      <c r="A22" t="inlineStr">
        <is>
          <t>Share capital</t>
        </is>
      </c>
      <c r="C22" s="10" t="inlineStr">
        <is>
          <t>$</t>
        </is>
      </c>
      <c r="E22" s="18" t="n">
        <v>0</v>
      </c>
      <c r="F22" s="18">
        <f>E22+CX!F5+CX!F8+WF!F11+TM!F10*DebtAtCOD*(1-GearingFactor)</f>
        <v/>
      </c>
      <c r="G22" s="18">
        <f>F22+CX!G5+CX!G8+WF!G11+TM!G10*DebtAtCOD*(1-GearingFactor)</f>
        <v/>
      </c>
      <c r="H22" s="18">
        <f>G22+CX!H5+CX!H8+WF!H11+TM!H10*DebtAtCOD*(1-GearingFactor)</f>
        <v/>
      </c>
      <c r="I22" s="18">
        <f>H22+CX!I5+CX!I8+WF!I11+TM!I10*DebtAtCOD*(1-GearingFactor)</f>
        <v/>
      </c>
      <c r="J22" s="18">
        <f>I22+CX!J5+CX!J8+WF!J11+TM!J10*DebtAtCOD*(1-GearingFactor)</f>
        <v/>
      </c>
      <c r="K22" s="18">
        <f>J22+CX!K5+CX!K8+WF!K11+TM!K10*DebtAtCOD*(1-GearingFactor)</f>
        <v/>
      </c>
      <c r="L22" s="18">
        <f>K22+CX!L5+CX!L8+WF!L11+TM!L10*DebtAtCOD*(1-GearingFactor)</f>
        <v/>
      </c>
      <c r="M22" s="18">
        <f>L22+CX!M5+CX!M8+WF!M11+TM!M10*DebtAtCOD*(1-GearingFactor)</f>
        <v/>
      </c>
      <c r="N22" s="18">
        <f>M22+CX!N5+CX!N8+WF!N11+TM!N10*DebtAtCOD*(1-GearingFactor)</f>
        <v/>
      </c>
      <c r="O22" s="18">
        <f>N22+CX!O5+CX!O8+WF!O11+TM!O10*DebtAtCOD*(1-GearingFactor)</f>
        <v/>
      </c>
      <c r="P22" s="18">
        <f>O22+CX!P5+CX!P8+WF!P11+TM!P10*DebtAtCOD*(1-GearingFactor)</f>
        <v/>
      </c>
      <c r="Q22" s="18">
        <f>P22+CX!Q5+CX!Q8+WF!Q11+TM!Q10*DebtAtCOD*(1-GearingFactor)</f>
        <v/>
      </c>
      <c r="R22" s="18">
        <f>Q22+CX!R5+CX!R8+WF!R11+TM!R10*DebtAtCOD*(1-GearingFactor)</f>
        <v/>
      </c>
      <c r="S22" s="18">
        <f>R22+CX!S5+CX!S8+WF!S11+TM!S10*DebtAtCOD*(1-GearingFactor)</f>
        <v/>
      </c>
      <c r="T22" s="18">
        <f>S22+CX!T5+CX!T8+WF!T11+TM!T10*DebtAtCOD*(1-GearingFactor)</f>
        <v/>
      </c>
      <c r="U22" s="18">
        <f>T22+CX!U5+CX!U8+WF!U11+TM!U10*DebtAtCOD*(1-GearingFactor)</f>
        <v/>
      </c>
      <c r="V22" s="18">
        <f>U22+CX!V5+CX!V8+WF!V11+TM!V10*DebtAtCOD*(1-GearingFactor)</f>
        <v/>
      </c>
      <c r="W22" s="18">
        <f>V22+CX!W5+CX!W8+WF!W11+TM!W10*DebtAtCOD*(1-GearingFactor)</f>
        <v/>
      </c>
      <c r="X22" s="18">
        <f>W22+CX!X5+CX!X8+WF!X11+TM!X10*DebtAtCOD*(1-GearingFactor)</f>
        <v/>
      </c>
      <c r="Y22" s="18">
        <f>X22+CX!Y5+CX!Y8+WF!Y11+TM!Y10*DebtAtCOD*(1-GearingFactor)</f>
        <v/>
      </c>
      <c r="Z22" s="18">
        <f>Y22+CX!Z5+CX!Z8+WF!Z11+TM!Z10*DebtAtCOD*(1-GearingFactor)</f>
        <v/>
      </c>
      <c r="AA22" s="18">
        <f>Z22+CX!AA5+CX!AA8+WF!AA11+TM!AA10*DebtAtCOD*(1-GearingFactor)</f>
        <v/>
      </c>
      <c r="AB22" s="18">
        <f>AA22+CX!AB5+CX!AB8+WF!AB11+TM!AB10*DebtAtCOD*(1-GearingFactor)</f>
        <v/>
      </c>
      <c r="AC22" s="18">
        <f>AB22+CX!AC5+CX!AC8+WF!AC11+TM!AC10*DebtAtCOD*(1-GearingFactor)</f>
        <v/>
      </c>
      <c r="AD22" s="18">
        <f>AC22+CX!AD5+CX!AD8+WF!AD11+TM!AD10*DebtAtCOD*(1-GearingFactor)</f>
        <v/>
      </c>
      <c r="AE22" s="18">
        <f>AD22+CX!AE5+CX!AE8+WF!AE11+TM!AE10*DebtAtCOD*(1-GearingFactor)</f>
        <v/>
      </c>
      <c r="AF22" s="18">
        <f>AE22+CX!AF5+CX!AF8+WF!AF11+TM!AF10*DebtAtCOD*(1-GearingFactor)</f>
        <v/>
      </c>
      <c r="AG22" s="18">
        <f>AF22+CX!AG5+CX!AG8+WF!AG11+TM!AG10*DebtAtCOD*(1-GearingFactor)</f>
        <v/>
      </c>
      <c r="AH22" s="18">
        <f>AG22+CX!AH5+CX!AH8+WF!AH11+TM!AH10*DebtAtCOD*(1-GearingFactor)</f>
        <v/>
      </c>
      <c r="AI22" s="18">
        <f>AH22+CX!AI5+CX!AI8+WF!AI11+TM!AI10*DebtAtCOD*(1-GearingFactor)</f>
        <v/>
      </c>
      <c r="AJ22" s="18">
        <f>AI22+CX!AJ5+CX!AJ8+WF!AJ11+TM!AJ10*DebtAtCOD*(1-GearingFactor)</f>
        <v/>
      </c>
      <c r="AK22" s="18">
        <f>AJ22+CX!AK5+CX!AK8+WF!AK11+TM!AK10*DebtAtCOD*(1-GearingFactor)</f>
        <v/>
      </c>
      <c r="AL22" s="18">
        <f>AK22+CX!AL5+CX!AL8+WF!AL11+TM!AL10*DebtAtCOD*(1-GearingFactor)</f>
        <v/>
      </c>
      <c r="AM22" s="18">
        <f>AL22+CX!AM5+CX!AM8+WF!AM11+TM!AM10*DebtAtCOD*(1-GearingFactor)</f>
        <v/>
      </c>
      <c r="AN22" s="18">
        <f>AM22+CX!AN5+CX!AN8+WF!AN11+TM!AN10*DebtAtCOD*(1-GearingFactor)</f>
        <v/>
      </c>
      <c r="AO22" s="18">
        <f>AN22+CX!AO5+CX!AO8+WF!AO11+TM!AO10*DebtAtCOD*(1-GearingFactor)</f>
        <v/>
      </c>
      <c r="AP22" s="18">
        <f>AO22+CX!AP5+CX!AP8+WF!AP11+TM!AP10*DebtAtCOD*(1-GearingFactor)</f>
        <v/>
      </c>
      <c r="AQ22" s="18">
        <f>AP22+CX!AQ5+CX!AQ8+WF!AQ11+TM!AQ10*DebtAtCOD*(1-GearingFactor)</f>
        <v/>
      </c>
      <c r="AR22" s="18">
        <f>AQ22+CX!AR5+CX!AR8+WF!AR11+TM!AR10*DebtAtCOD*(1-GearingFactor)</f>
        <v/>
      </c>
      <c r="AS22" s="18">
        <f>AR22+CX!AS5+CX!AS8+WF!AS11+TM!AS10*DebtAtCOD*(1-GearingFactor)</f>
        <v/>
      </c>
      <c r="AT22" s="18">
        <f>AS22+CX!AT5+CX!AT8+WF!AT11+TM!AT10*DebtAtCOD*(1-GearingFactor)</f>
        <v/>
      </c>
      <c r="AU22" s="18">
        <f>AT22+CX!AU5+CX!AU8+WF!AU11+TM!AU10*DebtAtCOD*(1-GearingFactor)</f>
        <v/>
      </c>
      <c r="AV22" s="18">
        <f>AU22+CX!AV5+CX!AV8+WF!AV11+TM!AV10*DebtAtCOD*(1-GearingFactor)</f>
        <v/>
      </c>
      <c r="AW22" s="18">
        <f>AV22+CX!AW5+CX!AW8+WF!AW11+TM!AW10*DebtAtCOD*(1-GearingFactor)</f>
        <v/>
      </c>
      <c r="AX22" s="18">
        <f>AW22+CX!AX5+CX!AX8+WF!AX11+TM!AX10*DebtAtCOD*(1-GearingFactor)</f>
        <v/>
      </c>
      <c r="AY22" s="18">
        <f>AX22+CX!AY5+CX!AY8+WF!AY11+TM!AY10*DebtAtCOD*(1-GearingFactor)</f>
        <v/>
      </c>
      <c r="AZ22" s="18">
        <f>AY22+CX!AZ5+CX!AZ8+WF!AZ11+TM!AZ10*DebtAtCOD*(1-GearingFactor)</f>
        <v/>
      </c>
      <c r="BA22" s="18">
        <f>AZ22+CX!BA5+CX!BA8+WF!BA11+TM!BA10*DebtAtCOD*(1-GearingFactor)</f>
        <v/>
      </c>
      <c r="BB22" s="18">
        <f>BA22+CX!BB5+CX!BB8+WF!BB11+TM!BB10*DebtAtCOD*(1-GearingFactor)</f>
        <v/>
      </c>
      <c r="BC22" s="18">
        <f>BB22+CX!BC5+CX!BC8+WF!BC11+TM!BC10*DebtAtCOD*(1-GearingFactor)</f>
        <v/>
      </c>
      <c r="BD22" s="18">
        <f>BC22+CX!BD5+CX!BD8+WF!BD11+TM!BD10*DebtAtCOD*(1-GearingFactor)</f>
        <v/>
      </c>
      <c r="BE22" s="18">
        <f>BD22+CX!BE5+CX!BE8+WF!BE11+TM!BE10*DebtAtCOD*(1-GearingFactor)</f>
        <v/>
      </c>
      <c r="BF22" s="18">
        <f>BE22+CX!BF5+CX!BF8+WF!BF11+TM!BF10*DebtAtCOD*(1-GearingFactor)</f>
        <v/>
      </c>
      <c r="BG22" s="18">
        <f>BF22+CX!BG5+CX!BG8+WF!BG11+TM!BG10*DebtAtCOD*(1-GearingFactor)</f>
        <v/>
      </c>
    </row>
    <row r="23">
      <c r="A23" t="inlineStr">
        <is>
          <t>Retained earnings</t>
        </is>
      </c>
      <c r="C23" s="10" t="inlineStr">
        <is>
          <t>$</t>
        </is>
      </c>
      <c r="E23" s="18" t="n">
        <v>0</v>
      </c>
      <c r="F23" s="18">
        <f>E23+F12-WF!F12</f>
        <v/>
      </c>
      <c r="G23" s="18">
        <f>F23+G12-WF!G12</f>
        <v/>
      </c>
      <c r="H23" s="18">
        <f>G23+H12-WF!H12</f>
        <v/>
      </c>
      <c r="I23" s="18">
        <f>H23+I12-WF!I12</f>
        <v/>
      </c>
      <c r="J23" s="18">
        <f>I23+J12-WF!J12</f>
        <v/>
      </c>
      <c r="K23" s="18">
        <f>J23+K12-WF!K12</f>
        <v/>
      </c>
      <c r="L23" s="18">
        <f>K23+L12-WF!L12</f>
        <v/>
      </c>
      <c r="M23" s="18">
        <f>L23+M12-WF!M12</f>
        <v/>
      </c>
      <c r="N23" s="18">
        <f>M23+N12-WF!N12</f>
        <v/>
      </c>
      <c r="O23" s="18">
        <f>N23+O12-WF!O12</f>
        <v/>
      </c>
      <c r="P23" s="18">
        <f>O23+P12-WF!P12</f>
        <v/>
      </c>
      <c r="Q23" s="18">
        <f>P23+Q12-WF!Q12</f>
        <v/>
      </c>
      <c r="R23" s="18">
        <f>Q23+R12-WF!R12</f>
        <v/>
      </c>
      <c r="S23" s="18">
        <f>R23+S12-WF!S12</f>
        <v/>
      </c>
      <c r="T23" s="18">
        <f>S23+T12-WF!T12</f>
        <v/>
      </c>
      <c r="U23" s="18">
        <f>T23+U12-WF!U12</f>
        <v/>
      </c>
      <c r="V23" s="18">
        <f>U23+V12-WF!V12</f>
        <v/>
      </c>
      <c r="W23" s="18">
        <f>V23+W12-WF!W12</f>
        <v/>
      </c>
      <c r="X23" s="18">
        <f>W23+X12-WF!X12</f>
        <v/>
      </c>
      <c r="Y23" s="18">
        <f>X23+Y12-WF!Y12</f>
        <v/>
      </c>
      <c r="Z23" s="18">
        <f>Y23+Z12-WF!Z12</f>
        <v/>
      </c>
      <c r="AA23" s="18">
        <f>Z23+AA12-WF!AA12</f>
        <v/>
      </c>
      <c r="AB23" s="18">
        <f>AA23+AB12-WF!AB12</f>
        <v/>
      </c>
      <c r="AC23" s="18">
        <f>AB23+AC12-WF!AC12</f>
        <v/>
      </c>
      <c r="AD23" s="18">
        <f>AC23+AD12-WF!AD12</f>
        <v/>
      </c>
      <c r="AE23" s="18">
        <f>AD23+AE12-WF!AE12</f>
        <v/>
      </c>
      <c r="AF23" s="18">
        <f>AE23+AF12-WF!AF12</f>
        <v/>
      </c>
      <c r="AG23" s="18">
        <f>AF23+AG12-WF!AG12</f>
        <v/>
      </c>
      <c r="AH23" s="18">
        <f>AG23+AH12-WF!AH12</f>
        <v/>
      </c>
      <c r="AI23" s="18">
        <f>AH23+AI12-WF!AI12</f>
        <v/>
      </c>
      <c r="AJ23" s="18">
        <f>AI23+AJ12-WF!AJ12</f>
        <v/>
      </c>
      <c r="AK23" s="18">
        <f>AJ23+AK12-WF!AK12</f>
        <v/>
      </c>
      <c r="AL23" s="18">
        <f>AK23+AL12-WF!AL12</f>
        <v/>
      </c>
      <c r="AM23" s="18">
        <f>AL23+AM12-WF!AM12</f>
        <v/>
      </c>
      <c r="AN23" s="18">
        <f>AM23+AN12-WF!AN12</f>
        <v/>
      </c>
      <c r="AO23" s="18">
        <f>AN23+AO12-WF!AO12</f>
        <v/>
      </c>
      <c r="AP23" s="18">
        <f>AO23+AP12-WF!AP12</f>
        <v/>
      </c>
      <c r="AQ23" s="18">
        <f>AP23+AQ12-WF!AQ12</f>
        <v/>
      </c>
      <c r="AR23" s="18">
        <f>AQ23+AR12-WF!AR12</f>
        <v/>
      </c>
      <c r="AS23" s="18">
        <f>AR23+AS12-WF!AS12</f>
        <v/>
      </c>
      <c r="AT23" s="18">
        <f>AS23+AT12-WF!AT12</f>
        <v/>
      </c>
      <c r="AU23" s="18">
        <f>AT23+AU12-WF!AU12</f>
        <v/>
      </c>
      <c r="AV23" s="18">
        <f>AU23+AV12-WF!AV12</f>
        <v/>
      </c>
      <c r="AW23" s="18">
        <f>AV23+AW12-WF!AW12</f>
        <v/>
      </c>
      <c r="AX23" s="18">
        <f>AW23+AX12-WF!AX12</f>
        <v/>
      </c>
      <c r="AY23" s="18">
        <f>AX23+AY12-WF!AY12</f>
        <v/>
      </c>
      <c r="AZ23" s="18">
        <f>AY23+AZ12-WF!AZ12</f>
        <v/>
      </c>
      <c r="BA23" s="18">
        <f>AZ23+BA12-WF!BA12</f>
        <v/>
      </c>
      <c r="BB23" s="18">
        <f>BA23+BB12-WF!BB12</f>
        <v/>
      </c>
      <c r="BC23" s="18">
        <f>BB23+BC12-WF!BC12</f>
        <v/>
      </c>
      <c r="BD23" s="18">
        <f>BC23+BD12-WF!BD12</f>
        <v/>
      </c>
      <c r="BE23" s="18">
        <f>BD23+BE12-WF!BE12</f>
        <v/>
      </c>
      <c r="BF23" s="18">
        <f>BE23+BF12-WF!BF12</f>
        <v/>
      </c>
      <c r="BG23" s="18">
        <f>BF23+BG12-WF!BG12</f>
        <v/>
      </c>
    </row>
    <row r="24">
      <c r="A24" s="3" t="inlineStr">
        <is>
          <t>Total equity + liabilities</t>
        </is>
      </c>
      <c r="C24" s="10" t="inlineStr">
        <is>
          <t>$</t>
        </is>
      </c>
      <c r="E24" s="18" t="n">
        <v>0</v>
      </c>
      <c r="F24" s="18">
        <f>F20+F21+F22+F23</f>
        <v/>
      </c>
      <c r="G24" s="18">
        <f>G20+G21+G22+G23</f>
        <v/>
      </c>
      <c r="H24" s="18">
        <f>H20+H21+H22+H23</f>
        <v/>
      </c>
      <c r="I24" s="18">
        <f>I20+I21+I22+I23</f>
        <v/>
      </c>
      <c r="J24" s="18">
        <f>J20+J21+J22+J23</f>
        <v/>
      </c>
      <c r="K24" s="18">
        <f>K20+K21+K22+K23</f>
        <v/>
      </c>
      <c r="L24" s="18">
        <f>L20+L21+L22+L23</f>
        <v/>
      </c>
      <c r="M24" s="18">
        <f>M20+M21+M22+M23</f>
        <v/>
      </c>
      <c r="N24" s="18">
        <f>N20+N21+N22+N23</f>
        <v/>
      </c>
      <c r="O24" s="18">
        <f>O20+O21+O22+O23</f>
        <v/>
      </c>
      <c r="P24" s="18">
        <f>P20+P21+P22+P23</f>
        <v/>
      </c>
      <c r="Q24" s="18">
        <f>Q20+Q21+Q22+Q23</f>
        <v/>
      </c>
      <c r="R24" s="18">
        <f>R20+R21+R22+R23</f>
        <v/>
      </c>
      <c r="S24" s="18">
        <f>S20+S21+S22+S23</f>
        <v/>
      </c>
      <c r="T24" s="18">
        <f>T20+T21+T22+T23</f>
        <v/>
      </c>
      <c r="U24" s="18">
        <f>U20+U21+U22+U23</f>
        <v/>
      </c>
      <c r="V24" s="18">
        <f>V20+V21+V22+V23</f>
        <v/>
      </c>
      <c r="W24" s="18">
        <f>W20+W21+W22+W23</f>
        <v/>
      </c>
      <c r="X24" s="18">
        <f>X20+X21+X22+X23</f>
        <v/>
      </c>
      <c r="Y24" s="18">
        <f>Y20+Y21+Y22+Y23</f>
        <v/>
      </c>
      <c r="Z24" s="18">
        <f>Z20+Z21+Z22+Z23</f>
        <v/>
      </c>
      <c r="AA24" s="18">
        <f>AA20+AA21+AA22+AA23</f>
        <v/>
      </c>
      <c r="AB24" s="18">
        <f>AB20+AB21+AB22+AB23</f>
        <v/>
      </c>
      <c r="AC24" s="18">
        <f>AC20+AC21+AC22+AC23</f>
        <v/>
      </c>
      <c r="AD24" s="18">
        <f>AD20+AD21+AD22+AD23</f>
        <v/>
      </c>
      <c r="AE24" s="18">
        <f>AE20+AE21+AE22+AE23</f>
        <v/>
      </c>
      <c r="AF24" s="18">
        <f>AF20+AF21+AF22+AF23</f>
        <v/>
      </c>
      <c r="AG24" s="18">
        <f>AG20+AG21+AG22+AG23</f>
        <v/>
      </c>
      <c r="AH24" s="18">
        <f>AH20+AH21+AH22+AH23</f>
        <v/>
      </c>
      <c r="AI24" s="18">
        <f>AI20+AI21+AI22+AI23</f>
        <v/>
      </c>
      <c r="AJ24" s="18">
        <f>AJ20+AJ21+AJ22+AJ23</f>
        <v/>
      </c>
      <c r="AK24" s="18">
        <f>AK20+AK21+AK22+AK23</f>
        <v/>
      </c>
      <c r="AL24" s="18">
        <f>AL20+AL21+AL22+AL23</f>
        <v/>
      </c>
      <c r="AM24" s="18">
        <f>AM20+AM21+AM22+AM23</f>
        <v/>
      </c>
      <c r="AN24" s="18">
        <f>AN20+AN21+AN22+AN23</f>
        <v/>
      </c>
      <c r="AO24" s="18">
        <f>AO20+AO21+AO22+AO23</f>
        <v/>
      </c>
      <c r="AP24" s="18">
        <f>AP20+AP21+AP22+AP23</f>
        <v/>
      </c>
      <c r="AQ24" s="18">
        <f>AQ20+AQ21+AQ22+AQ23</f>
        <v/>
      </c>
      <c r="AR24" s="18">
        <f>AR20+AR21+AR22+AR23</f>
        <v/>
      </c>
      <c r="AS24" s="18">
        <f>AS20+AS21+AS22+AS23</f>
        <v/>
      </c>
      <c r="AT24" s="18">
        <f>AT20+AT21+AT22+AT23</f>
        <v/>
      </c>
      <c r="AU24" s="18">
        <f>AU20+AU21+AU22+AU23</f>
        <v/>
      </c>
      <c r="AV24" s="18">
        <f>AV20+AV21+AV22+AV23</f>
        <v/>
      </c>
      <c r="AW24" s="18">
        <f>AW20+AW21+AW22+AW23</f>
        <v/>
      </c>
      <c r="AX24" s="18">
        <f>AX20+AX21+AX22+AX23</f>
        <v/>
      </c>
      <c r="AY24" s="18">
        <f>AY20+AY21+AY22+AY23</f>
        <v/>
      </c>
      <c r="AZ24" s="18">
        <f>AZ20+AZ21+AZ22+AZ23</f>
        <v/>
      </c>
      <c r="BA24" s="18">
        <f>BA20+BA21+BA22+BA23</f>
        <v/>
      </c>
      <c r="BB24" s="18">
        <f>BB20+BB21+BB22+BB23</f>
        <v/>
      </c>
      <c r="BC24" s="18">
        <f>BC20+BC21+BC22+BC23</f>
        <v/>
      </c>
      <c r="BD24" s="18">
        <f>BD20+BD21+BD22+BD23</f>
        <v/>
      </c>
      <c r="BE24" s="18">
        <f>BE20+BE21+BE22+BE23</f>
        <v/>
      </c>
      <c r="BF24" s="18">
        <f>BF20+BF21+BF22+BF23</f>
        <v/>
      </c>
      <c r="BG24" s="18">
        <f>BG20+BG21+BG22+BG23</f>
        <v/>
      </c>
    </row>
    <row r="25">
      <c r="A25" t="inlineStr">
        <is>
          <t>Balance check (≈0)</t>
        </is>
      </c>
      <c r="C25" s="10" t="inlineStr">
        <is>
          <t>$</t>
        </is>
      </c>
      <c r="E25" s="18" t="n">
        <v>0</v>
      </c>
      <c r="F25" s="18">
        <f>F19-F24</f>
        <v/>
      </c>
      <c r="G25" s="18">
        <f>G19-G24</f>
        <v/>
      </c>
      <c r="H25" s="18">
        <f>H19-H24</f>
        <v/>
      </c>
      <c r="I25" s="18">
        <f>I19-I24</f>
        <v/>
      </c>
      <c r="J25" s="18">
        <f>J19-J24</f>
        <v/>
      </c>
      <c r="K25" s="18">
        <f>K19-K24</f>
        <v/>
      </c>
      <c r="L25" s="18">
        <f>L19-L24</f>
        <v/>
      </c>
      <c r="M25" s="18">
        <f>M19-M24</f>
        <v/>
      </c>
      <c r="N25" s="18">
        <f>N19-N24</f>
        <v/>
      </c>
      <c r="O25" s="18">
        <f>O19-O24</f>
        <v/>
      </c>
      <c r="P25" s="18">
        <f>P19-P24</f>
        <v/>
      </c>
      <c r="Q25" s="18">
        <f>Q19-Q24</f>
        <v/>
      </c>
      <c r="R25" s="18">
        <f>R19-R24</f>
        <v/>
      </c>
      <c r="S25" s="18">
        <f>S19-S24</f>
        <v/>
      </c>
      <c r="T25" s="18">
        <f>T19-T24</f>
        <v/>
      </c>
      <c r="U25" s="18">
        <f>U19-U24</f>
        <v/>
      </c>
      <c r="V25" s="18">
        <f>V19-V24</f>
        <v/>
      </c>
      <c r="W25" s="18">
        <f>W19-W24</f>
        <v/>
      </c>
      <c r="X25" s="18">
        <f>X19-X24</f>
        <v/>
      </c>
      <c r="Y25" s="18">
        <f>Y19-Y24</f>
        <v/>
      </c>
      <c r="Z25" s="18">
        <f>Z19-Z24</f>
        <v/>
      </c>
      <c r="AA25" s="18">
        <f>AA19-AA24</f>
        <v/>
      </c>
      <c r="AB25" s="18">
        <f>AB19-AB24</f>
        <v/>
      </c>
      <c r="AC25" s="18">
        <f>AC19-AC24</f>
        <v/>
      </c>
      <c r="AD25" s="18">
        <f>AD19-AD24</f>
        <v/>
      </c>
      <c r="AE25" s="18">
        <f>AE19-AE24</f>
        <v/>
      </c>
      <c r="AF25" s="18">
        <f>AF19-AF24</f>
        <v/>
      </c>
      <c r="AG25" s="18">
        <f>AG19-AG24</f>
        <v/>
      </c>
      <c r="AH25" s="18">
        <f>AH19-AH24</f>
        <v/>
      </c>
      <c r="AI25" s="18">
        <f>AI19-AI24</f>
        <v/>
      </c>
      <c r="AJ25" s="18">
        <f>AJ19-AJ24</f>
        <v/>
      </c>
      <c r="AK25" s="18">
        <f>AK19-AK24</f>
        <v/>
      </c>
      <c r="AL25" s="18">
        <f>AL19-AL24</f>
        <v/>
      </c>
      <c r="AM25" s="18">
        <f>AM19-AM24</f>
        <v/>
      </c>
      <c r="AN25" s="18">
        <f>AN19-AN24</f>
        <v/>
      </c>
      <c r="AO25" s="18">
        <f>AO19-AO24</f>
        <v/>
      </c>
      <c r="AP25" s="18">
        <f>AP19-AP24</f>
        <v/>
      </c>
      <c r="AQ25" s="18">
        <f>AQ19-AQ24</f>
        <v/>
      </c>
      <c r="AR25" s="18">
        <f>AR19-AR24</f>
        <v/>
      </c>
      <c r="AS25" s="18">
        <f>AS19-AS24</f>
        <v/>
      </c>
      <c r="AT25" s="18">
        <f>AT19-AT24</f>
        <v/>
      </c>
      <c r="AU25" s="18">
        <f>AU19-AU24</f>
        <v/>
      </c>
      <c r="AV25" s="18">
        <f>AV19-AV24</f>
        <v/>
      </c>
      <c r="AW25" s="18">
        <f>AW19-AW24</f>
        <v/>
      </c>
      <c r="AX25" s="18">
        <f>AX19-AX24</f>
        <v/>
      </c>
      <c r="AY25" s="18">
        <f>AY19-AY24</f>
        <v/>
      </c>
      <c r="AZ25" s="18">
        <f>AZ19-AZ24</f>
        <v/>
      </c>
      <c r="BA25" s="18">
        <f>BA19-BA24</f>
        <v/>
      </c>
      <c r="BB25" s="18">
        <f>BB19-BB24</f>
        <v/>
      </c>
      <c r="BC25" s="18">
        <f>BC19-BC24</f>
        <v/>
      </c>
      <c r="BD25" s="18">
        <f>BD19-BD24</f>
        <v/>
      </c>
      <c r="BE25" s="18">
        <f>BE19-BE24</f>
        <v/>
      </c>
      <c r="BF25" s="18">
        <f>BF19-BF24</f>
        <v/>
      </c>
      <c r="BG25" s="18">
        <f>BG19-BG24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G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RETURNS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Equity cash flow</t>
        </is>
      </c>
      <c r="C3" s="10" t="inlineStr">
        <is>
          <t>$</t>
        </is>
      </c>
      <c r="E3" s="18" t="n">
        <v>0</v>
      </c>
      <c r="F3" s="18">
        <f>-CX!F5-CX!F8-WF!F11-TM!F10*DebtAtCOD*(1-GearingFactor)+WF!F12</f>
        <v/>
      </c>
      <c r="G3" s="18">
        <f>-CX!G5-CX!G8-WF!G11-TM!G10*DebtAtCOD*(1-GearingFactor)+WF!G12</f>
        <v/>
      </c>
      <c r="H3" s="18">
        <f>-CX!H5-CX!H8-WF!H11-TM!H10*DebtAtCOD*(1-GearingFactor)+WF!H12</f>
        <v/>
      </c>
      <c r="I3" s="18">
        <f>-CX!I5-CX!I8-WF!I11-TM!I10*DebtAtCOD*(1-GearingFactor)+WF!I12</f>
        <v/>
      </c>
      <c r="J3" s="18">
        <f>-CX!J5-CX!J8-WF!J11-TM!J10*DebtAtCOD*(1-GearingFactor)+WF!J12</f>
        <v/>
      </c>
      <c r="K3" s="18">
        <f>-CX!K5-CX!K8-WF!K11-TM!K10*DebtAtCOD*(1-GearingFactor)+WF!K12</f>
        <v/>
      </c>
      <c r="L3" s="18">
        <f>-CX!L5-CX!L8-WF!L11-TM!L10*DebtAtCOD*(1-GearingFactor)+WF!L12</f>
        <v/>
      </c>
      <c r="M3" s="18">
        <f>-CX!M5-CX!M8-WF!M11-TM!M10*DebtAtCOD*(1-GearingFactor)+WF!M12</f>
        <v/>
      </c>
      <c r="N3" s="18">
        <f>-CX!N5-CX!N8-WF!N11-TM!N10*DebtAtCOD*(1-GearingFactor)+WF!N12</f>
        <v/>
      </c>
      <c r="O3" s="18">
        <f>-CX!O5-CX!O8-WF!O11-TM!O10*DebtAtCOD*(1-GearingFactor)+WF!O12</f>
        <v/>
      </c>
      <c r="P3" s="18">
        <f>-CX!P5-CX!P8-WF!P11-TM!P10*DebtAtCOD*(1-GearingFactor)+WF!P12</f>
        <v/>
      </c>
      <c r="Q3" s="18">
        <f>-CX!Q5-CX!Q8-WF!Q11-TM!Q10*DebtAtCOD*(1-GearingFactor)+WF!Q12</f>
        <v/>
      </c>
      <c r="R3" s="18">
        <f>-CX!R5-CX!R8-WF!R11-TM!R10*DebtAtCOD*(1-GearingFactor)+WF!R12</f>
        <v/>
      </c>
      <c r="S3" s="18">
        <f>-CX!S5-CX!S8-WF!S11-TM!S10*DebtAtCOD*(1-GearingFactor)+WF!S12</f>
        <v/>
      </c>
      <c r="T3" s="18">
        <f>-CX!T5-CX!T8-WF!T11-TM!T10*DebtAtCOD*(1-GearingFactor)+WF!T12</f>
        <v/>
      </c>
      <c r="U3" s="18">
        <f>-CX!U5-CX!U8-WF!U11-TM!U10*DebtAtCOD*(1-GearingFactor)+WF!U12</f>
        <v/>
      </c>
      <c r="V3" s="18">
        <f>-CX!V5-CX!V8-WF!V11-TM!V10*DebtAtCOD*(1-GearingFactor)+WF!V12</f>
        <v/>
      </c>
      <c r="W3" s="18">
        <f>-CX!W5-CX!W8-WF!W11-TM!W10*DebtAtCOD*(1-GearingFactor)+WF!W12</f>
        <v/>
      </c>
      <c r="X3" s="18">
        <f>-CX!X5-CX!X8-WF!X11-TM!X10*DebtAtCOD*(1-GearingFactor)+WF!X12</f>
        <v/>
      </c>
      <c r="Y3" s="18">
        <f>-CX!Y5-CX!Y8-WF!Y11-TM!Y10*DebtAtCOD*(1-GearingFactor)+WF!Y12</f>
        <v/>
      </c>
      <c r="Z3" s="18">
        <f>-CX!Z5-CX!Z8-WF!Z11-TM!Z10*DebtAtCOD*(1-GearingFactor)+WF!Z12</f>
        <v/>
      </c>
      <c r="AA3" s="18">
        <f>-CX!AA5-CX!AA8-WF!AA11-TM!AA10*DebtAtCOD*(1-GearingFactor)+WF!AA12</f>
        <v/>
      </c>
      <c r="AB3" s="18">
        <f>-CX!AB5-CX!AB8-WF!AB11-TM!AB10*DebtAtCOD*(1-GearingFactor)+WF!AB12</f>
        <v/>
      </c>
      <c r="AC3" s="18">
        <f>-CX!AC5-CX!AC8-WF!AC11-TM!AC10*DebtAtCOD*(1-GearingFactor)+WF!AC12</f>
        <v/>
      </c>
      <c r="AD3" s="18">
        <f>-CX!AD5-CX!AD8-WF!AD11-TM!AD10*DebtAtCOD*(1-GearingFactor)+WF!AD12</f>
        <v/>
      </c>
      <c r="AE3" s="18">
        <f>-CX!AE5-CX!AE8-WF!AE11-TM!AE10*DebtAtCOD*(1-GearingFactor)+WF!AE12</f>
        <v/>
      </c>
      <c r="AF3" s="18">
        <f>-CX!AF5-CX!AF8-WF!AF11-TM!AF10*DebtAtCOD*(1-GearingFactor)+WF!AF12</f>
        <v/>
      </c>
      <c r="AG3" s="18">
        <f>-CX!AG5-CX!AG8-WF!AG11-TM!AG10*DebtAtCOD*(1-GearingFactor)+WF!AG12</f>
        <v/>
      </c>
      <c r="AH3" s="18">
        <f>-CX!AH5-CX!AH8-WF!AH11-TM!AH10*DebtAtCOD*(1-GearingFactor)+WF!AH12</f>
        <v/>
      </c>
      <c r="AI3" s="18">
        <f>-CX!AI5-CX!AI8-WF!AI11-TM!AI10*DebtAtCOD*(1-GearingFactor)+WF!AI12</f>
        <v/>
      </c>
      <c r="AJ3" s="18">
        <f>-CX!AJ5-CX!AJ8-WF!AJ11-TM!AJ10*DebtAtCOD*(1-GearingFactor)+WF!AJ12</f>
        <v/>
      </c>
      <c r="AK3" s="18">
        <f>-CX!AK5-CX!AK8-WF!AK11-TM!AK10*DebtAtCOD*(1-GearingFactor)+WF!AK12</f>
        <v/>
      </c>
      <c r="AL3" s="18">
        <f>-CX!AL5-CX!AL8-WF!AL11-TM!AL10*DebtAtCOD*(1-GearingFactor)+WF!AL12</f>
        <v/>
      </c>
      <c r="AM3" s="18">
        <f>-CX!AM5-CX!AM8-WF!AM11-TM!AM10*DebtAtCOD*(1-GearingFactor)+WF!AM12</f>
        <v/>
      </c>
      <c r="AN3" s="18">
        <f>-CX!AN5-CX!AN8-WF!AN11-TM!AN10*DebtAtCOD*(1-GearingFactor)+WF!AN12</f>
        <v/>
      </c>
      <c r="AO3" s="18">
        <f>-CX!AO5-CX!AO8-WF!AO11-TM!AO10*DebtAtCOD*(1-GearingFactor)+WF!AO12</f>
        <v/>
      </c>
      <c r="AP3" s="18">
        <f>-CX!AP5-CX!AP8-WF!AP11-TM!AP10*DebtAtCOD*(1-GearingFactor)+WF!AP12</f>
        <v/>
      </c>
      <c r="AQ3" s="18">
        <f>-CX!AQ5-CX!AQ8-WF!AQ11-TM!AQ10*DebtAtCOD*(1-GearingFactor)+WF!AQ12</f>
        <v/>
      </c>
      <c r="AR3" s="18">
        <f>-CX!AR5-CX!AR8-WF!AR11-TM!AR10*DebtAtCOD*(1-GearingFactor)+WF!AR12</f>
        <v/>
      </c>
      <c r="AS3" s="18">
        <f>-CX!AS5-CX!AS8-WF!AS11-TM!AS10*DebtAtCOD*(1-GearingFactor)+WF!AS12</f>
        <v/>
      </c>
      <c r="AT3" s="18">
        <f>-CX!AT5-CX!AT8-WF!AT11-TM!AT10*DebtAtCOD*(1-GearingFactor)+WF!AT12</f>
        <v/>
      </c>
      <c r="AU3" s="18">
        <f>-CX!AU5-CX!AU8-WF!AU11-TM!AU10*DebtAtCOD*(1-GearingFactor)+WF!AU12</f>
        <v/>
      </c>
      <c r="AV3" s="18">
        <f>-CX!AV5-CX!AV8-WF!AV11-TM!AV10*DebtAtCOD*(1-GearingFactor)+WF!AV12</f>
        <v/>
      </c>
      <c r="AW3" s="18">
        <f>-CX!AW5-CX!AW8-WF!AW11-TM!AW10*DebtAtCOD*(1-GearingFactor)+WF!AW12</f>
        <v/>
      </c>
      <c r="AX3" s="18">
        <f>-CX!AX5-CX!AX8-WF!AX11-TM!AX10*DebtAtCOD*(1-GearingFactor)+WF!AX12</f>
        <v/>
      </c>
      <c r="AY3" s="18">
        <f>-CX!AY5-CX!AY8-WF!AY11-TM!AY10*DebtAtCOD*(1-GearingFactor)+WF!AY12</f>
        <v/>
      </c>
      <c r="AZ3" s="18">
        <f>-CX!AZ5-CX!AZ8-WF!AZ11-TM!AZ10*DebtAtCOD*(1-GearingFactor)+WF!AZ12</f>
        <v/>
      </c>
      <c r="BA3" s="18">
        <f>-CX!BA5-CX!BA8-WF!BA11-TM!BA10*DebtAtCOD*(1-GearingFactor)+WF!BA12</f>
        <v/>
      </c>
      <c r="BB3" s="18">
        <f>-CX!BB5-CX!BB8-WF!BB11-TM!BB10*DebtAtCOD*(1-GearingFactor)+WF!BB12</f>
        <v/>
      </c>
      <c r="BC3" s="18">
        <f>-CX!BC5-CX!BC8-WF!BC11-TM!BC10*DebtAtCOD*(1-GearingFactor)+WF!BC12</f>
        <v/>
      </c>
      <c r="BD3" s="18">
        <f>-CX!BD5-CX!BD8-WF!BD11-TM!BD10*DebtAtCOD*(1-GearingFactor)+WF!BD12</f>
        <v/>
      </c>
      <c r="BE3" s="18">
        <f>-CX!BE5-CX!BE8-WF!BE11-TM!BE10*DebtAtCOD*(1-GearingFactor)+WF!BE12</f>
        <v/>
      </c>
      <c r="BF3" s="18">
        <f>-CX!BF5-CX!BF8-WF!BF11-TM!BF10*DebtAtCOD*(1-GearingFactor)+WF!BF12</f>
        <v/>
      </c>
      <c r="BG3" s="18">
        <f>-CX!BG5-CX!BG8-WF!BG11-TM!BG10*DebtAtCOD*(1-GearingFactor)+WF!BG12</f>
        <v/>
      </c>
    </row>
    <row r="4">
      <c r="A4" t="inlineStr">
        <is>
          <t>Project cash flow (unlevered)</t>
        </is>
      </c>
      <c r="C4" s="10" t="inlineStr">
        <is>
          <t>$</t>
        </is>
      </c>
      <c r="E4" s="18" t="n">
        <v>0</v>
      </c>
      <c r="F4" s="18">
        <f>-CX!F3+OP!F10-OP!F8-TX!F16-WC!F6</f>
        <v/>
      </c>
      <c r="G4" s="18">
        <f>-CX!G3+OP!G10-OP!G8-TX!G16-WC!G6</f>
        <v/>
      </c>
      <c r="H4" s="18">
        <f>-CX!H3+OP!H10-OP!H8-TX!H16-WC!H6</f>
        <v/>
      </c>
      <c r="I4" s="18">
        <f>-CX!I3+OP!I10-OP!I8-TX!I16-WC!I6</f>
        <v/>
      </c>
      <c r="J4" s="18">
        <f>-CX!J3+OP!J10-OP!J8-TX!J16-WC!J6</f>
        <v/>
      </c>
      <c r="K4" s="18">
        <f>-CX!K3+OP!K10-OP!K8-TX!K16-WC!K6</f>
        <v/>
      </c>
      <c r="L4" s="18">
        <f>-CX!L3+OP!L10-OP!L8-TX!L16-WC!L6</f>
        <v/>
      </c>
      <c r="M4" s="18">
        <f>-CX!M3+OP!M10-OP!M8-TX!M16-WC!M6</f>
        <v/>
      </c>
      <c r="N4" s="18">
        <f>-CX!N3+OP!N10-OP!N8-TX!N16-WC!N6</f>
        <v/>
      </c>
      <c r="O4" s="18">
        <f>-CX!O3+OP!O10-OP!O8-TX!O16-WC!O6</f>
        <v/>
      </c>
      <c r="P4" s="18">
        <f>-CX!P3+OP!P10-OP!P8-TX!P16-WC!P6</f>
        <v/>
      </c>
      <c r="Q4" s="18">
        <f>-CX!Q3+OP!Q10-OP!Q8-TX!Q16-WC!Q6</f>
        <v/>
      </c>
      <c r="R4" s="18">
        <f>-CX!R3+OP!R10-OP!R8-TX!R16-WC!R6</f>
        <v/>
      </c>
      <c r="S4" s="18">
        <f>-CX!S3+OP!S10-OP!S8-TX!S16-WC!S6</f>
        <v/>
      </c>
      <c r="T4" s="18">
        <f>-CX!T3+OP!T10-OP!T8-TX!T16-WC!T6</f>
        <v/>
      </c>
      <c r="U4" s="18">
        <f>-CX!U3+OP!U10-OP!U8-TX!U16-WC!U6</f>
        <v/>
      </c>
      <c r="V4" s="18">
        <f>-CX!V3+OP!V10-OP!V8-TX!V16-WC!V6</f>
        <v/>
      </c>
      <c r="W4" s="18">
        <f>-CX!W3+OP!W10-OP!W8-TX!W16-WC!W6</f>
        <v/>
      </c>
      <c r="X4" s="18">
        <f>-CX!X3+OP!X10-OP!X8-TX!X16-WC!X6</f>
        <v/>
      </c>
      <c r="Y4" s="18">
        <f>-CX!Y3+OP!Y10-OP!Y8-TX!Y16-WC!Y6</f>
        <v/>
      </c>
      <c r="Z4" s="18">
        <f>-CX!Z3+OP!Z10-OP!Z8-TX!Z16-WC!Z6</f>
        <v/>
      </c>
      <c r="AA4" s="18">
        <f>-CX!AA3+OP!AA10-OP!AA8-TX!AA16-WC!AA6</f>
        <v/>
      </c>
      <c r="AB4" s="18">
        <f>-CX!AB3+OP!AB10-OP!AB8-TX!AB16-WC!AB6</f>
        <v/>
      </c>
      <c r="AC4" s="18">
        <f>-CX!AC3+OP!AC10-OP!AC8-TX!AC16-WC!AC6</f>
        <v/>
      </c>
      <c r="AD4" s="18">
        <f>-CX!AD3+OP!AD10-OP!AD8-TX!AD16-WC!AD6</f>
        <v/>
      </c>
      <c r="AE4" s="18">
        <f>-CX!AE3+OP!AE10-OP!AE8-TX!AE16-WC!AE6</f>
        <v/>
      </c>
      <c r="AF4" s="18">
        <f>-CX!AF3+OP!AF10-OP!AF8-TX!AF16-WC!AF6</f>
        <v/>
      </c>
      <c r="AG4" s="18">
        <f>-CX!AG3+OP!AG10-OP!AG8-TX!AG16-WC!AG6</f>
        <v/>
      </c>
      <c r="AH4" s="18">
        <f>-CX!AH3+OP!AH10-OP!AH8-TX!AH16-WC!AH6</f>
        <v/>
      </c>
      <c r="AI4" s="18">
        <f>-CX!AI3+OP!AI10-OP!AI8-TX!AI16-WC!AI6</f>
        <v/>
      </c>
      <c r="AJ4" s="18">
        <f>-CX!AJ3+OP!AJ10-OP!AJ8-TX!AJ16-WC!AJ6</f>
        <v/>
      </c>
      <c r="AK4" s="18">
        <f>-CX!AK3+OP!AK10-OP!AK8-TX!AK16-WC!AK6</f>
        <v/>
      </c>
      <c r="AL4" s="18">
        <f>-CX!AL3+OP!AL10-OP!AL8-TX!AL16-WC!AL6</f>
        <v/>
      </c>
      <c r="AM4" s="18">
        <f>-CX!AM3+OP!AM10-OP!AM8-TX!AM16-WC!AM6</f>
        <v/>
      </c>
      <c r="AN4" s="18">
        <f>-CX!AN3+OP!AN10-OP!AN8-TX!AN16-WC!AN6</f>
        <v/>
      </c>
      <c r="AO4" s="18">
        <f>-CX!AO3+OP!AO10-OP!AO8-TX!AO16-WC!AO6</f>
        <v/>
      </c>
      <c r="AP4" s="18">
        <f>-CX!AP3+OP!AP10-OP!AP8-TX!AP16-WC!AP6</f>
        <v/>
      </c>
      <c r="AQ4" s="18">
        <f>-CX!AQ3+OP!AQ10-OP!AQ8-TX!AQ16-WC!AQ6</f>
        <v/>
      </c>
      <c r="AR4" s="18">
        <f>-CX!AR3+OP!AR10-OP!AR8-TX!AR16-WC!AR6</f>
        <v/>
      </c>
      <c r="AS4" s="18">
        <f>-CX!AS3+OP!AS10-OP!AS8-TX!AS16-WC!AS6</f>
        <v/>
      </c>
      <c r="AT4" s="18">
        <f>-CX!AT3+OP!AT10-OP!AT8-TX!AT16-WC!AT6</f>
        <v/>
      </c>
      <c r="AU4" s="18">
        <f>-CX!AU3+OP!AU10-OP!AU8-TX!AU16-WC!AU6</f>
        <v/>
      </c>
      <c r="AV4" s="18">
        <f>-CX!AV3+OP!AV10-OP!AV8-TX!AV16-WC!AV6</f>
        <v/>
      </c>
      <c r="AW4" s="18">
        <f>-CX!AW3+OP!AW10-OP!AW8-TX!AW16-WC!AW6</f>
        <v/>
      </c>
      <c r="AX4" s="18">
        <f>-CX!AX3+OP!AX10-OP!AX8-TX!AX16-WC!AX6</f>
        <v/>
      </c>
      <c r="AY4" s="18">
        <f>-CX!AY3+OP!AY10-OP!AY8-TX!AY16-WC!AY6</f>
        <v/>
      </c>
      <c r="AZ4" s="18">
        <f>-CX!AZ3+OP!AZ10-OP!AZ8-TX!AZ16-WC!AZ6</f>
        <v/>
      </c>
      <c r="BA4" s="18">
        <f>-CX!BA3+OP!BA10-OP!BA8-TX!BA16-WC!BA6</f>
        <v/>
      </c>
      <c r="BB4" s="18">
        <f>-CX!BB3+OP!BB10-OP!BB8-TX!BB16-WC!BB6</f>
        <v/>
      </c>
      <c r="BC4" s="18">
        <f>-CX!BC3+OP!BC10-OP!BC8-TX!BC16-WC!BC6</f>
        <v/>
      </c>
      <c r="BD4" s="18">
        <f>-CX!BD3+OP!BD10-OP!BD8-TX!BD16-WC!BD6</f>
        <v/>
      </c>
      <c r="BE4" s="18">
        <f>-CX!BE3+OP!BE10-OP!BE8-TX!BE16-WC!BE6</f>
        <v/>
      </c>
      <c r="BF4" s="18">
        <f>-CX!BF3+OP!BF10-OP!BF8-TX!BF16-WC!BF6</f>
        <v/>
      </c>
      <c r="BG4" s="18">
        <f>-CX!BG3+OP!BG10-OP!BG8-TX!BG16-WC!BG6</f>
        <v/>
      </c>
    </row>
    <row r="6">
      <c r="A6" s="3" t="inlineStr">
        <is>
          <t>Equity IRR (nominal, annualised)</t>
        </is>
      </c>
      <c r="E6" s="6">
        <f>(1+IRR(E3:BG3,0.05))^PeriodsPerYear-1</f>
        <v/>
      </c>
    </row>
    <row r="7">
      <c r="A7" s="3" t="inlineStr">
        <is>
          <t>Project IRR (nominal, annualised)</t>
        </is>
      </c>
      <c r="E7" s="6">
        <f>(1+IRR(E4:BG4,0.05))^PeriodsPerYear-1</f>
        <v/>
      </c>
    </row>
    <row r="8">
      <c r="A8" s="3" t="inlineStr">
        <is>
          <t>Equity NPV @ cost of equity</t>
        </is>
      </c>
      <c r="E8" s="18">
        <f>NPV(CostOfEquity/PeriodsPerYear,F3:BG3)+E3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G2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LCOH  —  levelised cost of hydrogen (unlevered)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Capex</t>
        </is>
      </c>
      <c r="C3" s="10" t="inlineStr">
        <is>
          <t>$</t>
        </is>
      </c>
      <c r="E3" s="18" t="n">
        <v>0</v>
      </c>
      <c r="F3" s="18">
        <f>CX!F3</f>
        <v/>
      </c>
      <c r="G3" s="18">
        <f>CX!G3</f>
        <v/>
      </c>
      <c r="H3" s="18">
        <f>CX!H3</f>
        <v/>
      </c>
      <c r="I3" s="18">
        <f>CX!I3</f>
        <v/>
      </c>
      <c r="J3" s="18">
        <f>CX!J3</f>
        <v/>
      </c>
      <c r="K3" s="18">
        <f>CX!K3</f>
        <v/>
      </c>
      <c r="L3" s="18">
        <f>CX!L3</f>
        <v/>
      </c>
      <c r="M3" s="18">
        <f>CX!M3</f>
        <v/>
      </c>
      <c r="N3" s="18">
        <f>CX!N3</f>
        <v/>
      </c>
      <c r="O3" s="18">
        <f>CX!O3</f>
        <v/>
      </c>
      <c r="P3" s="18">
        <f>CX!P3</f>
        <v/>
      </c>
      <c r="Q3" s="18">
        <f>CX!Q3</f>
        <v/>
      </c>
      <c r="R3" s="18">
        <f>CX!R3</f>
        <v/>
      </c>
      <c r="S3" s="18">
        <f>CX!S3</f>
        <v/>
      </c>
      <c r="T3" s="18">
        <f>CX!T3</f>
        <v/>
      </c>
      <c r="U3" s="18">
        <f>CX!U3</f>
        <v/>
      </c>
      <c r="V3" s="18">
        <f>CX!V3</f>
        <v/>
      </c>
      <c r="W3" s="18">
        <f>CX!W3</f>
        <v/>
      </c>
      <c r="X3" s="18">
        <f>CX!X3</f>
        <v/>
      </c>
      <c r="Y3" s="18">
        <f>CX!Y3</f>
        <v/>
      </c>
      <c r="Z3" s="18">
        <f>CX!Z3</f>
        <v/>
      </c>
      <c r="AA3" s="18">
        <f>CX!AA3</f>
        <v/>
      </c>
      <c r="AB3" s="18">
        <f>CX!AB3</f>
        <v/>
      </c>
      <c r="AC3" s="18">
        <f>CX!AC3</f>
        <v/>
      </c>
      <c r="AD3" s="18">
        <f>CX!AD3</f>
        <v/>
      </c>
      <c r="AE3" s="18">
        <f>CX!AE3</f>
        <v/>
      </c>
      <c r="AF3" s="18">
        <f>CX!AF3</f>
        <v/>
      </c>
      <c r="AG3" s="18">
        <f>CX!AG3</f>
        <v/>
      </c>
      <c r="AH3" s="18">
        <f>CX!AH3</f>
        <v/>
      </c>
      <c r="AI3" s="18">
        <f>CX!AI3</f>
        <v/>
      </c>
      <c r="AJ3" s="18">
        <f>CX!AJ3</f>
        <v/>
      </c>
      <c r="AK3" s="18">
        <f>CX!AK3</f>
        <v/>
      </c>
      <c r="AL3" s="18">
        <f>CX!AL3</f>
        <v/>
      </c>
      <c r="AM3" s="18">
        <f>CX!AM3</f>
        <v/>
      </c>
      <c r="AN3" s="18">
        <f>CX!AN3</f>
        <v/>
      </c>
      <c r="AO3" s="18">
        <f>CX!AO3</f>
        <v/>
      </c>
      <c r="AP3" s="18">
        <f>CX!AP3</f>
        <v/>
      </c>
      <c r="AQ3" s="18">
        <f>CX!AQ3</f>
        <v/>
      </c>
      <c r="AR3" s="18">
        <f>CX!AR3</f>
        <v/>
      </c>
      <c r="AS3" s="18">
        <f>CX!AS3</f>
        <v/>
      </c>
      <c r="AT3" s="18">
        <f>CX!AT3</f>
        <v/>
      </c>
      <c r="AU3" s="18">
        <f>CX!AU3</f>
        <v/>
      </c>
      <c r="AV3" s="18">
        <f>CX!AV3</f>
        <v/>
      </c>
      <c r="AW3" s="18">
        <f>CX!AW3</f>
        <v/>
      </c>
      <c r="AX3" s="18">
        <f>CX!AX3</f>
        <v/>
      </c>
      <c r="AY3" s="18">
        <f>CX!AY3</f>
        <v/>
      </c>
      <c r="AZ3" s="18">
        <f>CX!AZ3</f>
        <v/>
      </c>
      <c r="BA3" s="18">
        <f>CX!BA3</f>
        <v/>
      </c>
      <c r="BB3" s="18">
        <f>CX!BB3</f>
        <v/>
      </c>
      <c r="BC3" s="18">
        <f>CX!BC3</f>
        <v/>
      </c>
      <c r="BD3" s="18">
        <f>CX!BD3</f>
        <v/>
      </c>
      <c r="BE3" s="18">
        <f>CX!BE3</f>
        <v/>
      </c>
      <c r="BF3" s="18">
        <f>CX!BF3</f>
        <v/>
      </c>
      <c r="BG3" s="18">
        <f>CX!BG3</f>
        <v/>
      </c>
    </row>
    <row r="4">
      <c r="A4" t="inlineStr">
        <is>
          <t>Power</t>
        </is>
      </c>
      <c r="C4" s="10" t="inlineStr">
        <is>
          <t>$</t>
        </is>
      </c>
      <c r="E4" s="18" t="n">
        <v>0</v>
      </c>
      <c r="F4" s="18">
        <f>OP!F3</f>
        <v/>
      </c>
      <c r="G4" s="18">
        <f>OP!G3</f>
        <v/>
      </c>
      <c r="H4" s="18">
        <f>OP!H3</f>
        <v/>
      </c>
      <c r="I4" s="18">
        <f>OP!I3</f>
        <v/>
      </c>
      <c r="J4" s="18">
        <f>OP!J3</f>
        <v/>
      </c>
      <c r="K4" s="18">
        <f>OP!K3</f>
        <v/>
      </c>
      <c r="L4" s="18">
        <f>OP!L3</f>
        <v/>
      </c>
      <c r="M4" s="18">
        <f>OP!M3</f>
        <v/>
      </c>
      <c r="N4" s="18">
        <f>OP!N3</f>
        <v/>
      </c>
      <c r="O4" s="18">
        <f>OP!O3</f>
        <v/>
      </c>
      <c r="P4" s="18">
        <f>OP!P3</f>
        <v/>
      </c>
      <c r="Q4" s="18">
        <f>OP!Q3</f>
        <v/>
      </c>
      <c r="R4" s="18">
        <f>OP!R3</f>
        <v/>
      </c>
      <c r="S4" s="18">
        <f>OP!S3</f>
        <v/>
      </c>
      <c r="T4" s="18">
        <f>OP!T3</f>
        <v/>
      </c>
      <c r="U4" s="18">
        <f>OP!U3</f>
        <v/>
      </c>
      <c r="V4" s="18">
        <f>OP!V3</f>
        <v/>
      </c>
      <c r="W4" s="18">
        <f>OP!W3</f>
        <v/>
      </c>
      <c r="X4" s="18">
        <f>OP!X3</f>
        <v/>
      </c>
      <c r="Y4" s="18">
        <f>OP!Y3</f>
        <v/>
      </c>
      <c r="Z4" s="18">
        <f>OP!Z3</f>
        <v/>
      </c>
      <c r="AA4" s="18">
        <f>OP!AA3</f>
        <v/>
      </c>
      <c r="AB4" s="18">
        <f>OP!AB3</f>
        <v/>
      </c>
      <c r="AC4" s="18">
        <f>OP!AC3</f>
        <v/>
      </c>
      <c r="AD4" s="18">
        <f>OP!AD3</f>
        <v/>
      </c>
      <c r="AE4" s="18">
        <f>OP!AE3</f>
        <v/>
      </c>
      <c r="AF4" s="18">
        <f>OP!AF3</f>
        <v/>
      </c>
      <c r="AG4" s="18">
        <f>OP!AG3</f>
        <v/>
      </c>
      <c r="AH4" s="18">
        <f>OP!AH3</f>
        <v/>
      </c>
      <c r="AI4" s="18">
        <f>OP!AI3</f>
        <v/>
      </c>
      <c r="AJ4" s="18">
        <f>OP!AJ3</f>
        <v/>
      </c>
      <c r="AK4" s="18">
        <f>OP!AK3</f>
        <v/>
      </c>
      <c r="AL4" s="18">
        <f>OP!AL3</f>
        <v/>
      </c>
      <c r="AM4" s="18">
        <f>OP!AM3</f>
        <v/>
      </c>
      <c r="AN4" s="18">
        <f>OP!AN3</f>
        <v/>
      </c>
      <c r="AO4" s="18">
        <f>OP!AO3</f>
        <v/>
      </c>
      <c r="AP4" s="18">
        <f>OP!AP3</f>
        <v/>
      </c>
      <c r="AQ4" s="18">
        <f>OP!AQ3</f>
        <v/>
      </c>
      <c r="AR4" s="18">
        <f>OP!AR3</f>
        <v/>
      </c>
      <c r="AS4" s="18">
        <f>OP!AS3</f>
        <v/>
      </c>
      <c r="AT4" s="18">
        <f>OP!AT3</f>
        <v/>
      </c>
      <c r="AU4" s="18">
        <f>OP!AU3</f>
        <v/>
      </c>
      <c r="AV4" s="18">
        <f>OP!AV3</f>
        <v/>
      </c>
      <c r="AW4" s="18">
        <f>OP!AW3</f>
        <v/>
      </c>
      <c r="AX4" s="18">
        <f>OP!AX3</f>
        <v/>
      </c>
      <c r="AY4" s="18">
        <f>OP!AY3</f>
        <v/>
      </c>
      <c r="AZ4" s="18">
        <f>OP!AZ3</f>
        <v/>
      </c>
      <c r="BA4" s="18">
        <f>OP!BA3</f>
        <v/>
      </c>
      <c r="BB4" s="18">
        <f>OP!BB3</f>
        <v/>
      </c>
      <c r="BC4" s="18">
        <f>OP!BC3</f>
        <v/>
      </c>
      <c r="BD4" s="18">
        <f>OP!BD3</f>
        <v/>
      </c>
      <c r="BE4" s="18">
        <f>OP!BE3</f>
        <v/>
      </c>
      <c r="BF4" s="18">
        <f>OP!BF3</f>
        <v/>
      </c>
      <c r="BG4" s="18">
        <f>OP!BG3</f>
        <v/>
      </c>
    </row>
    <row r="5">
      <c r="A5" t="inlineStr">
        <is>
          <t>Water</t>
        </is>
      </c>
      <c r="C5" s="10" t="inlineStr">
        <is>
          <t>$</t>
        </is>
      </c>
      <c r="E5" s="18" t="n">
        <v>0</v>
      </c>
      <c r="F5" s="18">
        <f>OP!F4</f>
        <v/>
      </c>
      <c r="G5" s="18">
        <f>OP!G4</f>
        <v/>
      </c>
      <c r="H5" s="18">
        <f>OP!H4</f>
        <v/>
      </c>
      <c r="I5" s="18">
        <f>OP!I4</f>
        <v/>
      </c>
      <c r="J5" s="18">
        <f>OP!J4</f>
        <v/>
      </c>
      <c r="K5" s="18">
        <f>OP!K4</f>
        <v/>
      </c>
      <c r="L5" s="18">
        <f>OP!L4</f>
        <v/>
      </c>
      <c r="M5" s="18">
        <f>OP!M4</f>
        <v/>
      </c>
      <c r="N5" s="18">
        <f>OP!N4</f>
        <v/>
      </c>
      <c r="O5" s="18">
        <f>OP!O4</f>
        <v/>
      </c>
      <c r="P5" s="18">
        <f>OP!P4</f>
        <v/>
      </c>
      <c r="Q5" s="18">
        <f>OP!Q4</f>
        <v/>
      </c>
      <c r="R5" s="18">
        <f>OP!R4</f>
        <v/>
      </c>
      <c r="S5" s="18">
        <f>OP!S4</f>
        <v/>
      </c>
      <c r="T5" s="18">
        <f>OP!T4</f>
        <v/>
      </c>
      <c r="U5" s="18">
        <f>OP!U4</f>
        <v/>
      </c>
      <c r="V5" s="18">
        <f>OP!V4</f>
        <v/>
      </c>
      <c r="W5" s="18">
        <f>OP!W4</f>
        <v/>
      </c>
      <c r="X5" s="18">
        <f>OP!X4</f>
        <v/>
      </c>
      <c r="Y5" s="18">
        <f>OP!Y4</f>
        <v/>
      </c>
      <c r="Z5" s="18">
        <f>OP!Z4</f>
        <v/>
      </c>
      <c r="AA5" s="18">
        <f>OP!AA4</f>
        <v/>
      </c>
      <c r="AB5" s="18">
        <f>OP!AB4</f>
        <v/>
      </c>
      <c r="AC5" s="18">
        <f>OP!AC4</f>
        <v/>
      </c>
      <c r="AD5" s="18">
        <f>OP!AD4</f>
        <v/>
      </c>
      <c r="AE5" s="18">
        <f>OP!AE4</f>
        <v/>
      </c>
      <c r="AF5" s="18">
        <f>OP!AF4</f>
        <v/>
      </c>
      <c r="AG5" s="18">
        <f>OP!AG4</f>
        <v/>
      </c>
      <c r="AH5" s="18">
        <f>OP!AH4</f>
        <v/>
      </c>
      <c r="AI5" s="18">
        <f>OP!AI4</f>
        <v/>
      </c>
      <c r="AJ5" s="18">
        <f>OP!AJ4</f>
        <v/>
      </c>
      <c r="AK5" s="18">
        <f>OP!AK4</f>
        <v/>
      </c>
      <c r="AL5" s="18">
        <f>OP!AL4</f>
        <v/>
      </c>
      <c r="AM5" s="18">
        <f>OP!AM4</f>
        <v/>
      </c>
      <c r="AN5" s="18">
        <f>OP!AN4</f>
        <v/>
      </c>
      <c r="AO5" s="18">
        <f>OP!AO4</f>
        <v/>
      </c>
      <c r="AP5" s="18">
        <f>OP!AP4</f>
        <v/>
      </c>
      <c r="AQ5" s="18">
        <f>OP!AQ4</f>
        <v/>
      </c>
      <c r="AR5" s="18">
        <f>OP!AR4</f>
        <v/>
      </c>
      <c r="AS5" s="18">
        <f>OP!AS4</f>
        <v/>
      </c>
      <c r="AT5" s="18">
        <f>OP!AT4</f>
        <v/>
      </c>
      <c r="AU5" s="18">
        <f>OP!AU4</f>
        <v/>
      </c>
      <c r="AV5" s="18">
        <f>OP!AV4</f>
        <v/>
      </c>
      <c r="AW5" s="18">
        <f>OP!AW4</f>
        <v/>
      </c>
      <c r="AX5" s="18">
        <f>OP!AX4</f>
        <v/>
      </c>
      <c r="AY5" s="18">
        <f>OP!AY4</f>
        <v/>
      </c>
      <c r="AZ5" s="18">
        <f>OP!AZ4</f>
        <v/>
      </c>
      <c r="BA5" s="18">
        <f>OP!BA4</f>
        <v/>
      </c>
      <c r="BB5" s="18">
        <f>OP!BB4</f>
        <v/>
      </c>
      <c r="BC5" s="18">
        <f>OP!BC4</f>
        <v/>
      </c>
      <c r="BD5" s="18">
        <f>OP!BD4</f>
        <v/>
      </c>
      <c r="BE5" s="18">
        <f>OP!BE4</f>
        <v/>
      </c>
      <c r="BF5" s="18">
        <f>OP!BF4</f>
        <v/>
      </c>
      <c r="BG5" s="18">
        <f>OP!BG4</f>
        <v/>
      </c>
    </row>
    <row r="6">
      <c r="A6" t="inlineStr">
        <is>
          <t>Fixed O&amp;M</t>
        </is>
      </c>
      <c r="C6" s="10" t="inlineStr">
        <is>
          <t>$</t>
        </is>
      </c>
      <c r="E6" s="18" t="n">
        <v>0</v>
      </c>
      <c r="F6" s="18">
        <f>OP!F5</f>
        <v/>
      </c>
      <c r="G6" s="18">
        <f>OP!G5</f>
        <v/>
      </c>
      <c r="H6" s="18">
        <f>OP!H5</f>
        <v/>
      </c>
      <c r="I6" s="18">
        <f>OP!I5</f>
        <v/>
      </c>
      <c r="J6" s="18">
        <f>OP!J5</f>
        <v/>
      </c>
      <c r="K6" s="18">
        <f>OP!K5</f>
        <v/>
      </c>
      <c r="L6" s="18">
        <f>OP!L5</f>
        <v/>
      </c>
      <c r="M6" s="18">
        <f>OP!M5</f>
        <v/>
      </c>
      <c r="N6" s="18">
        <f>OP!N5</f>
        <v/>
      </c>
      <c r="O6" s="18">
        <f>OP!O5</f>
        <v/>
      </c>
      <c r="P6" s="18">
        <f>OP!P5</f>
        <v/>
      </c>
      <c r="Q6" s="18">
        <f>OP!Q5</f>
        <v/>
      </c>
      <c r="R6" s="18">
        <f>OP!R5</f>
        <v/>
      </c>
      <c r="S6" s="18">
        <f>OP!S5</f>
        <v/>
      </c>
      <c r="T6" s="18">
        <f>OP!T5</f>
        <v/>
      </c>
      <c r="U6" s="18">
        <f>OP!U5</f>
        <v/>
      </c>
      <c r="V6" s="18">
        <f>OP!V5</f>
        <v/>
      </c>
      <c r="W6" s="18">
        <f>OP!W5</f>
        <v/>
      </c>
      <c r="X6" s="18">
        <f>OP!X5</f>
        <v/>
      </c>
      <c r="Y6" s="18">
        <f>OP!Y5</f>
        <v/>
      </c>
      <c r="Z6" s="18">
        <f>OP!Z5</f>
        <v/>
      </c>
      <c r="AA6" s="18">
        <f>OP!AA5</f>
        <v/>
      </c>
      <c r="AB6" s="18">
        <f>OP!AB5</f>
        <v/>
      </c>
      <c r="AC6" s="18">
        <f>OP!AC5</f>
        <v/>
      </c>
      <c r="AD6" s="18">
        <f>OP!AD5</f>
        <v/>
      </c>
      <c r="AE6" s="18">
        <f>OP!AE5</f>
        <v/>
      </c>
      <c r="AF6" s="18">
        <f>OP!AF5</f>
        <v/>
      </c>
      <c r="AG6" s="18">
        <f>OP!AG5</f>
        <v/>
      </c>
      <c r="AH6" s="18">
        <f>OP!AH5</f>
        <v/>
      </c>
      <c r="AI6" s="18">
        <f>OP!AI5</f>
        <v/>
      </c>
      <c r="AJ6" s="18">
        <f>OP!AJ5</f>
        <v/>
      </c>
      <c r="AK6" s="18">
        <f>OP!AK5</f>
        <v/>
      </c>
      <c r="AL6" s="18">
        <f>OP!AL5</f>
        <v/>
      </c>
      <c r="AM6" s="18">
        <f>OP!AM5</f>
        <v/>
      </c>
      <c r="AN6" s="18">
        <f>OP!AN5</f>
        <v/>
      </c>
      <c r="AO6" s="18">
        <f>OP!AO5</f>
        <v/>
      </c>
      <c r="AP6" s="18">
        <f>OP!AP5</f>
        <v/>
      </c>
      <c r="AQ6" s="18">
        <f>OP!AQ5</f>
        <v/>
      </c>
      <c r="AR6" s="18">
        <f>OP!AR5</f>
        <v/>
      </c>
      <c r="AS6" s="18">
        <f>OP!AS5</f>
        <v/>
      </c>
      <c r="AT6" s="18">
        <f>OP!AT5</f>
        <v/>
      </c>
      <c r="AU6" s="18">
        <f>OP!AU5</f>
        <v/>
      </c>
      <c r="AV6" s="18">
        <f>OP!AV5</f>
        <v/>
      </c>
      <c r="AW6" s="18">
        <f>OP!AW5</f>
        <v/>
      </c>
      <c r="AX6" s="18">
        <f>OP!AX5</f>
        <v/>
      </c>
      <c r="AY6" s="18">
        <f>OP!AY5</f>
        <v/>
      </c>
      <c r="AZ6" s="18">
        <f>OP!AZ5</f>
        <v/>
      </c>
      <c r="BA6" s="18">
        <f>OP!BA5</f>
        <v/>
      </c>
      <c r="BB6" s="18">
        <f>OP!BB5</f>
        <v/>
      </c>
      <c r="BC6" s="18">
        <f>OP!BC5</f>
        <v/>
      </c>
      <c r="BD6" s="18">
        <f>OP!BD5</f>
        <v/>
      </c>
      <c r="BE6" s="18">
        <f>OP!BE5</f>
        <v/>
      </c>
      <c r="BF6" s="18">
        <f>OP!BF5</f>
        <v/>
      </c>
      <c r="BG6" s="18">
        <f>OP!BG5</f>
        <v/>
      </c>
    </row>
    <row r="7">
      <c r="A7" t="inlineStr">
        <is>
          <t>Variable O&amp;M</t>
        </is>
      </c>
      <c r="C7" s="10" t="inlineStr">
        <is>
          <t>$</t>
        </is>
      </c>
      <c r="E7" s="18" t="n">
        <v>0</v>
      </c>
      <c r="F7" s="18">
        <f>OP!F6</f>
        <v/>
      </c>
      <c r="G7" s="18">
        <f>OP!G6</f>
        <v/>
      </c>
      <c r="H7" s="18">
        <f>OP!H6</f>
        <v/>
      </c>
      <c r="I7" s="18">
        <f>OP!I6</f>
        <v/>
      </c>
      <c r="J7" s="18">
        <f>OP!J6</f>
        <v/>
      </c>
      <c r="K7" s="18">
        <f>OP!K6</f>
        <v/>
      </c>
      <c r="L7" s="18">
        <f>OP!L6</f>
        <v/>
      </c>
      <c r="M7" s="18">
        <f>OP!M6</f>
        <v/>
      </c>
      <c r="N7" s="18">
        <f>OP!N6</f>
        <v/>
      </c>
      <c r="O7" s="18">
        <f>OP!O6</f>
        <v/>
      </c>
      <c r="P7" s="18">
        <f>OP!P6</f>
        <v/>
      </c>
      <c r="Q7" s="18">
        <f>OP!Q6</f>
        <v/>
      </c>
      <c r="R7" s="18">
        <f>OP!R6</f>
        <v/>
      </c>
      <c r="S7" s="18">
        <f>OP!S6</f>
        <v/>
      </c>
      <c r="T7" s="18">
        <f>OP!T6</f>
        <v/>
      </c>
      <c r="U7" s="18">
        <f>OP!U6</f>
        <v/>
      </c>
      <c r="V7" s="18">
        <f>OP!V6</f>
        <v/>
      </c>
      <c r="W7" s="18">
        <f>OP!W6</f>
        <v/>
      </c>
      <c r="X7" s="18">
        <f>OP!X6</f>
        <v/>
      </c>
      <c r="Y7" s="18">
        <f>OP!Y6</f>
        <v/>
      </c>
      <c r="Z7" s="18">
        <f>OP!Z6</f>
        <v/>
      </c>
      <c r="AA7" s="18">
        <f>OP!AA6</f>
        <v/>
      </c>
      <c r="AB7" s="18">
        <f>OP!AB6</f>
        <v/>
      </c>
      <c r="AC7" s="18">
        <f>OP!AC6</f>
        <v/>
      </c>
      <c r="AD7" s="18">
        <f>OP!AD6</f>
        <v/>
      </c>
      <c r="AE7" s="18">
        <f>OP!AE6</f>
        <v/>
      </c>
      <c r="AF7" s="18">
        <f>OP!AF6</f>
        <v/>
      </c>
      <c r="AG7" s="18">
        <f>OP!AG6</f>
        <v/>
      </c>
      <c r="AH7" s="18">
        <f>OP!AH6</f>
        <v/>
      </c>
      <c r="AI7" s="18">
        <f>OP!AI6</f>
        <v/>
      </c>
      <c r="AJ7" s="18">
        <f>OP!AJ6</f>
        <v/>
      </c>
      <c r="AK7" s="18">
        <f>OP!AK6</f>
        <v/>
      </c>
      <c r="AL7" s="18">
        <f>OP!AL6</f>
        <v/>
      </c>
      <c r="AM7" s="18">
        <f>OP!AM6</f>
        <v/>
      </c>
      <c r="AN7" s="18">
        <f>OP!AN6</f>
        <v/>
      </c>
      <c r="AO7" s="18">
        <f>OP!AO6</f>
        <v/>
      </c>
      <c r="AP7" s="18">
        <f>OP!AP6</f>
        <v/>
      </c>
      <c r="AQ7" s="18">
        <f>OP!AQ6</f>
        <v/>
      </c>
      <c r="AR7" s="18">
        <f>OP!AR6</f>
        <v/>
      </c>
      <c r="AS7" s="18">
        <f>OP!AS6</f>
        <v/>
      </c>
      <c r="AT7" s="18">
        <f>OP!AT6</f>
        <v/>
      </c>
      <c r="AU7" s="18">
        <f>OP!AU6</f>
        <v/>
      </c>
      <c r="AV7" s="18">
        <f>OP!AV6</f>
        <v/>
      </c>
      <c r="AW7" s="18">
        <f>OP!AW6</f>
        <v/>
      </c>
      <c r="AX7" s="18">
        <f>OP!AX6</f>
        <v/>
      </c>
      <c r="AY7" s="18">
        <f>OP!AY6</f>
        <v/>
      </c>
      <c r="AZ7" s="18">
        <f>OP!AZ6</f>
        <v/>
      </c>
      <c r="BA7" s="18">
        <f>OP!BA6</f>
        <v/>
      </c>
      <c r="BB7" s="18">
        <f>OP!BB6</f>
        <v/>
      </c>
      <c r="BC7" s="18">
        <f>OP!BC6</f>
        <v/>
      </c>
      <c r="BD7" s="18">
        <f>OP!BD6</f>
        <v/>
      </c>
      <c r="BE7" s="18">
        <f>OP!BE6</f>
        <v/>
      </c>
      <c r="BF7" s="18">
        <f>OP!BF6</f>
        <v/>
      </c>
      <c r="BG7" s="18">
        <f>OP!BG6</f>
        <v/>
      </c>
    </row>
    <row r="8">
      <c r="A8" t="inlineStr">
        <is>
          <t>Insurance</t>
        </is>
      </c>
      <c r="C8" s="10" t="inlineStr">
        <is>
          <t>$</t>
        </is>
      </c>
      <c r="E8" s="18" t="n">
        <v>0</v>
      </c>
      <c r="F8" s="18">
        <f>OP!F7</f>
        <v/>
      </c>
      <c r="G8" s="18">
        <f>OP!G7</f>
        <v/>
      </c>
      <c r="H8" s="18">
        <f>OP!H7</f>
        <v/>
      </c>
      <c r="I8" s="18">
        <f>OP!I7</f>
        <v/>
      </c>
      <c r="J8" s="18">
        <f>OP!J7</f>
        <v/>
      </c>
      <c r="K8" s="18">
        <f>OP!K7</f>
        <v/>
      </c>
      <c r="L8" s="18">
        <f>OP!L7</f>
        <v/>
      </c>
      <c r="M8" s="18">
        <f>OP!M7</f>
        <v/>
      </c>
      <c r="N8" s="18">
        <f>OP!N7</f>
        <v/>
      </c>
      <c r="O8" s="18">
        <f>OP!O7</f>
        <v/>
      </c>
      <c r="P8" s="18">
        <f>OP!P7</f>
        <v/>
      </c>
      <c r="Q8" s="18">
        <f>OP!Q7</f>
        <v/>
      </c>
      <c r="R8" s="18">
        <f>OP!R7</f>
        <v/>
      </c>
      <c r="S8" s="18">
        <f>OP!S7</f>
        <v/>
      </c>
      <c r="T8" s="18">
        <f>OP!T7</f>
        <v/>
      </c>
      <c r="U8" s="18">
        <f>OP!U7</f>
        <v/>
      </c>
      <c r="V8" s="18">
        <f>OP!V7</f>
        <v/>
      </c>
      <c r="W8" s="18">
        <f>OP!W7</f>
        <v/>
      </c>
      <c r="X8" s="18">
        <f>OP!X7</f>
        <v/>
      </c>
      <c r="Y8" s="18">
        <f>OP!Y7</f>
        <v/>
      </c>
      <c r="Z8" s="18">
        <f>OP!Z7</f>
        <v/>
      </c>
      <c r="AA8" s="18">
        <f>OP!AA7</f>
        <v/>
      </c>
      <c r="AB8" s="18">
        <f>OP!AB7</f>
        <v/>
      </c>
      <c r="AC8" s="18">
        <f>OP!AC7</f>
        <v/>
      </c>
      <c r="AD8" s="18">
        <f>OP!AD7</f>
        <v/>
      </c>
      <c r="AE8" s="18">
        <f>OP!AE7</f>
        <v/>
      </c>
      <c r="AF8" s="18">
        <f>OP!AF7</f>
        <v/>
      </c>
      <c r="AG8" s="18">
        <f>OP!AG7</f>
        <v/>
      </c>
      <c r="AH8" s="18">
        <f>OP!AH7</f>
        <v/>
      </c>
      <c r="AI8" s="18">
        <f>OP!AI7</f>
        <v/>
      </c>
      <c r="AJ8" s="18">
        <f>OP!AJ7</f>
        <v/>
      </c>
      <c r="AK8" s="18">
        <f>OP!AK7</f>
        <v/>
      </c>
      <c r="AL8" s="18">
        <f>OP!AL7</f>
        <v/>
      </c>
      <c r="AM8" s="18">
        <f>OP!AM7</f>
        <v/>
      </c>
      <c r="AN8" s="18">
        <f>OP!AN7</f>
        <v/>
      </c>
      <c r="AO8" s="18">
        <f>OP!AO7</f>
        <v/>
      </c>
      <c r="AP8" s="18">
        <f>OP!AP7</f>
        <v/>
      </c>
      <c r="AQ8" s="18">
        <f>OP!AQ7</f>
        <v/>
      </c>
      <c r="AR8" s="18">
        <f>OP!AR7</f>
        <v/>
      </c>
      <c r="AS8" s="18">
        <f>OP!AS7</f>
        <v/>
      </c>
      <c r="AT8" s="18">
        <f>OP!AT7</f>
        <v/>
      </c>
      <c r="AU8" s="18">
        <f>OP!AU7</f>
        <v/>
      </c>
      <c r="AV8" s="18">
        <f>OP!AV7</f>
        <v/>
      </c>
      <c r="AW8" s="18">
        <f>OP!AW7</f>
        <v/>
      </c>
      <c r="AX8" s="18">
        <f>OP!AX7</f>
        <v/>
      </c>
      <c r="AY8" s="18">
        <f>OP!AY7</f>
        <v/>
      </c>
      <c r="AZ8" s="18">
        <f>OP!AZ7</f>
        <v/>
      </c>
      <c r="BA8" s="18">
        <f>OP!BA7</f>
        <v/>
      </c>
      <c r="BB8" s="18">
        <f>OP!BB7</f>
        <v/>
      </c>
      <c r="BC8" s="18">
        <f>OP!BC7</f>
        <v/>
      </c>
      <c r="BD8" s="18">
        <f>OP!BD7</f>
        <v/>
      </c>
      <c r="BE8" s="18">
        <f>OP!BE7</f>
        <v/>
      </c>
      <c r="BF8" s="18">
        <f>OP!BF7</f>
        <v/>
      </c>
      <c r="BG8" s="18">
        <f>OP!BG7</f>
        <v/>
      </c>
    </row>
    <row r="9">
      <c r="A9" t="inlineStr">
        <is>
          <t>Stack replacement</t>
        </is>
      </c>
      <c r="C9" s="10" t="inlineStr">
        <is>
          <t>$</t>
        </is>
      </c>
      <c r="E9" s="18" t="n">
        <v>0</v>
      </c>
      <c r="F9" s="18">
        <f>OP!F8</f>
        <v/>
      </c>
      <c r="G9" s="18">
        <f>OP!G8</f>
        <v/>
      </c>
      <c r="H9" s="18">
        <f>OP!H8</f>
        <v/>
      </c>
      <c r="I9" s="18">
        <f>OP!I8</f>
        <v/>
      </c>
      <c r="J9" s="18">
        <f>OP!J8</f>
        <v/>
      </c>
      <c r="K9" s="18">
        <f>OP!K8</f>
        <v/>
      </c>
      <c r="L9" s="18">
        <f>OP!L8</f>
        <v/>
      </c>
      <c r="M9" s="18">
        <f>OP!M8</f>
        <v/>
      </c>
      <c r="N9" s="18">
        <f>OP!N8</f>
        <v/>
      </c>
      <c r="O9" s="18">
        <f>OP!O8</f>
        <v/>
      </c>
      <c r="P9" s="18">
        <f>OP!P8</f>
        <v/>
      </c>
      <c r="Q9" s="18">
        <f>OP!Q8</f>
        <v/>
      </c>
      <c r="R9" s="18">
        <f>OP!R8</f>
        <v/>
      </c>
      <c r="S9" s="18">
        <f>OP!S8</f>
        <v/>
      </c>
      <c r="T9" s="18">
        <f>OP!T8</f>
        <v/>
      </c>
      <c r="U9" s="18">
        <f>OP!U8</f>
        <v/>
      </c>
      <c r="V9" s="18">
        <f>OP!V8</f>
        <v/>
      </c>
      <c r="W9" s="18">
        <f>OP!W8</f>
        <v/>
      </c>
      <c r="X9" s="18">
        <f>OP!X8</f>
        <v/>
      </c>
      <c r="Y9" s="18">
        <f>OP!Y8</f>
        <v/>
      </c>
      <c r="Z9" s="18">
        <f>OP!Z8</f>
        <v/>
      </c>
      <c r="AA9" s="18">
        <f>OP!AA8</f>
        <v/>
      </c>
      <c r="AB9" s="18">
        <f>OP!AB8</f>
        <v/>
      </c>
      <c r="AC9" s="18">
        <f>OP!AC8</f>
        <v/>
      </c>
      <c r="AD9" s="18">
        <f>OP!AD8</f>
        <v/>
      </c>
      <c r="AE9" s="18">
        <f>OP!AE8</f>
        <v/>
      </c>
      <c r="AF9" s="18">
        <f>OP!AF8</f>
        <v/>
      </c>
      <c r="AG9" s="18">
        <f>OP!AG8</f>
        <v/>
      </c>
      <c r="AH9" s="18">
        <f>OP!AH8</f>
        <v/>
      </c>
      <c r="AI9" s="18">
        <f>OP!AI8</f>
        <v/>
      </c>
      <c r="AJ9" s="18">
        <f>OP!AJ8</f>
        <v/>
      </c>
      <c r="AK9" s="18">
        <f>OP!AK8</f>
        <v/>
      </c>
      <c r="AL9" s="18">
        <f>OP!AL8</f>
        <v/>
      </c>
      <c r="AM9" s="18">
        <f>OP!AM8</f>
        <v/>
      </c>
      <c r="AN9" s="18">
        <f>OP!AN8</f>
        <v/>
      </c>
      <c r="AO9" s="18">
        <f>OP!AO8</f>
        <v/>
      </c>
      <c r="AP9" s="18">
        <f>OP!AP8</f>
        <v/>
      </c>
      <c r="AQ9" s="18">
        <f>OP!AQ8</f>
        <v/>
      </c>
      <c r="AR9" s="18">
        <f>OP!AR8</f>
        <v/>
      </c>
      <c r="AS9" s="18">
        <f>OP!AS8</f>
        <v/>
      </c>
      <c r="AT9" s="18">
        <f>OP!AT8</f>
        <v/>
      </c>
      <c r="AU9" s="18">
        <f>OP!AU8</f>
        <v/>
      </c>
      <c r="AV9" s="18">
        <f>OP!AV8</f>
        <v/>
      </c>
      <c r="AW9" s="18">
        <f>OP!AW8</f>
        <v/>
      </c>
      <c r="AX9" s="18">
        <f>OP!AX8</f>
        <v/>
      </c>
      <c r="AY9" s="18">
        <f>OP!AY8</f>
        <v/>
      </c>
      <c r="AZ9" s="18">
        <f>OP!AZ8</f>
        <v/>
      </c>
      <c r="BA9" s="18">
        <f>OP!BA8</f>
        <v/>
      </c>
      <c r="BB9" s="18">
        <f>OP!BB8</f>
        <v/>
      </c>
      <c r="BC9" s="18">
        <f>OP!BC8</f>
        <v/>
      </c>
      <c r="BD9" s="18">
        <f>OP!BD8</f>
        <v/>
      </c>
      <c r="BE9" s="18">
        <f>OP!BE8</f>
        <v/>
      </c>
      <c r="BF9" s="18">
        <f>OP!BF8</f>
        <v/>
      </c>
      <c r="BG9" s="18">
        <f>OP!BG8</f>
        <v/>
      </c>
    </row>
    <row r="10">
      <c r="A10" t="inlineStr">
        <is>
          <t>Tax (unlevered)</t>
        </is>
      </c>
      <c r="C10" s="10" t="inlineStr">
        <is>
          <t>$</t>
        </is>
      </c>
      <c r="E10" s="18" t="n">
        <v>0</v>
      </c>
      <c r="F10" s="18">
        <f>TX!F16</f>
        <v/>
      </c>
      <c r="G10" s="18">
        <f>TX!G16</f>
        <v/>
      </c>
      <c r="H10" s="18">
        <f>TX!H16</f>
        <v/>
      </c>
      <c r="I10" s="18">
        <f>TX!I16</f>
        <v/>
      </c>
      <c r="J10" s="18">
        <f>TX!J16</f>
        <v/>
      </c>
      <c r="K10" s="18">
        <f>TX!K16</f>
        <v/>
      </c>
      <c r="L10" s="18">
        <f>TX!L16</f>
        <v/>
      </c>
      <c r="M10" s="18">
        <f>TX!M16</f>
        <v/>
      </c>
      <c r="N10" s="18">
        <f>TX!N16</f>
        <v/>
      </c>
      <c r="O10" s="18">
        <f>TX!O16</f>
        <v/>
      </c>
      <c r="P10" s="18">
        <f>TX!P16</f>
        <v/>
      </c>
      <c r="Q10" s="18">
        <f>TX!Q16</f>
        <v/>
      </c>
      <c r="R10" s="18">
        <f>TX!R16</f>
        <v/>
      </c>
      <c r="S10" s="18">
        <f>TX!S16</f>
        <v/>
      </c>
      <c r="T10" s="18">
        <f>TX!T16</f>
        <v/>
      </c>
      <c r="U10" s="18">
        <f>TX!U16</f>
        <v/>
      </c>
      <c r="V10" s="18">
        <f>TX!V16</f>
        <v/>
      </c>
      <c r="W10" s="18">
        <f>TX!W16</f>
        <v/>
      </c>
      <c r="X10" s="18">
        <f>TX!X16</f>
        <v/>
      </c>
      <c r="Y10" s="18">
        <f>TX!Y16</f>
        <v/>
      </c>
      <c r="Z10" s="18">
        <f>TX!Z16</f>
        <v/>
      </c>
      <c r="AA10" s="18">
        <f>TX!AA16</f>
        <v/>
      </c>
      <c r="AB10" s="18">
        <f>TX!AB16</f>
        <v/>
      </c>
      <c r="AC10" s="18">
        <f>TX!AC16</f>
        <v/>
      </c>
      <c r="AD10" s="18">
        <f>TX!AD16</f>
        <v/>
      </c>
      <c r="AE10" s="18">
        <f>TX!AE16</f>
        <v/>
      </c>
      <c r="AF10" s="18">
        <f>TX!AF16</f>
        <v/>
      </c>
      <c r="AG10" s="18">
        <f>TX!AG16</f>
        <v/>
      </c>
      <c r="AH10" s="18">
        <f>TX!AH16</f>
        <v/>
      </c>
      <c r="AI10" s="18">
        <f>TX!AI16</f>
        <v/>
      </c>
      <c r="AJ10" s="18">
        <f>TX!AJ16</f>
        <v/>
      </c>
      <c r="AK10" s="18">
        <f>TX!AK16</f>
        <v/>
      </c>
      <c r="AL10" s="18">
        <f>TX!AL16</f>
        <v/>
      </c>
      <c r="AM10" s="18">
        <f>TX!AM16</f>
        <v/>
      </c>
      <c r="AN10" s="18">
        <f>TX!AN16</f>
        <v/>
      </c>
      <c r="AO10" s="18">
        <f>TX!AO16</f>
        <v/>
      </c>
      <c r="AP10" s="18">
        <f>TX!AP16</f>
        <v/>
      </c>
      <c r="AQ10" s="18">
        <f>TX!AQ16</f>
        <v/>
      </c>
      <c r="AR10" s="18">
        <f>TX!AR16</f>
        <v/>
      </c>
      <c r="AS10" s="18">
        <f>TX!AS16</f>
        <v/>
      </c>
      <c r="AT10" s="18">
        <f>TX!AT16</f>
        <v/>
      </c>
      <c r="AU10" s="18">
        <f>TX!AU16</f>
        <v/>
      </c>
      <c r="AV10" s="18">
        <f>TX!AV16</f>
        <v/>
      </c>
      <c r="AW10" s="18">
        <f>TX!AW16</f>
        <v/>
      </c>
      <c r="AX10" s="18">
        <f>TX!AX16</f>
        <v/>
      </c>
      <c r="AY10" s="18">
        <f>TX!AY16</f>
        <v/>
      </c>
      <c r="AZ10" s="18">
        <f>TX!AZ16</f>
        <v/>
      </c>
      <c r="BA10" s="18">
        <f>TX!BA16</f>
        <v/>
      </c>
      <c r="BB10" s="18">
        <f>TX!BB16</f>
        <v/>
      </c>
      <c r="BC10" s="18">
        <f>TX!BC16</f>
        <v/>
      </c>
      <c r="BD10" s="18">
        <f>TX!BD16</f>
        <v/>
      </c>
      <c r="BE10" s="18">
        <f>TX!BE16</f>
        <v/>
      </c>
      <c r="BF10" s="18">
        <f>TX!BF16</f>
        <v/>
      </c>
      <c r="BG10" s="18">
        <f>TX!BG16</f>
        <v/>
      </c>
    </row>
    <row r="11">
      <c r="A11" s="3" t="inlineStr">
        <is>
          <t>Total cost</t>
        </is>
      </c>
      <c r="C11" s="10" t="inlineStr">
        <is>
          <t>$</t>
        </is>
      </c>
      <c r="E11" s="18" t="n">
        <v>0</v>
      </c>
      <c r="F11" s="18">
        <f>F3+F4+F5+F6+F7+F8+F9+F10</f>
        <v/>
      </c>
      <c r="G11" s="18">
        <f>G3+G4+G5+G6+G7+G8+G9+G10</f>
        <v/>
      </c>
      <c r="H11" s="18">
        <f>H3+H4+H5+H6+H7+H8+H9+H10</f>
        <v/>
      </c>
      <c r="I11" s="18">
        <f>I3+I4+I5+I6+I7+I8+I9+I10</f>
        <v/>
      </c>
      <c r="J11" s="18">
        <f>J3+J4+J5+J6+J7+J8+J9+J10</f>
        <v/>
      </c>
      <c r="K11" s="18">
        <f>K3+K4+K5+K6+K7+K8+K9+K10</f>
        <v/>
      </c>
      <c r="L11" s="18">
        <f>L3+L4+L5+L6+L7+L8+L9+L10</f>
        <v/>
      </c>
      <c r="M11" s="18">
        <f>M3+M4+M5+M6+M7+M8+M9+M10</f>
        <v/>
      </c>
      <c r="N11" s="18">
        <f>N3+N4+N5+N6+N7+N8+N9+N10</f>
        <v/>
      </c>
      <c r="O11" s="18">
        <f>O3+O4+O5+O6+O7+O8+O9+O10</f>
        <v/>
      </c>
      <c r="P11" s="18">
        <f>P3+P4+P5+P6+P7+P8+P9+P10</f>
        <v/>
      </c>
      <c r="Q11" s="18">
        <f>Q3+Q4+Q5+Q6+Q7+Q8+Q9+Q10</f>
        <v/>
      </c>
      <c r="R11" s="18">
        <f>R3+R4+R5+R6+R7+R8+R9+R10</f>
        <v/>
      </c>
      <c r="S11" s="18">
        <f>S3+S4+S5+S6+S7+S8+S9+S10</f>
        <v/>
      </c>
      <c r="T11" s="18">
        <f>T3+T4+T5+T6+T7+T8+T9+T10</f>
        <v/>
      </c>
      <c r="U11" s="18">
        <f>U3+U4+U5+U6+U7+U8+U9+U10</f>
        <v/>
      </c>
      <c r="V11" s="18">
        <f>V3+V4+V5+V6+V7+V8+V9+V10</f>
        <v/>
      </c>
      <c r="W11" s="18">
        <f>W3+W4+W5+W6+W7+W8+W9+W10</f>
        <v/>
      </c>
      <c r="X11" s="18">
        <f>X3+X4+X5+X6+X7+X8+X9+X10</f>
        <v/>
      </c>
      <c r="Y11" s="18">
        <f>Y3+Y4+Y5+Y6+Y7+Y8+Y9+Y10</f>
        <v/>
      </c>
      <c r="Z11" s="18">
        <f>Z3+Z4+Z5+Z6+Z7+Z8+Z9+Z10</f>
        <v/>
      </c>
      <c r="AA11" s="18">
        <f>AA3+AA4+AA5+AA6+AA7+AA8+AA9+AA10</f>
        <v/>
      </c>
      <c r="AB11" s="18">
        <f>AB3+AB4+AB5+AB6+AB7+AB8+AB9+AB10</f>
        <v/>
      </c>
      <c r="AC11" s="18">
        <f>AC3+AC4+AC5+AC6+AC7+AC8+AC9+AC10</f>
        <v/>
      </c>
      <c r="AD11" s="18">
        <f>AD3+AD4+AD5+AD6+AD7+AD8+AD9+AD10</f>
        <v/>
      </c>
      <c r="AE11" s="18">
        <f>AE3+AE4+AE5+AE6+AE7+AE8+AE9+AE10</f>
        <v/>
      </c>
      <c r="AF11" s="18">
        <f>AF3+AF4+AF5+AF6+AF7+AF8+AF9+AF10</f>
        <v/>
      </c>
      <c r="AG11" s="18">
        <f>AG3+AG4+AG5+AG6+AG7+AG8+AG9+AG10</f>
        <v/>
      </c>
      <c r="AH11" s="18">
        <f>AH3+AH4+AH5+AH6+AH7+AH8+AH9+AH10</f>
        <v/>
      </c>
      <c r="AI11" s="18">
        <f>AI3+AI4+AI5+AI6+AI7+AI8+AI9+AI10</f>
        <v/>
      </c>
      <c r="AJ11" s="18">
        <f>AJ3+AJ4+AJ5+AJ6+AJ7+AJ8+AJ9+AJ10</f>
        <v/>
      </c>
      <c r="AK11" s="18">
        <f>AK3+AK4+AK5+AK6+AK7+AK8+AK9+AK10</f>
        <v/>
      </c>
      <c r="AL11" s="18">
        <f>AL3+AL4+AL5+AL6+AL7+AL8+AL9+AL10</f>
        <v/>
      </c>
      <c r="AM11" s="18">
        <f>AM3+AM4+AM5+AM6+AM7+AM8+AM9+AM10</f>
        <v/>
      </c>
      <c r="AN11" s="18">
        <f>AN3+AN4+AN5+AN6+AN7+AN8+AN9+AN10</f>
        <v/>
      </c>
      <c r="AO11" s="18">
        <f>AO3+AO4+AO5+AO6+AO7+AO8+AO9+AO10</f>
        <v/>
      </c>
      <c r="AP11" s="18">
        <f>AP3+AP4+AP5+AP6+AP7+AP8+AP9+AP10</f>
        <v/>
      </c>
      <c r="AQ11" s="18">
        <f>AQ3+AQ4+AQ5+AQ6+AQ7+AQ8+AQ9+AQ10</f>
        <v/>
      </c>
      <c r="AR11" s="18">
        <f>AR3+AR4+AR5+AR6+AR7+AR8+AR9+AR10</f>
        <v/>
      </c>
      <c r="AS11" s="18">
        <f>AS3+AS4+AS5+AS6+AS7+AS8+AS9+AS10</f>
        <v/>
      </c>
      <c r="AT11" s="18">
        <f>AT3+AT4+AT5+AT6+AT7+AT8+AT9+AT10</f>
        <v/>
      </c>
      <c r="AU11" s="18">
        <f>AU3+AU4+AU5+AU6+AU7+AU8+AU9+AU10</f>
        <v/>
      </c>
      <c r="AV11" s="18">
        <f>AV3+AV4+AV5+AV6+AV7+AV8+AV9+AV10</f>
        <v/>
      </c>
      <c r="AW11" s="18">
        <f>AW3+AW4+AW5+AW6+AW7+AW8+AW9+AW10</f>
        <v/>
      </c>
      <c r="AX11" s="18">
        <f>AX3+AX4+AX5+AX6+AX7+AX8+AX9+AX10</f>
        <v/>
      </c>
      <c r="AY11" s="18">
        <f>AY3+AY4+AY5+AY6+AY7+AY8+AY9+AY10</f>
        <v/>
      </c>
      <c r="AZ11" s="18">
        <f>AZ3+AZ4+AZ5+AZ6+AZ7+AZ8+AZ9+AZ10</f>
        <v/>
      </c>
      <c r="BA11" s="18">
        <f>BA3+BA4+BA5+BA6+BA7+BA8+BA9+BA10</f>
        <v/>
      </c>
      <c r="BB11" s="18">
        <f>BB3+BB4+BB5+BB6+BB7+BB8+BB9+BB10</f>
        <v/>
      </c>
      <c r="BC11" s="18">
        <f>BC3+BC4+BC5+BC6+BC7+BC8+BC9+BC10</f>
        <v/>
      </c>
      <c r="BD11" s="18">
        <f>BD3+BD4+BD5+BD6+BD7+BD8+BD9+BD10</f>
        <v/>
      </c>
      <c r="BE11" s="18">
        <f>BE3+BE4+BE5+BE6+BE7+BE8+BE9+BE10</f>
        <v/>
      </c>
      <c r="BF11" s="18">
        <f>BF3+BF4+BF5+BF6+BF7+BF8+BF9+BF10</f>
        <v/>
      </c>
      <c r="BG11" s="18">
        <f>BG3+BG4+BG5+BG6+BG7+BG8+BG9+BG10</f>
        <v/>
      </c>
    </row>
    <row r="12">
      <c r="A12" t="inlineStr">
        <is>
          <t>H2 production</t>
        </is>
      </c>
      <c r="C12" s="10" t="inlineStr">
        <is>
          <t>kg</t>
        </is>
      </c>
      <c r="E12" s="18" t="n">
        <v>0</v>
      </c>
      <c r="F12" s="18">
        <f>PR!F5</f>
        <v/>
      </c>
      <c r="G12" s="18">
        <f>PR!G5</f>
        <v/>
      </c>
      <c r="H12" s="18">
        <f>PR!H5</f>
        <v/>
      </c>
      <c r="I12" s="18">
        <f>PR!I5</f>
        <v/>
      </c>
      <c r="J12" s="18">
        <f>PR!J5</f>
        <v/>
      </c>
      <c r="K12" s="18">
        <f>PR!K5</f>
        <v/>
      </c>
      <c r="L12" s="18">
        <f>PR!L5</f>
        <v/>
      </c>
      <c r="M12" s="18">
        <f>PR!M5</f>
        <v/>
      </c>
      <c r="N12" s="18">
        <f>PR!N5</f>
        <v/>
      </c>
      <c r="O12" s="18">
        <f>PR!O5</f>
        <v/>
      </c>
      <c r="P12" s="18">
        <f>PR!P5</f>
        <v/>
      </c>
      <c r="Q12" s="18">
        <f>PR!Q5</f>
        <v/>
      </c>
      <c r="R12" s="18">
        <f>PR!R5</f>
        <v/>
      </c>
      <c r="S12" s="18">
        <f>PR!S5</f>
        <v/>
      </c>
      <c r="T12" s="18">
        <f>PR!T5</f>
        <v/>
      </c>
      <c r="U12" s="18">
        <f>PR!U5</f>
        <v/>
      </c>
      <c r="V12" s="18">
        <f>PR!V5</f>
        <v/>
      </c>
      <c r="W12" s="18">
        <f>PR!W5</f>
        <v/>
      </c>
      <c r="X12" s="18">
        <f>PR!X5</f>
        <v/>
      </c>
      <c r="Y12" s="18">
        <f>PR!Y5</f>
        <v/>
      </c>
      <c r="Z12" s="18">
        <f>PR!Z5</f>
        <v/>
      </c>
      <c r="AA12" s="18">
        <f>PR!AA5</f>
        <v/>
      </c>
      <c r="AB12" s="18">
        <f>PR!AB5</f>
        <v/>
      </c>
      <c r="AC12" s="18">
        <f>PR!AC5</f>
        <v/>
      </c>
      <c r="AD12" s="18">
        <f>PR!AD5</f>
        <v/>
      </c>
      <c r="AE12" s="18">
        <f>PR!AE5</f>
        <v/>
      </c>
      <c r="AF12" s="18">
        <f>PR!AF5</f>
        <v/>
      </c>
      <c r="AG12" s="18">
        <f>PR!AG5</f>
        <v/>
      </c>
      <c r="AH12" s="18">
        <f>PR!AH5</f>
        <v/>
      </c>
      <c r="AI12" s="18">
        <f>PR!AI5</f>
        <v/>
      </c>
      <c r="AJ12" s="18">
        <f>PR!AJ5</f>
        <v/>
      </c>
      <c r="AK12" s="18">
        <f>PR!AK5</f>
        <v/>
      </c>
      <c r="AL12" s="18">
        <f>PR!AL5</f>
        <v/>
      </c>
      <c r="AM12" s="18">
        <f>PR!AM5</f>
        <v/>
      </c>
      <c r="AN12" s="18">
        <f>PR!AN5</f>
        <v/>
      </c>
      <c r="AO12" s="18">
        <f>PR!AO5</f>
        <v/>
      </c>
      <c r="AP12" s="18">
        <f>PR!AP5</f>
        <v/>
      </c>
      <c r="AQ12" s="18">
        <f>PR!AQ5</f>
        <v/>
      </c>
      <c r="AR12" s="18">
        <f>PR!AR5</f>
        <v/>
      </c>
      <c r="AS12" s="18">
        <f>PR!AS5</f>
        <v/>
      </c>
      <c r="AT12" s="18">
        <f>PR!AT5</f>
        <v/>
      </c>
      <c r="AU12" s="18">
        <f>PR!AU5</f>
        <v/>
      </c>
      <c r="AV12" s="18">
        <f>PR!AV5</f>
        <v/>
      </c>
      <c r="AW12" s="18">
        <f>PR!AW5</f>
        <v/>
      </c>
      <c r="AX12" s="18">
        <f>PR!AX5</f>
        <v/>
      </c>
      <c r="AY12" s="18">
        <f>PR!AY5</f>
        <v/>
      </c>
      <c r="AZ12" s="18">
        <f>PR!AZ5</f>
        <v/>
      </c>
      <c r="BA12" s="18">
        <f>PR!BA5</f>
        <v/>
      </c>
      <c r="BB12" s="18">
        <f>PR!BB5</f>
        <v/>
      </c>
      <c r="BC12" s="18">
        <f>PR!BC5</f>
        <v/>
      </c>
      <c r="BD12" s="18">
        <f>PR!BD5</f>
        <v/>
      </c>
      <c r="BE12" s="18">
        <f>PR!BE5</f>
        <v/>
      </c>
      <c r="BF12" s="18">
        <f>PR!BF5</f>
        <v/>
      </c>
      <c r="BG12" s="18">
        <f>PR!BG5</f>
        <v/>
      </c>
    </row>
    <row r="13">
      <c r="A13" t="inlineStr">
        <is>
          <t>Discount factor (nominal)</t>
        </is>
      </c>
      <c r="C13" s="10" t="inlineStr">
        <is>
          <t>x</t>
        </is>
      </c>
      <c r="E13" s="24" t="n">
        <v>1</v>
      </c>
      <c r="F13" s="24">
        <f>TM!F17</f>
        <v/>
      </c>
      <c r="G13" s="24">
        <f>TM!G17</f>
        <v/>
      </c>
      <c r="H13" s="24">
        <f>TM!H17</f>
        <v/>
      </c>
      <c r="I13" s="24">
        <f>TM!I17</f>
        <v/>
      </c>
      <c r="J13" s="24">
        <f>TM!J17</f>
        <v/>
      </c>
      <c r="K13" s="24">
        <f>TM!K17</f>
        <v/>
      </c>
      <c r="L13" s="24">
        <f>TM!L17</f>
        <v/>
      </c>
      <c r="M13" s="24">
        <f>TM!M17</f>
        <v/>
      </c>
      <c r="N13" s="24">
        <f>TM!N17</f>
        <v/>
      </c>
      <c r="O13" s="24">
        <f>TM!O17</f>
        <v/>
      </c>
      <c r="P13" s="24">
        <f>TM!P17</f>
        <v/>
      </c>
      <c r="Q13" s="24">
        <f>TM!Q17</f>
        <v/>
      </c>
      <c r="R13" s="24">
        <f>TM!R17</f>
        <v/>
      </c>
      <c r="S13" s="24">
        <f>TM!S17</f>
        <v/>
      </c>
      <c r="T13" s="24">
        <f>TM!T17</f>
        <v/>
      </c>
      <c r="U13" s="24">
        <f>TM!U17</f>
        <v/>
      </c>
      <c r="V13" s="24">
        <f>TM!V17</f>
        <v/>
      </c>
      <c r="W13" s="24">
        <f>TM!W17</f>
        <v/>
      </c>
      <c r="X13" s="24">
        <f>TM!X17</f>
        <v/>
      </c>
      <c r="Y13" s="24">
        <f>TM!Y17</f>
        <v/>
      </c>
      <c r="Z13" s="24">
        <f>TM!Z17</f>
        <v/>
      </c>
      <c r="AA13" s="24">
        <f>TM!AA17</f>
        <v/>
      </c>
      <c r="AB13" s="24">
        <f>TM!AB17</f>
        <v/>
      </c>
      <c r="AC13" s="24">
        <f>TM!AC17</f>
        <v/>
      </c>
      <c r="AD13" s="24">
        <f>TM!AD17</f>
        <v/>
      </c>
      <c r="AE13" s="24">
        <f>TM!AE17</f>
        <v/>
      </c>
      <c r="AF13" s="24">
        <f>TM!AF17</f>
        <v/>
      </c>
      <c r="AG13" s="24">
        <f>TM!AG17</f>
        <v/>
      </c>
      <c r="AH13" s="24">
        <f>TM!AH17</f>
        <v/>
      </c>
      <c r="AI13" s="24">
        <f>TM!AI17</f>
        <v/>
      </c>
      <c r="AJ13" s="24">
        <f>TM!AJ17</f>
        <v/>
      </c>
      <c r="AK13" s="24">
        <f>TM!AK17</f>
        <v/>
      </c>
      <c r="AL13" s="24">
        <f>TM!AL17</f>
        <v/>
      </c>
      <c r="AM13" s="24">
        <f>TM!AM17</f>
        <v/>
      </c>
      <c r="AN13" s="24">
        <f>TM!AN17</f>
        <v/>
      </c>
      <c r="AO13" s="24">
        <f>TM!AO17</f>
        <v/>
      </c>
      <c r="AP13" s="24">
        <f>TM!AP17</f>
        <v/>
      </c>
      <c r="AQ13" s="24">
        <f>TM!AQ17</f>
        <v/>
      </c>
      <c r="AR13" s="24">
        <f>TM!AR17</f>
        <v/>
      </c>
      <c r="AS13" s="24">
        <f>TM!AS17</f>
        <v/>
      </c>
      <c r="AT13" s="24">
        <f>TM!AT17</f>
        <v/>
      </c>
      <c r="AU13" s="24">
        <f>TM!AU17</f>
        <v/>
      </c>
      <c r="AV13" s="24">
        <f>TM!AV17</f>
        <v/>
      </c>
      <c r="AW13" s="24">
        <f>TM!AW17</f>
        <v/>
      </c>
      <c r="AX13" s="24">
        <f>TM!AX17</f>
        <v/>
      </c>
      <c r="AY13" s="24">
        <f>TM!AY17</f>
        <v/>
      </c>
      <c r="AZ13" s="24">
        <f>TM!AZ17</f>
        <v/>
      </c>
      <c r="BA13" s="24">
        <f>TM!BA17</f>
        <v/>
      </c>
      <c r="BB13" s="24">
        <f>TM!BB17</f>
        <v/>
      </c>
      <c r="BC13" s="24">
        <f>TM!BC17</f>
        <v/>
      </c>
      <c r="BD13" s="24">
        <f>TM!BD17</f>
        <v/>
      </c>
      <c r="BE13" s="24">
        <f>TM!BE17</f>
        <v/>
      </c>
      <c r="BF13" s="24">
        <f>TM!BF17</f>
        <v/>
      </c>
      <c r="BG13" s="24">
        <f>TM!BG17</f>
        <v/>
      </c>
    </row>
    <row r="14">
      <c r="A14" t="inlineStr">
        <is>
          <t>Discount factor (real)</t>
        </is>
      </c>
      <c r="C14" s="10" t="inlineStr">
        <is>
          <t>x</t>
        </is>
      </c>
      <c r="E14" s="24" t="n">
        <v>1</v>
      </c>
      <c r="F14" s="24">
        <f>TM!F18</f>
        <v/>
      </c>
      <c r="G14" s="24">
        <f>TM!G18</f>
        <v/>
      </c>
      <c r="H14" s="24">
        <f>TM!H18</f>
        <v/>
      </c>
      <c r="I14" s="24">
        <f>TM!I18</f>
        <v/>
      </c>
      <c r="J14" s="24">
        <f>TM!J18</f>
        <v/>
      </c>
      <c r="K14" s="24">
        <f>TM!K18</f>
        <v/>
      </c>
      <c r="L14" s="24">
        <f>TM!L18</f>
        <v/>
      </c>
      <c r="M14" s="24">
        <f>TM!M18</f>
        <v/>
      </c>
      <c r="N14" s="24">
        <f>TM!N18</f>
        <v/>
      </c>
      <c r="O14" s="24">
        <f>TM!O18</f>
        <v/>
      </c>
      <c r="P14" s="24">
        <f>TM!P18</f>
        <v/>
      </c>
      <c r="Q14" s="24">
        <f>TM!Q18</f>
        <v/>
      </c>
      <c r="R14" s="24">
        <f>TM!R18</f>
        <v/>
      </c>
      <c r="S14" s="24">
        <f>TM!S18</f>
        <v/>
      </c>
      <c r="T14" s="24">
        <f>TM!T18</f>
        <v/>
      </c>
      <c r="U14" s="24">
        <f>TM!U18</f>
        <v/>
      </c>
      <c r="V14" s="24">
        <f>TM!V18</f>
        <v/>
      </c>
      <c r="W14" s="24">
        <f>TM!W18</f>
        <v/>
      </c>
      <c r="X14" s="24">
        <f>TM!X18</f>
        <v/>
      </c>
      <c r="Y14" s="24">
        <f>TM!Y18</f>
        <v/>
      </c>
      <c r="Z14" s="24">
        <f>TM!Z18</f>
        <v/>
      </c>
      <c r="AA14" s="24">
        <f>TM!AA18</f>
        <v/>
      </c>
      <c r="AB14" s="24">
        <f>TM!AB18</f>
        <v/>
      </c>
      <c r="AC14" s="24">
        <f>TM!AC18</f>
        <v/>
      </c>
      <c r="AD14" s="24">
        <f>TM!AD18</f>
        <v/>
      </c>
      <c r="AE14" s="24">
        <f>TM!AE18</f>
        <v/>
      </c>
      <c r="AF14" s="24">
        <f>TM!AF18</f>
        <v/>
      </c>
      <c r="AG14" s="24">
        <f>TM!AG18</f>
        <v/>
      </c>
      <c r="AH14" s="24">
        <f>TM!AH18</f>
        <v/>
      </c>
      <c r="AI14" s="24">
        <f>TM!AI18</f>
        <v/>
      </c>
      <c r="AJ14" s="24">
        <f>TM!AJ18</f>
        <v/>
      </c>
      <c r="AK14" s="24">
        <f>TM!AK18</f>
        <v/>
      </c>
      <c r="AL14" s="24">
        <f>TM!AL18</f>
        <v/>
      </c>
      <c r="AM14" s="24">
        <f>TM!AM18</f>
        <v/>
      </c>
      <c r="AN14" s="24">
        <f>TM!AN18</f>
        <v/>
      </c>
      <c r="AO14" s="24">
        <f>TM!AO18</f>
        <v/>
      </c>
      <c r="AP14" s="24">
        <f>TM!AP18</f>
        <v/>
      </c>
      <c r="AQ14" s="24">
        <f>TM!AQ18</f>
        <v/>
      </c>
      <c r="AR14" s="24">
        <f>TM!AR18</f>
        <v/>
      </c>
      <c r="AS14" s="24">
        <f>TM!AS18</f>
        <v/>
      </c>
      <c r="AT14" s="24">
        <f>TM!AT18</f>
        <v/>
      </c>
      <c r="AU14" s="24">
        <f>TM!AU18</f>
        <v/>
      </c>
      <c r="AV14" s="24">
        <f>TM!AV18</f>
        <v/>
      </c>
      <c r="AW14" s="24">
        <f>TM!AW18</f>
        <v/>
      </c>
      <c r="AX14" s="24">
        <f>TM!AX18</f>
        <v/>
      </c>
      <c r="AY14" s="24">
        <f>TM!AY18</f>
        <v/>
      </c>
      <c r="AZ14" s="24">
        <f>TM!AZ18</f>
        <v/>
      </c>
      <c r="BA14" s="24">
        <f>TM!BA18</f>
        <v/>
      </c>
      <c r="BB14" s="24">
        <f>TM!BB18</f>
        <v/>
      </c>
      <c r="BC14" s="24">
        <f>TM!BC18</f>
        <v/>
      </c>
      <c r="BD14" s="24">
        <f>TM!BD18</f>
        <v/>
      </c>
      <c r="BE14" s="24">
        <f>TM!BE18</f>
        <v/>
      </c>
      <c r="BF14" s="24">
        <f>TM!BF18</f>
        <v/>
      </c>
      <c r="BG14" s="24">
        <f>TM!BG18</f>
        <v/>
      </c>
    </row>
    <row r="16">
      <c r="A16" s="3" t="inlineStr">
        <is>
          <t>LCOH COST STACK ($/kg, nominal)</t>
        </is>
      </c>
    </row>
    <row r="17">
      <c r="A17" t="inlineStr">
        <is>
          <t>Capex</t>
        </is>
      </c>
      <c r="E17" s="5">
        <f>SUMPRODUCT(LC!F3:BG3,LC!F13:BG13)/SUMPRODUCT(LC!F12:BG12,LC!F13:BG13)</f>
        <v/>
      </c>
    </row>
    <row r="18">
      <c r="A18" t="inlineStr">
        <is>
          <t>Power</t>
        </is>
      </c>
      <c r="E18" s="5">
        <f>SUMPRODUCT(LC!F4:BG4,LC!F13:BG13)/SUMPRODUCT(LC!F12:BG12,LC!F13:BG13)</f>
        <v/>
      </c>
    </row>
    <row r="19">
      <c r="A19" t="inlineStr">
        <is>
          <t>Water</t>
        </is>
      </c>
      <c r="E19" s="5">
        <f>SUMPRODUCT(LC!F5:BG5,LC!F13:BG13)/SUMPRODUCT(LC!F12:BG12,LC!F13:BG13)</f>
        <v/>
      </c>
    </row>
    <row r="20">
      <c r="A20" t="inlineStr">
        <is>
          <t>Fixed O&amp;M</t>
        </is>
      </c>
      <c r="E20" s="5">
        <f>SUMPRODUCT(LC!F6:BG6,LC!F13:BG13)/SUMPRODUCT(LC!F12:BG12,LC!F13:BG13)</f>
        <v/>
      </c>
    </row>
    <row r="21">
      <c r="A21" t="inlineStr">
        <is>
          <t>Variable O&amp;M</t>
        </is>
      </c>
      <c r="E21" s="5">
        <f>SUMPRODUCT(LC!F7:BG7,LC!F13:BG13)/SUMPRODUCT(LC!F12:BG12,LC!F13:BG13)</f>
        <v/>
      </c>
    </row>
    <row r="22">
      <c r="A22" t="inlineStr">
        <is>
          <t>Insurance</t>
        </is>
      </c>
      <c r="E22" s="5">
        <f>SUMPRODUCT(LC!F8:BG8,LC!F13:BG13)/SUMPRODUCT(LC!F12:BG12,LC!F13:BG13)</f>
        <v/>
      </c>
    </row>
    <row r="23">
      <c r="A23" t="inlineStr">
        <is>
          <t>Stack</t>
        </is>
      </c>
      <c r="E23" s="5">
        <f>SUMPRODUCT(LC!F9:BG9,LC!F13:BG13)/SUMPRODUCT(LC!F12:BG12,LC!F13:BG13)</f>
        <v/>
      </c>
    </row>
    <row r="24">
      <c r="A24" t="inlineStr">
        <is>
          <t>Tax</t>
        </is>
      </c>
      <c r="E24" s="5">
        <f>SUMPRODUCT(LC!F10:BG10,LC!F13:BG13)/SUMPRODUCT(LC!F12:BG12,LC!F13:BG13)</f>
        <v/>
      </c>
    </row>
    <row r="25">
      <c r="A25" s="26" t="inlineStr">
        <is>
          <t>LCOH (nominal)</t>
        </is>
      </c>
      <c r="E25" s="27">
        <f>E17+E18+E19+E20+E21+E22+E23+E24</f>
        <v/>
      </c>
    </row>
    <row r="26">
      <c r="A26" s="26" t="inlineStr">
        <is>
          <t>LCOH (real)</t>
        </is>
      </c>
      <c r="E26" s="27">
        <f>SUMPRODUCT(LC!F11:BG11,LC!F14:BG14)/SUMPRODUCT(LC!F12:BG12,LC!F14:BG14)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G1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CHECKS  —  model integrity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t="inlineStr">
        <is>
          <t>Balance sheet balances (all periods)</t>
        </is>
      </c>
      <c r="E3" s="7">
        <f>IF(SUMPRODUCT(ABS(FS!F25:BG25))&lt;1,1,0)</f>
        <v/>
      </c>
    </row>
    <row r="4">
      <c r="A4" t="inlineStr">
        <is>
          <t>Debt fully amortised by tenor end</t>
        </is>
      </c>
      <c r="E4" s="7">
        <f>IF(ABS(DB!AM7)&lt;Tolerance,1,0)</f>
        <v/>
      </c>
    </row>
    <row r="5">
      <c r="A5" t="inlineStr">
        <is>
          <t>Debt never negative</t>
        </is>
      </c>
      <c r="E5" s="7">
        <f>IF(MIN(DB!F7:BG7)&gt;=-1,1,0)</f>
        <v/>
      </c>
    </row>
    <row r="6">
      <c r="A6" t="inlineStr">
        <is>
          <t>Cash never negative</t>
        </is>
      </c>
      <c r="E6" s="7">
        <f>IF(MIN(WF!F13:BG13)&gt;=-1,1,0)</f>
        <v/>
      </c>
    </row>
    <row r="7">
      <c r="A7" t="inlineStr">
        <is>
          <t>DSRA never negative</t>
        </is>
      </c>
      <c r="E7" s="7">
        <f>IF(MIN(DS!F7:BG7)&gt;=-1,1,0)</f>
        <v/>
      </c>
    </row>
    <row r="8">
      <c r="A8" t="inlineStr">
        <is>
          <t>Construction / operations flags partition timeline</t>
        </is>
      </c>
      <c r="E8" s="7">
        <f>IF(SUMPRODUCT(TM!F7:BG7)+SUMPRODUCT(TM!F8:BG8)=54,1,0)</f>
        <v/>
      </c>
    </row>
    <row r="9">
      <c r="A9" t="inlineStr">
        <is>
          <t>Min DSCR ≥ lender covenant (post-COD)</t>
        </is>
      </c>
      <c r="E9" s="7">
        <f>IF(MIN(DB!J8:AM8)&gt;=CovenantDSCR-0.01,1,0)</f>
        <v/>
      </c>
    </row>
    <row r="10">
      <c r="A10" t="inlineStr">
        <is>
          <t>LCOH computed (headline output present)</t>
        </is>
      </c>
      <c r="E10" s="7">
        <f>IF(LCOH_Nominal&gt;0,1,0)</f>
        <v/>
      </c>
    </row>
    <row r="12">
      <c r="A12" s="3" t="inlineStr">
        <is>
          <t>MASTER CHECK (all pass)</t>
        </is>
      </c>
      <c r="E12" s="28">
        <f>IF(SUM(E3:E10)=8,1,0)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G2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2" customWidth="1" min="4" max="4"/>
  </cols>
  <sheetData>
    <row r="1">
      <c r="A1" s="1" t="inlineStr">
        <is>
          <t>DASHBOARD  —  key outputs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</row>
    <row r="3">
      <c r="A3" s="3" t="inlineStr">
        <is>
          <t>LCOH — nominal ($/kg)</t>
        </is>
      </c>
      <c r="E3" s="5">
        <f>LCOH_Nominal</f>
        <v/>
      </c>
    </row>
    <row r="4">
      <c r="A4" s="3" t="inlineStr">
        <is>
          <t>LCOH — real ($/kg)</t>
        </is>
      </c>
      <c r="E4" s="5">
        <f>LCOH_Real</f>
        <v/>
      </c>
    </row>
    <row r="5">
      <c r="A5" s="3" t="inlineStr">
        <is>
          <t>Project IRR</t>
        </is>
      </c>
      <c r="E5" s="6">
        <f>ProjectIRR</f>
        <v/>
      </c>
    </row>
    <row r="6">
      <c r="A6" s="3" t="inlineStr">
        <is>
          <t>Equity IRR</t>
        </is>
      </c>
      <c r="E6" s="6">
        <f>EquityIRR</f>
        <v/>
      </c>
    </row>
    <row r="7">
      <c r="A7" s="3" t="inlineStr">
        <is>
          <t>Min DSCR</t>
        </is>
      </c>
      <c r="E7" s="20">
        <f>MIN(DB!J8:AM8)</f>
        <v/>
      </c>
    </row>
    <row r="8">
      <c r="A8" s="3" t="inlineStr">
        <is>
          <t>Avg DSCR</t>
        </is>
      </c>
      <c r="E8" s="20">
        <f>AVERAGE(DB!J8:AM8)</f>
        <v/>
      </c>
    </row>
    <row r="9">
      <c r="A9" s="3" t="inlineStr">
        <is>
          <t>LLCR at COD</t>
        </is>
      </c>
      <c r="E9" s="20">
        <f>CR!J5</f>
        <v/>
      </c>
    </row>
    <row r="10">
      <c r="A10" s="3" t="inlineStr">
        <is>
          <t>PLCR at COD</t>
        </is>
      </c>
      <c r="E10" s="20">
        <f>CR!J7</f>
        <v/>
      </c>
    </row>
    <row r="11">
      <c r="A11" s="3" t="inlineStr">
        <is>
          <t>Debt at COD ($)</t>
        </is>
      </c>
      <c r="E11" s="18">
        <f>DebtAtCOD*GearingFactor</f>
        <v/>
      </c>
    </row>
    <row r="12">
      <c r="A12" s="3" t="inlineStr">
        <is>
          <t>Gearing factor (solved)</t>
        </is>
      </c>
      <c r="E12" s="22">
        <f>GearingFactor</f>
        <v/>
      </c>
    </row>
    <row r="13">
      <c r="A13" s="3" t="inlineStr">
        <is>
          <t>Convergence status</t>
        </is>
      </c>
      <c r="E13">
        <f>ConvergenceStatus</f>
        <v/>
      </c>
    </row>
    <row r="14">
      <c r="A14" s="3" t="inlineStr">
        <is>
          <t>MASTER CHECK (1 = all pass)</t>
        </is>
      </c>
      <c r="E14" s="28">
        <f>MasterCheck</f>
        <v/>
      </c>
    </row>
    <row r="16">
      <c r="A16" s="10" t="inlineStr">
        <is>
          <t>Re-solve after any input change: run RunDebtSizing (macro) or Goal Seek — set EndingBalanceResidual to 0 by changing 'Sculpting DSCR (solved)'.</t>
        </is>
      </c>
    </row>
    <row r="18">
      <c r="A18" s="3" t="inlineStr">
        <is>
          <t>SENSITIVITY GRID (run RunSensitivityGrid macro to populate)</t>
        </is>
      </c>
    </row>
    <row r="19">
      <c r="A19" s="3" t="inlineStr">
        <is>
          <t>Scenario</t>
        </is>
      </c>
      <c r="B19" s="3" t="inlineStr">
        <is>
          <t>Capex Δ%</t>
        </is>
      </c>
      <c r="C19" s="3" t="inlineStr">
        <is>
          <t>Power Δ%</t>
        </is>
      </c>
      <c r="D19" s="3" t="inlineStr">
        <is>
          <t>Price Δ%</t>
        </is>
      </c>
      <c r="E19" s="3" t="inlineStr">
        <is>
          <t>WACC Δbps</t>
        </is>
      </c>
      <c r="F19" s="3" t="inlineStr">
        <is>
          <t>→ LCOH nom</t>
        </is>
      </c>
      <c r="G19" s="3" t="inlineStr">
        <is>
          <t>→ Equity IRR</t>
        </is>
      </c>
      <c r="H19" s="3" t="inlineStr">
        <is>
          <t>→ Min DSCR</t>
        </is>
      </c>
    </row>
    <row r="20">
      <c r="A20" t="inlineStr">
        <is>
          <t>Base</t>
        </is>
      </c>
      <c r="B20" s="29" t="n">
        <v>0</v>
      </c>
      <c r="C20" s="29" t="n">
        <v>0</v>
      </c>
      <c r="D20" s="29" t="n">
        <v>0</v>
      </c>
      <c r="E20" t="n">
        <v>0</v>
      </c>
    </row>
    <row r="21">
      <c r="A21" t="inlineStr">
        <is>
          <t>Capex +10%</t>
        </is>
      </c>
      <c r="B21" s="29" t="n">
        <v>0.1</v>
      </c>
      <c r="C21" s="29" t="n">
        <v>0</v>
      </c>
      <c r="D21" s="29" t="n">
        <v>0</v>
      </c>
      <c r="E21" t="n">
        <v>0</v>
      </c>
    </row>
    <row r="22">
      <c r="A22" t="inlineStr">
        <is>
          <t>Capex -10%</t>
        </is>
      </c>
      <c r="B22" s="29" t="n">
        <v>-0.1</v>
      </c>
      <c r="C22" s="29" t="n">
        <v>0</v>
      </c>
      <c r="D22" s="29" t="n">
        <v>0</v>
      </c>
      <c r="E22" t="n">
        <v>0</v>
      </c>
    </row>
    <row r="23">
      <c r="A23" t="inlineStr">
        <is>
          <t>Power +20%</t>
        </is>
      </c>
      <c r="B23" s="29" t="n">
        <v>0</v>
      </c>
      <c r="C23" s="29" t="n">
        <v>0.2</v>
      </c>
      <c r="D23" s="29" t="n">
        <v>0</v>
      </c>
      <c r="E23" t="n">
        <v>0</v>
      </c>
    </row>
    <row r="24">
      <c r="A24" t="inlineStr">
        <is>
          <t>Power -20%</t>
        </is>
      </c>
      <c r="B24" s="29" t="n">
        <v>0</v>
      </c>
      <c r="C24" s="29" t="n">
        <v>-0.2</v>
      </c>
      <c r="D24" s="29" t="n">
        <v>0</v>
      </c>
      <c r="E24" t="n">
        <v>0</v>
      </c>
    </row>
    <row r="25">
      <c r="A25" t="inlineStr">
        <is>
          <t>Price +10%</t>
        </is>
      </c>
      <c r="B25" s="29" t="n">
        <v>0</v>
      </c>
      <c r="C25" s="29" t="n">
        <v>0</v>
      </c>
      <c r="D25" s="29" t="n">
        <v>0.1</v>
      </c>
      <c r="E25" t="n">
        <v>0</v>
      </c>
    </row>
    <row r="26">
      <c r="A26" t="inlineStr">
        <is>
          <t>Price -10%</t>
        </is>
      </c>
      <c r="B26" s="29" t="n">
        <v>0</v>
      </c>
      <c r="C26" s="29" t="n">
        <v>0</v>
      </c>
      <c r="D26" s="29" t="n">
        <v>-0.1</v>
      </c>
      <c r="E26" t="n">
        <v>0</v>
      </c>
    </row>
    <row r="27">
      <c r="A27" t="inlineStr">
        <is>
          <t>WACC +100bps</t>
        </is>
      </c>
      <c r="B27" s="29" t="n">
        <v>0</v>
      </c>
      <c r="C27" s="29" t="n">
        <v>0</v>
      </c>
      <c r="D27" s="29" t="n">
        <v>0</v>
      </c>
      <c r="E27" t="n">
        <v>100</v>
      </c>
    </row>
    <row r="28">
      <c r="A28" t="inlineStr">
        <is>
          <t>WACC -100bps</t>
        </is>
      </c>
      <c r="B28" s="29" t="n">
        <v>0</v>
      </c>
      <c r="C28" s="29" t="n">
        <v>0</v>
      </c>
      <c r="D28" s="29" t="n">
        <v>0</v>
      </c>
      <c r="E28" t="n">
        <v>-100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2026-07-04T08:30:58Z</dcterms:created>
  <dcterms:modified xsi:type="dcterms:W3CDTF">2026-07-04T08:30:58Z</dcterms:modified>
</cp:coreProperties>
</file>