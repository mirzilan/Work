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Control" sheetId="3" state="visible" r:id="rId3"/>
    <sheet name="Capex_Construction" sheetId="4" state="visible" r:id="rId4"/>
    <sheet name="Ops_CFADS" sheetId="5" state="visible" r:id="rId5"/>
    <sheet name="Debt_Sizing_DSCR" sheetId="6" state="visible" r:id="rId6"/>
    <sheet name="VBA_Control" sheetId="7" state="visible" r:id="rId7"/>
    <sheet name="Financials_3Statement" sheetId="8" state="visible" r:id="rId8"/>
    <sheet name="LCOH" sheetId="9" state="visible" r:id="rId9"/>
    <sheet name="Returns_Sensitivities" sheetId="10" state="visible" r:id="rId10"/>
    <sheet name="Dashboard" sheetId="11" state="visible" r:id="rId11"/>
  </sheets>
  <definedNames>
    <definedName name="ElectrolyzerCapacityMW">'Assumptions'!$B$4</definedName>
    <definedName name="EfficiencykWhPerKg">'Assumptions'!$B$5</definedName>
    <definedName name="CapacityFactor">'Assumptions'!$B$6</definedName>
    <definedName name="DegradationRate">'Assumptions'!$B$7</definedName>
    <definedName name="OfftakePrice">'Assumptions'!$B$10</definedName>
    <definedName name="FixedOpexAnnual">'Assumptions'!$B$11</definedName>
    <definedName name="VariableOpexPerKg">'Assumptions'!$B$12</definedName>
    <definedName name="PowerPrice">'Assumptions'!$B$13</definedName>
    <definedName name="WaterCostPerKg">'Assumptions'!$B$14</definedName>
    <definedName name="StackReplacementCost">'Assumptions'!$B$15</definedName>
    <definedName name="StackReplacementIntervalYrs">'Assumptions'!$B$16</definedName>
    <definedName name="TotalCapex">'Assumptions'!$B$19</definedName>
    <definedName name="ConstructionGearingPct">'Assumptions'!$B$20</definedName>
    <definedName name="WACC">'Assumptions'!$B$23</definedName>
    <definedName name="CostOfDebtRate">'Assumptions'!$B$24</definedName>
    <definedName name="IDC_CashFundedPct_f">'Assumptions'!$B$25</definedName>
    <definedName name="IDCTimingConvention">'Assumptions'!$B$26</definedName>
    <definedName name="TargetDSCR_Input">'Assumptions'!$B$27</definedName>
    <definedName name="MaxGearingPct">'Assumptions'!$B$28</definedName>
    <definedName name="DebtTenorYears">'Assumptions'!$B$29</definedName>
    <definedName name="ConstructionYears">'Assumptions'!$B$30</definedName>
    <definedName name="OperationsYears">'Assumptions'!$B$31</definedName>
    <definedName name="TenorEndPeriod">'Control'!$B$1</definedName>
    <definedName name="CODPeriod">'Control'!$C$1</definedName>
    <definedName name="Period_Row">'Control'!$D$3:$CM$3</definedName>
    <definedName name="ConstructionFlag_Row">'Control'!$D$6:$CM$6</definedName>
    <definedName name="OperationsFlag_Row">'Control'!$D$7:$CM$7</definedName>
    <definedName name="DiscountFactor_Row">'Control'!$D$12:$CM$12</definedName>
    <definedName name="YearsSinceCOD_Row">'Control'!$D$9:$CM$9</definedName>
    <definedName name="QuarterInYear_Row">'Control'!$D$5:$CM$5</definedName>
    <definedName name="CapexDraw_Row">'Capex_Construction'!$D$3:$CM$3</definedName>
    <definedName name="EquityDrawCapex_Row">'Capex_Construction'!$D$5:$CM$5</definedName>
    <definedName name="CashFundedInterest_Row">'Capex_Construction'!$D$8:$CM$8</definedName>
    <definedName name="ClosingBalanceAtCOD">'Capex_Construction'!$K$10</definedName>
    <definedName name="H2Production_Row">'Ops_CFADS'!$D$3:$CM$3</definedName>
    <definedName name="CFADS_Row">'Ops_CFADS'!$D$11:$CM$11</definedName>
    <definedName name="Interest_Row">'Debt_Sizing_DSCR'!$D$5:$CM$5</definedName>
    <definedName name="Principal_Row">'Debt_Sizing_DSCR'!$D$7:$CM$7</definedName>
    <definedName name="DSCR_Actual_Row">'Debt_Sizing_DSCR'!$D$8:$CM$8</definedName>
    <definedName name="ClosingBalance_Debt_Row">'Debt_Sizing_DSCR'!$D$9:$CM$9</definedName>
    <definedName name="EndingBalanceResidual">'Debt_Sizing_DSCR'!$BS$9</definedName>
    <definedName name="GearingFactor">'VBA_Control'!$B$3</definedName>
    <definedName name="Tolerance">'VBA_Control'!$B$4</definedName>
    <definedName name="MaxIterations">'VBA_Control'!$B$5</definedName>
    <definedName name="SizingMethod">'VBA_Control'!$B$6</definedName>
    <definedName name="ConvergenceStatus">'VBA_Control'!$B$7</definedName>
    <definedName name="IterationsUsed">'VBA_Control'!$B$8</definedName>
    <definedName name="LCOH_CostNPV">'LCOH'!$B$12</definedName>
    <definedName name="LCOH_VolumeNPV">'LCOH'!$C$12</definedName>
    <definedName name="LCOH_USD_per_kg">'LCOH'!$B$14</definedName>
    <definedName name="EquityCashFlow_Row">'Returns_Sensitivities'!$D$3:$CM$3</definedName>
    <definedName name="EquityIRR">'Returns_Sensitivities'!$B$6</definedName>
    <definedName name="SensitivityGrid_FirstRow">'Returns_Sensitivities'!$A$14</definedName>
    <definedName name="SensitivityGrid_LastRow">'Returns_Sensitivities'!$A$22</definedName>
  </definedNames>
  <calcPr calcId="124519" calcMode="manual" fullCalcOnLoad="1" iterate="0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Green Hydrogen LCOH Project-Finance Model</t>
        </is>
      </c>
    </row>
    <row r="2">
      <c r="A2" t="inlineStr"/>
    </row>
    <row r="3">
      <c r="A3" t="inlineStr">
        <is>
          <t>Conventions:</t>
        </is>
      </c>
    </row>
    <row r="4">
      <c r="A4" t="inlineStr">
        <is>
          <t xml:space="preserve">  - Blue fill = hardcoded input. White = formula. Green fill = cross-sheet link.</t>
        </is>
      </c>
    </row>
    <row r="5">
      <c r="A5" t="inlineStr">
        <is>
          <t xml:space="preserve">  - Quarterly periods across columns D onward, one row per line item.</t>
        </is>
      </c>
    </row>
    <row r="6">
      <c r="A6" t="inlineStr">
        <is>
          <t xml:space="preserve">  - Construction: 2 yrs (8 quarters, periods 1-8).</t>
        </is>
      </c>
    </row>
    <row r="7">
      <c r="A7" t="inlineStr">
        <is>
          <t xml:space="preserve">  - Operations: 20 yrs (80 quarters, periods 9-88). COD = start of period 9.</t>
        </is>
      </c>
    </row>
    <row r="8">
      <c r="A8" t="inlineStr">
        <is>
          <t xml:space="preserve">  - Iterative calculation is deliberately kept OFF (File &gt; Options &gt; Formulas).</t>
        </is>
      </c>
    </row>
    <row r="9">
      <c r="A9" t="inlineStr">
        <is>
          <t xml:space="preserve">    Nothing in this model should ever need it -- if you see a circular-reference</t>
        </is>
      </c>
    </row>
    <row r="10">
      <c r="A10" t="inlineStr">
        <is>
          <t xml:space="preserve">    warning, that flags a real bug, not something to toggle a setting around.</t>
        </is>
      </c>
    </row>
    <row r="11">
      <c r="A11" t="inlineStr"/>
    </row>
    <row r="12">
      <c r="A12" t="inlineStr">
        <is>
          <t>Circularity handling:</t>
        </is>
      </c>
    </row>
    <row r="13">
      <c r="A13" t="inlineStr">
        <is>
          <t xml:space="preserve">  - IDC (Interest During Construction) is solved in CLOSED FORM as a plain Excel</t>
        </is>
      </c>
    </row>
    <row r="14">
      <c r="A14" t="inlineStr">
        <is>
          <t xml:space="preserve">    formula on Capex_Construction (see the derivation there) -- no VBA, no</t>
        </is>
      </c>
    </row>
    <row r="15">
      <c r="A15" t="inlineStr">
        <is>
          <t xml:space="preserve">    iterative calc needed, even though a naive model would be circular here.</t>
        </is>
      </c>
    </row>
    <row r="16">
      <c r="A16" t="inlineStr">
        <is>
          <t xml:space="preserve">  - Post-COD debt is SCULPTED to a flat target DSCR every period (live formulas</t>
        </is>
      </c>
    </row>
    <row r="17">
      <c r="A17" t="inlineStr">
        <is>
          <t xml:space="preserve">    on Debt_Sizing_DSCR, driven by a single scalar cell 'GearingFactor'). Sizing</t>
        </is>
      </c>
    </row>
    <row r="18">
      <c r="A18" t="inlineStr">
        <is>
          <t xml:space="preserve">    that scalar so the debt fully amortizes by tenor end IS a genuine root-finding</t>
        </is>
      </c>
    </row>
    <row r="19">
      <c r="A19" t="inlineStr">
        <is>
          <t xml:space="preserve">    problem (CFADS is irregular period to period) -- that's what the VBA in</t>
        </is>
      </c>
    </row>
    <row r="20">
      <c r="A20" t="inlineStr">
        <is>
          <t xml:space="preserve">    vba/mod_DebtSizing.bas bisects. Import the .bas files (Alt+F11 &gt; File &gt; Import</t>
        </is>
      </c>
    </row>
    <row r="21">
      <c r="A21" t="inlineStr">
        <is>
          <t xml:space="preserve">    File) and wire 'RunDebtSizing' to the Dashboard button, then Save As .xlsm.</t>
        </is>
      </c>
    </row>
    <row r="22">
      <c r="A22" t="inlineStr">
        <is>
          <t xml:space="preserve">  - FALLBACK if you don't import the macros: the sculpting recursion is pure</t>
        </is>
      </c>
    </row>
    <row r="23">
      <c r="A23" t="inlineStr">
        <is>
          <t xml:space="preserve">    Excel formulas keyed off GearingFactor, so you can size debt manually with</t>
        </is>
      </c>
    </row>
    <row r="24">
      <c r="A24" t="inlineStr">
        <is>
          <t xml:space="preserve">    native Goal Seek: Data &gt; What-If Analysis &gt; Goal Seek, Set cell</t>
        </is>
      </c>
    </row>
    <row r="25">
      <c r="A25" t="inlineStr">
        <is>
          <t xml:space="preserve">    'EndingBalanceResidual' To 0 By changing cell 'GearingFactor'.</t>
        </is>
      </c>
    </row>
    <row r="26">
      <c r="A26" t="inlineStr"/>
    </row>
    <row r="27">
      <c r="A27" t="inlineStr">
        <is>
          <t>LCOH is UNLEVERED: discounted lifecycle capex+opex at WACC, divided by</t>
        </is>
      </c>
    </row>
    <row r="28">
      <c r="A28" t="inlineStr">
        <is>
          <t>discounted lifecycle H2 output. The debt/DSCR schedule is a separate</t>
        </is>
      </c>
    </row>
    <row r="29">
      <c r="A29" t="inlineStr">
        <is>
          <t>financeability check and does not feed the LCOH numerator.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60" customWidth="1" min="5" max="5"/>
  </cols>
  <sheetData>
    <row r="1">
      <c r="A1" s="2" t="inlineStr">
        <is>
          <t>ASSUMPTIONS</t>
        </is>
      </c>
    </row>
    <row r="3">
      <c r="A3" s="3" t="inlineStr">
        <is>
          <t>Technical</t>
        </is>
      </c>
    </row>
    <row r="4">
      <c r="A4" t="inlineStr">
        <is>
          <t>Electrolyzer Capacity</t>
        </is>
      </c>
      <c r="B4" s="4" t="n">
        <v>100</v>
      </c>
      <c r="C4" t="inlineStr">
        <is>
          <t>MW</t>
        </is>
      </c>
    </row>
    <row r="5">
      <c r="A5" t="inlineStr">
        <is>
          <t>Electrolyzer Efficiency</t>
        </is>
      </c>
      <c r="B5" s="4" t="n">
        <v>55</v>
      </c>
      <c r="C5" t="inlineStr">
        <is>
          <t>kWh/kg H2</t>
        </is>
      </c>
    </row>
    <row r="6">
      <c r="A6" t="inlineStr">
        <is>
          <t>Capacity Factor</t>
        </is>
      </c>
      <c r="B6" s="4" t="n">
        <v>0.9</v>
      </c>
      <c r="C6" t="inlineStr">
        <is>
          <t>%</t>
        </is>
      </c>
    </row>
    <row r="7">
      <c r="A7" t="inlineStr">
        <is>
          <t>Degradation Rate</t>
        </is>
      </c>
      <c r="B7" s="4" t="n">
        <v>0.005</v>
      </c>
      <c r="C7" t="inlineStr">
        <is>
          <t>%/yr</t>
        </is>
      </c>
    </row>
    <row r="9">
      <c r="A9" s="3" t="inlineStr">
        <is>
          <t>Commercial</t>
        </is>
      </c>
    </row>
    <row r="10">
      <c r="A10" t="inlineStr">
        <is>
          <t>H2 Offtake Price</t>
        </is>
      </c>
      <c r="B10" s="4" t="n">
        <v>4.5</v>
      </c>
      <c r="C10" t="inlineStr">
        <is>
          <t>$/kg</t>
        </is>
      </c>
    </row>
    <row r="11">
      <c r="A11" t="inlineStr">
        <is>
          <t>Fixed Opex</t>
        </is>
      </c>
      <c r="B11" s="4" t="n">
        <v>5000000</v>
      </c>
      <c r="C11" t="inlineStr">
        <is>
          <t>$/yr</t>
        </is>
      </c>
    </row>
    <row r="12">
      <c r="A12" t="inlineStr">
        <is>
          <t>Variable Opex</t>
        </is>
      </c>
      <c r="B12" s="4" t="n">
        <v>0.2</v>
      </c>
      <c r="C12" t="inlineStr">
        <is>
          <t>$/kg</t>
        </is>
      </c>
    </row>
    <row r="13">
      <c r="A13" t="inlineStr">
        <is>
          <t>Power Price</t>
        </is>
      </c>
      <c r="B13" s="4" t="n">
        <v>40</v>
      </c>
      <c r="C13" t="inlineStr">
        <is>
          <t>$/MWh</t>
        </is>
      </c>
    </row>
    <row r="14">
      <c r="A14" t="inlineStr">
        <is>
          <t>Water Cost</t>
        </is>
      </c>
      <c r="B14" s="4" t="n">
        <v>0.05</v>
      </c>
      <c r="C14" t="inlineStr">
        <is>
          <t>$/kg</t>
        </is>
      </c>
    </row>
    <row r="15">
      <c r="A15" t="inlineStr">
        <is>
          <t>Stack Replacement Cost</t>
        </is>
      </c>
      <c r="B15" s="4" t="n">
        <v>20000000</v>
      </c>
      <c r="C15" t="inlineStr">
        <is>
          <t>$</t>
        </is>
      </c>
    </row>
    <row r="16">
      <c r="A16" t="inlineStr">
        <is>
          <t>Stack Replacement Interval</t>
        </is>
      </c>
      <c r="B16" s="4" t="n">
        <v>8</v>
      </c>
      <c r="C16" t="inlineStr">
        <is>
          <t>yrs</t>
        </is>
      </c>
    </row>
    <row r="18">
      <c r="A18" s="3" t="inlineStr">
        <is>
          <t>Capex</t>
        </is>
      </c>
    </row>
    <row r="19">
      <c r="A19" t="inlineStr">
        <is>
          <t>Total Capex</t>
        </is>
      </c>
      <c r="B19" s="4" t="n">
        <v>400000000</v>
      </c>
      <c r="C19" t="inlineStr">
        <is>
          <t>$</t>
        </is>
      </c>
    </row>
    <row r="20">
      <c r="A20" t="inlineStr">
        <is>
          <t>Construction Debt-Funded %</t>
        </is>
      </c>
      <c r="B20" s="4" t="n">
        <v>0.7</v>
      </c>
      <c r="C20" t="inlineStr">
        <is>
          <t>%</t>
        </is>
      </c>
      <c r="E20" t="inlineStr">
        <is>
          <t>Share of capex draws funded by debt during construction (rest is equity)</t>
        </is>
      </c>
    </row>
    <row r="22">
      <c r="A22" s="3" t="inlineStr">
        <is>
          <t>Financing</t>
        </is>
      </c>
    </row>
    <row r="23">
      <c r="A23" t="inlineStr">
        <is>
          <t>WACC</t>
        </is>
      </c>
      <c r="B23" s="4" t="n">
        <v>0.08</v>
      </c>
      <c r="C23" t="inlineStr">
        <is>
          <t>%</t>
        </is>
      </c>
    </row>
    <row r="24">
      <c r="A24" t="inlineStr">
        <is>
          <t>Cost of Debt</t>
        </is>
      </c>
      <c r="B24" s="4" t="n">
        <v>0.06</v>
      </c>
      <c r="C24" t="inlineStr">
        <is>
          <t>%</t>
        </is>
      </c>
    </row>
    <row r="25">
      <c r="A25" t="inlineStr">
        <is>
          <t>IDC Cash-Funded Fraction (f)</t>
        </is>
      </c>
      <c r="B25" s="4" t="n">
        <v>0.3</v>
      </c>
      <c r="C25" t="inlineStr">
        <is>
          <t>%</t>
        </is>
      </c>
      <c r="E25" t="inlineStr">
        <is>
          <t>0 = fully capitalized, 1 = fully cash-funded by equity/reserve</t>
        </is>
      </c>
    </row>
    <row r="26">
      <c r="A26" t="inlineStr">
        <is>
          <t>IDC Timing Convention</t>
        </is>
      </c>
      <c r="B26" s="4" t="inlineStr">
        <is>
          <t>MidPeriod</t>
        </is>
      </c>
      <c r="C26" t="inlineStr"/>
      <c r="E26" t="inlineStr">
        <is>
          <t>MidPeriod (closed-form algebra) or EndPeriod (simple, already non-circular)</t>
        </is>
      </c>
    </row>
    <row r="27">
      <c r="A27" t="inlineStr">
        <is>
          <t>Target DSCR</t>
        </is>
      </c>
      <c r="B27" s="4" t="n">
        <v>1.35</v>
      </c>
      <c r="C27" t="inlineStr">
        <is>
          <t>x</t>
        </is>
      </c>
    </row>
    <row r="28">
      <c r="A28" t="inlineStr">
        <is>
          <t>Max Gearing</t>
        </is>
      </c>
      <c r="B28" s="4" t="n">
        <v>0.8</v>
      </c>
      <c r="C28" t="inlineStr">
        <is>
          <t>%</t>
        </is>
      </c>
    </row>
    <row r="29">
      <c r="A29" t="inlineStr">
        <is>
          <t>Debt Tenor</t>
        </is>
      </c>
      <c r="B29" s="4" t="n">
        <v>15</v>
      </c>
      <c r="C29" t="inlineStr">
        <is>
          <t>yrs</t>
        </is>
      </c>
    </row>
    <row r="30">
      <c r="A30" t="inlineStr">
        <is>
          <t>Construction Period</t>
        </is>
      </c>
      <c r="B30" s="4" t="n">
        <v>2</v>
      </c>
      <c r="C30" t="inlineStr">
        <is>
          <t>yrs</t>
        </is>
      </c>
    </row>
    <row r="31">
      <c r="A31" t="inlineStr">
        <is>
          <t>Operations Period</t>
        </is>
      </c>
      <c r="B31" s="4" t="n">
        <v>20</v>
      </c>
      <c r="C31" t="inlineStr">
        <is>
          <t>yrs</t>
        </is>
      </c>
    </row>
  </sheetData>
  <dataValidations count="1">
    <dataValidation sqref="B26" showDropDown="0" showInputMessage="0" showErrorMessage="0" allowBlank="0" type="list">
      <formula1>"MidPeriod,EndPeriod"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CONTROL / MASTER TIMELINE</t>
        </is>
      </c>
      <c r="B1">
        <f>ConstructionYears*4+DebtTenorYears*4</f>
        <v/>
      </c>
      <c r="C1">
        <f>ConstructionYears*4+1</f>
        <v/>
      </c>
    </row>
    <row r="3">
      <c r="A3" s="3" t="inlineStr">
        <is>
          <t>Period #</t>
        </is>
      </c>
      <c r="D3" t="n">
        <v>1</v>
      </c>
      <c r="E3" t="n">
        <v>2</v>
      </c>
      <c r="F3" t="n">
        <v>3</v>
      </c>
      <c r="G3" t="n">
        <v>4</v>
      </c>
      <c r="H3" t="n">
        <v>5</v>
      </c>
      <c r="I3" t="n">
        <v>6</v>
      </c>
      <c r="J3" t="n">
        <v>7</v>
      </c>
      <c r="K3" t="n">
        <v>8</v>
      </c>
      <c r="L3" t="n">
        <v>9</v>
      </c>
      <c r="M3" t="n">
        <v>10</v>
      </c>
      <c r="N3" t="n">
        <v>11</v>
      </c>
      <c r="O3" t="n">
        <v>12</v>
      </c>
      <c r="P3" t="n">
        <v>13</v>
      </c>
      <c r="Q3" t="n">
        <v>14</v>
      </c>
      <c r="R3" t="n">
        <v>15</v>
      </c>
      <c r="S3" t="n">
        <v>16</v>
      </c>
      <c r="T3" t="n">
        <v>17</v>
      </c>
      <c r="U3" t="n">
        <v>18</v>
      </c>
      <c r="V3" t="n">
        <v>19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25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42</v>
      </c>
      <c r="AT3" t="n">
        <v>43</v>
      </c>
      <c r="AU3" t="n">
        <v>44</v>
      </c>
      <c r="AV3" t="n">
        <v>45</v>
      </c>
      <c r="AW3" t="n">
        <v>46</v>
      </c>
      <c r="AX3" t="n">
        <v>47</v>
      </c>
      <c r="AY3" t="n">
        <v>48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</row>
    <row r="4">
      <c r="A4" s="3" t="inlineStr">
        <is>
          <t>Year #</t>
        </is>
      </c>
      <c r="D4">
        <f>ROUNDUP(D3/4,0)</f>
        <v/>
      </c>
      <c r="E4">
        <f>ROUNDUP(E3/4,0)</f>
        <v/>
      </c>
      <c r="F4">
        <f>ROUNDUP(F3/4,0)</f>
        <v/>
      </c>
      <c r="G4">
        <f>ROUNDUP(G3/4,0)</f>
        <v/>
      </c>
      <c r="H4">
        <f>ROUNDUP(H3/4,0)</f>
        <v/>
      </c>
      <c r="I4">
        <f>ROUNDUP(I3/4,0)</f>
        <v/>
      </c>
      <c r="J4">
        <f>ROUNDUP(J3/4,0)</f>
        <v/>
      </c>
      <c r="K4">
        <f>ROUNDUP(K3/4,0)</f>
        <v/>
      </c>
      <c r="L4">
        <f>ROUNDUP(L3/4,0)</f>
        <v/>
      </c>
      <c r="M4">
        <f>ROUNDUP(M3/4,0)</f>
        <v/>
      </c>
      <c r="N4">
        <f>ROUNDUP(N3/4,0)</f>
        <v/>
      </c>
      <c r="O4">
        <f>ROUNDUP(O3/4,0)</f>
        <v/>
      </c>
      <c r="P4">
        <f>ROUNDUP(P3/4,0)</f>
        <v/>
      </c>
      <c r="Q4">
        <f>ROUNDUP(Q3/4,0)</f>
        <v/>
      </c>
      <c r="R4">
        <f>ROUNDUP(R3/4,0)</f>
        <v/>
      </c>
      <c r="S4">
        <f>ROUNDUP(S3/4,0)</f>
        <v/>
      </c>
      <c r="T4">
        <f>ROUNDUP(T3/4,0)</f>
        <v/>
      </c>
      <c r="U4">
        <f>ROUNDUP(U3/4,0)</f>
        <v/>
      </c>
      <c r="V4">
        <f>ROUNDUP(V3/4,0)</f>
        <v/>
      </c>
      <c r="W4">
        <f>ROUNDUP(W3/4,0)</f>
        <v/>
      </c>
      <c r="X4">
        <f>ROUNDUP(X3/4,0)</f>
        <v/>
      </c>
      <c r="Y4">
        <f>ROUNDUP(Y3/4,0)</f>
        <v/>
      </c>
      <c r="Z4">
        <f>ROUNDUP(Z3/4,0)</f>
        <v/>
      </c>
      <c r="AA4">
        <f>ROUNDUP(AA3/4,0)</f>
        <v/>
      </c>
      <c r="AB4">
        <f>ROUNDUP(AB3/4,0)</f>
        <v/>
      </c>
      <c r="AC4">
        <f>ROUNDUP(AC3/4,0)</f>
        <v/>
      </c>
      <c r="AD4">
        <f>ROUNDUP(AD3/4,0)</f>
        <v/>
      </c>
      <c r="AE4">
        <f>ROUNDUP(AE3/4,0)</f>
        <v/>
      </c>
      <c r="AF4">
        <f>ROUNDUP(AF3/4,0)</f>
        <v/>
      </c>
      <c r="AG4">
        <f>ROUNDUP(AG3/4,0)</f>
        <v/>
      </c>
      <c r="AH4">
        <f>ROUNDUP(AH3/4,0)</f>
        <v/>
      </c>
      <c r="AI4">
        <f>ROUNDUP(AI3/4,0)</f>
        <v/>
      </c>
      <c r="AJ4">
        <f>ROUNDUP(AJ3/4,0)</f>
        <v/>
      </c>
      <c r="AK4">
        <f>ROUNDUP(AK3/4,0)</f>
        <v/>
      </c>
      <c r="AL4">
        <f>ROUNDUP(AL3/4,0)</f>
        <v/>
      </c>
      <c r="AM4">
        <f>ROUNDUP(AM3/4,0)</f>
        <v/>
      </c>
      <c r="AN4">
        <f>ROUNDUP(AN3/4,0)</f>
        <v/>
      </c>
      <c r="AO4">
        <f>ROUNDUP(AO3/4,0)</f>
        <v/>
      </c>
      <c r="AP4">
        <f>ROUNDUP(AP3/4,0)</f>
        <v/>
      </c>
      <c r="AQ4">
        <f>ROUNDUP(AQ3/4,0)</f>
        <v/>
      </c>
      <c r="AR4">
        <f>ROUNDUP(AR3/4,0)</f>
        <v/>
      </c>
      <c r="AS4">
        <f>ROUNDUP(AS3/4,0)</f>
        <v/>
      </c>
      <c r="AT4">
        <f>ROUNDUP(AT3/4,0)</f>
        <v/>
      </c>
      <c r="AU4">
        <f>ROUNDUP(AU3/4,0)</f>
        <v/>
      </c>
      <c r="AV4">
        <f>ROUNDUP(AV3/4,0)</f>
        <v/>
      </c>
      <c r="AW4">
        <f>ROUNDUP(AW3/4,0)</f>
        <v/>
      </c>
      <c r="AX4">
        <f>ROUNDUP(AX3/4,0)</f>
        <v/>
      </c>
      <c r="AY4">
        <f>ROUNDUP(AY3/4,0)</f>
        <v/>
      </c>
      <c r="AZ4">
        <f>ROUNDUP(AZ3/4,0)</f>
        <v/>
      </c>
      <c r="BA4">
        <f>ROUNDUP(BA3/4,0)</f>
        <v/>
      </c>
      <c r="BB4">
        <f>ROUNDUP(BB3/4,0)</f>
        <v/>
      </c>
      <c r="BC4">
        <f>ROUNDUP(BC3/4,0)</f>
        <v/>
      </c>
      <c r="BD4">
        <f>ROUNDUP(BD3/4,0)</f>
        <v/>
      </c>
      <c r="BE4">
        <f>ROUNDUP(BE3/4,0)</f>
        <v/>
      </c>
      <c r="BF4">
        <f>ROUNDUP(BF3/4,0)</f>
        <v/>
      </c>
      <c r="BG4">
        <f>ROUNDUP(BG3/4,0)</f>
        <v/>
      </c>
      <c r="BH4">
        <f>ROUNDUP(BH3/4,0)</f>
        <v/>
      </c>
      <c r="BI4">
        <f>ROUNDUP(BI3/4,0)</f>
        <v/>
      </c>
      <c r="BJ4">
        <f>ROUNDUP(BJ3/4,0)</f>
        <v/>
      </c>
      <c r="BK4">
        <f>ROUNDUP(BK3/4,0)</f>
        <v/>
      </c>
      <c r="BL4">
        <f>ROUNDUP(BL3/4,0)</f>
        <v/>
      </c>
      <c r="BM4">
        <f>ROUNDUP(BM3/4,0)</f>
        <v/>
      </c>
      <c r="BN4">
        <f>ROUNDUP(BN3/4,0)</f>
        <v/>
      </c>
      <c r="BO4">
        <f>ROUNDUP(BO3/4,0)</f>
        <v/>
      </c>
      <c r="BP4">
        <f>ROUNDUP(BP3/4,0)</f>
        <v/>
      </c>
      <c r="BQ4">
        <f>ROUNDUP(BQ3/4,0)</f>
        <v/>
      </c>
      <c r="BR4">
        <f>ROUNDUP(BR3/4,0)</f>
        <v/>
      </c>
      <c r="BS4">
        <f>ROUNDUP(BS3/4,0)</f>
        <v/>
      </c>
      <c r="BT4">
        <f>ROUNDUP(BT3/4,0)</f>
        <v/>
      </c>
      <c r="BU4">
        <f>ROUNDUP(BU3/4,0)</f>
        <v/>
      </c>
      <c r="BV4">
        <f>ROUNDUP(BV3/4,0)</f>
        <v/>
      </c>
      <c r="BW4">
        <f>ROUNDUP(BW3/4,0)</f>
        <v/>
      </c>
      <c r="BX4">
        <f>ROUNDUP(BX3/4,0)</f>
        <v/>
      </c>
      <c r="BY4">
        <f>ROUNDUP(BY3/4,0)</f>
        <v/>
      </c>
      <c r="BZ4">
        <f>ROUNDUP(BZ3/4,0)</f>
        <v/>
      </c>
      <c r="CA4">
        <f>ROUNDUP(CA3/4,0)</f>
        <v/>
      </c>
      <c r="CB4">
        <f>ROUNDUP(CB3/4,0)</f>
        <v/>
      </c>
      <c r="CC4">
        <f>ROUNDUP(CC3/4,0)</f>
        <v/>
      </c>
      <c r="CD4">
        <f>ROUNDUP(CD3/4,0)</f>
        <v/>
      </c>
      <c r="CE4">
        <f>ROUNDUP(CE3/4,0)</f>
        <v/>
      </c>
      <c r="CF4">
        <f>ROUNDUP(CF3/4,0)</f>
        <v/>
      </c>
      <c r="CG4">
        <f>ROUNDUP(CG3/4,0)</f>
        <v/>
      </c>
      <c r="CH4">
        <f>ROUNDUP(CH3/4,0)</f>
        <v/>
      </c>
      <c r="CI4">
        <f>ROUNDUP(CI3/4,0)</f>
        <v/>
      </c>
      <c r="CJ4">
        <f>ROUNDUP(CJ3/4,0)</f>
        <v/>
      </c>
      <c r="CK4">
        <f>ROUNDUP(CK3/4,0)</f>
        <v/>
      </c>
      <c r="CL4">
        <f>ROUNDUP(CL3/4,0)</f>
        <v/>
      </c>
      <c r="CM4">
        <f>ROUNDUP(CM3/4,0)</f>
        <v/>
      </c>
    </row>
    <row r="5">
      <c r="A5" s="3" t="inlineStr">
        <is>
          <t>Quarter in Year</t>
        </is>
      </c>
      <c r="D5">
        <f>D3-(D4-1)*4</f>
        <v/>
      </c>
      <c r="E5">
        <f>E3-(E4-1)*4</f>
        <v/>
      </c>
      <c r="F5">
        <f>F3-(F4-1)*4</f>
        <v/>
      </c>
      <c r="G5">
        <f>G3-(G4-1)*4</f>
        <v/>
      </c>
      <c r="H5">
        <f>H3-(H4-1)*4</f>
        <v/>
      </c>
      <c r="I5">
        <f>I3-(I4-1)*4</f>
        <v/>
      </c>
      <c r="J5">
        <f>J3-(J4-1)*4</f>
        <v/>
      </c>
      <c r="K5">
        <f>K3-(K4-1)*4</f>
        <v/>
      </c>
      <c r="L5">
        <f>L3-(L4-1)*4</f>
        <v/>
      </c>
      <c r="M5">
        <f>M3-(M4-1)*4</f>
        <v/>
      </c>
      <c r="N5">
        <f>N3-(N4-1)*4</f>
        <v/>
      </c>
      <c r="O5">
        <f>O3-(O4-1)*4</f>
        <v/>
      </c>
      <c r="P5">
        <f>P3-(P4-1)*4</f>
        <v/>
      </c>
      <c r="Q5">
        <f>Q3-(Q4-1)*4</f>
        <v/>
      </c>
      <c r="R5">
        <f>R3-(R4-1)*4</f>
        <v/>
      </c>
      <c r="S5">
        <f>S3-(S4-1)*4</f>
        <v/>
      </c>
      <c r="T5">
        <f>T3-(T4-1)*4</f>
        <v/>
      </c>
      <c r="U5">
        <f>U3-(U4-1)*4</f>
        <v/>
      </c>
      <c r="V5">
        <f>V3-(V4-1)*4</f>
        <v/>
      </c>
      <c r="W5">
        <f>W3-(W4-1)*4</f>
        <v/>
      </c>
      <c r="X5">
        <f>X3-(X4-1)*4</f>
        <v/>
      </c>
      <c r="Y5">
        <f>Y3-(Y4-1)*4</f>
        <v/>
      </c>
      <c r="Z5">
        <f>Z3-(Z4-1)*4</f>
        <v/>
      </c>
      <c r="AA5">
        <f>AA3-(AA4-1)*4</f>
        <v/>
      </c>
      <c r="AB5">
        <f>AB3-(AB4-1)*4</f>
        <v/>
      </c>
      <c r="AC5">
        <f>AC3-(AC4-1)*4</f>
        <v/>
      </c>
      <c r="AD5">
        <f>AD3-(AD4-1)*4</f>
        <v/>
      </c>
      <c r="AE5">
        <f>AE3-(AE4-1)*4</f>
        <v/>
      </c>
      <c r="AF5">
        <f>AF3-(AF4-1)*4</f>
        <v/>
      </c>
      <c r="AG5">
        <f>AG3-(AG4-1)*4</f>
        <v/>
      </c>
      <c r="AH5">
        <f>AH3-(AH4-1)*4</f>
        <v/>
      </c>
      <c r="AI5">
        <f>AI3-(AI4-1)*4</f>
        <v/>
      </c>
      <c r="AJ5">
        <f>AJ3-(AJ4-1)*4</f>
        <v/>
      </c>
      <c r="AK5">
        <f>AK3-(AK4-1)*4</f>
        <v/>
      </c>
      <c r="AL5">
        <f>AL3-(AL4-1)*4</f>
        <v/>
      </c>
      <c r="AM5">
        <f>AM3-(AM4-1)*4</f>
        <v/>
      </c>
      <c r="AN5">
        <f>AN3-(AN4-1)*4</f>
        <v/>
      </c>
      <c r="AO5">
        <f>AO3-(AO4-1)*4</f>
        <v/>
      </c>
      <c r="AP5">
        <f>AP3-(AP4-1)*4</f>
        <v/>
      </c>
      <c r="AQ5">
        <f>AQ3-(AQ4-1)*4</f>
        <v/>
      </c>
      <c r="AR5">
        <f>AR3-(AR4-1)*4</f>
        <v/>
      </c>
      <c r="AS5">
        <f>AS3-(AS4-1)*4</f>
        <v/>
      </c>
      <c r="AT5">
        <f>AT3-(AT4-1)*4</f>
        <v/>
      </c>
      <c r="AU5">
        <f>AU3-(AU4-1)*4</f>
        <v/>
      </c>
      <c r="AV5">
        <f>AV3-(AV4-1)*4</f>
        <v/>
      </c>
      <c r="AW5">
        <f>AW3-(AW4-1)*4</f>
        <v/>
      </c>
      <c r="AX5">
        <f>AX3-(AX4-1)*4</f>
        <v/>
      </c>
      <c r="AY5">
        <f>AY3-(AY4-1)*4</f>
        <v/>
      </c>
      <c r="AZ5">
        <f>AZ3-(AZ4-1)*4</f>
        <v/>
      </c>
      <c r="BA5">
        <f>BA3-(BA4-1)*4</f>
        <v/>
      </c>
      <c r="BB5">
        <f>BB3-(BB4-1)*4</f>
        <v/>
      </c>
      <c r="BC5">
        <f>BC3-(BC4-1)*4</f>
        <v/>
      </c>
      <c r="BD5">
        <f>BD3-(BD4-1)*4</f>
        <v/>
      </c>
      <c r="BE5">
        <f>BE3-(BE4-1)*4</f>
        <v/>
      </c>
      <c r="BF5">
        <f>BF3-(BF4-1)*4</f>
        <v/>
      </c>
      <c r="BG5">
        <f>BG3-(BG4-1)*4</f>
        <v/>
      </c>
      <c r="BH5">
        <f>BH3-(BH4-1)*4</f>
        <v/>
      </c>
      <c r="BI5">
        <f>BI3-(BI4-1)*4</f>
        <v/>
      </c>
      <c r="BJ5">
        <f>BJ3-(BJ4-1)*4</f>
        <v/>
      </c>
      <c r="BK5">
        <f>BK3-(BK4-1)*4</f>
        <v/>
      </c>
      <c r="BL5">
        <f>BL3-(BL4-1)*4</f>
        <v/>
      </c>
      <c r="BM5">
        <f>BM3-(BM4-1)*4</f>
        <v/>
      </c>
      <c r="BN5">
        <f>BN3-(BN4-1)*4</f>
        <v/>
      </c>
      <c r="BO5">
        <f>BO3-(BO4-1)*4</f>
        <v/>
      </c>
      <c r="BP5">
        <f>BP3-(BP4-1)*4</f>
        <v/>
      </c>
      <c r="BQ5">
        <f>BQ3-(BQ4-1)*4</f>
        <v/>
      </c>
      <c r="BR5">
        <f>BR3-(BR4-1)*4</f>
        <v/>
      </c>
      <c r="BS5">
        <f>BS3-(BS4-1)*4</f>
        <v/>
      </c>
      <c r="BT5">
        <f>BT3-(BT4-1)*4</f>
        <v/>
      </c>
      <c r="BU5">
        <f>BU3-(BU4-1)*4</f>
        <v/>
      </c>
      <c r="BV5">
        <f>BV3-(BV4-1)*4</f>
        <v/>
      </c>
      <c r="BW5">
        <f>BW3-(BW4-1)*4</f>
        <v/>
      </c>
      <c r="BX5">
        <f>BX3-(BX4-1)*4</f>
        <v/>
      </c>
      <c r="BY5">
        <f>BY3-(BY4-1)*4</f>
        <v/>
      </c>
      <c r="BZ5">
        <f>BZ3-(BZ4-1)*4</f>
        <v/>
      </c>
      <c r="CA5">
        <f>CA3-(CA4-1)*4</f>
        <v/>
      </c>
      <c r="CB5">
        <f>CB3-(CB4-1)*4</f>
        <v/>
      </c>
      <c r="CC5">
        <f>CC3-(CC4-1)*4</f>
        <v/>
      </c>
      <c r="CD5">
        <f>CD3-(CD4-1)*4</f>
        <v/>
      </c>
      <c r="CE5">
        <f>CE3-(CE4-1)*4</f>
        <v/>
      </c>
      <c r="CF5">
        <f>CF3-(CF4-1)*4</f>
        <v/>
      </c>
      <c r="CG5">
        <f>CG3-(CG4-1)*4</f>
        <v/>
      </c>
      <c r="CH5">
        <f>CH3-(CH4-1)*4</f>
        <v/>
      </c>
      <c r="CI5">
        <f>CI3-(CI4-1)*4</f>
        <v/>
      </c>
      <c r="CJ5">
        <f>CJ3-(CJ4-1)*4</f>
        <v/>
      </c>
      <c r="CK5">
        <f>CK3-(CK4-1)*4</f>
        <v/>
      </c>
      <c r="CL5">
        <f>CL3-(CL4-1)*4</f>
        <v/>
      </c>
      <c r="CM5">
        <f>CM3-(CM4-1)*4</f>
        <v/>
      </c>
    </row>
    <row r="6">
      <c r="A6" s="3" t="inlineStr">
        <is>
          <t>Construction Flag</t>
        </is>
      </c>
      <c r="D6">
        <f>IF(D3&lt;=ConstructionYears*4,1,0)</f>
        <v/>
      </c>
      <c r="E6">
        <f>IF(E3&lt;=ConstructionYears*4,1,0)</f>
        <v/>
      </c>
      <c r="F6">
        <f>IF(F3&lt;=ConstructionYears*4,1,0)</f>
        <v/>
      </c>
      <c r="G6">
        <f>IF(G3&lt;=ConstructionYears*4,1,0)</f>
        <v/>
      </c>
      <c r="H6">
        <f>IF(H3&lt;=ConstructionYears*4,1,0)</f>
        <v/>
      </c>
      <c r="I6">
        <f>IF(I3&lt;=ConstructionYears*4,1,0)</f>
        <v/>
      </c>
      <c r="J6">
        <f>IF(J3&lt;=ConstructionYears*4,1,0)</f>
        <v/>
      </c>
      <c r="K6">
        <f>IF(K3&lt;=ConstructionYears*4,1,0)</f>
        <v/>
      </c>
      <c r="L6">
        <f>IF(L3&lt;=ConstructionYears*4,1,0)</f>
        <v/>
      </c>
      <c r="M6">
        <f>IF(M3&lt;=ConstructionYears*4,1,0)</f>
        <v/>
      </c>
      <c r="N6">
        <f>IF(N3&lt;=ConstructionYears*4,1,0)</f>
        <v/>
      </c>
      <c r="O6">
        <f>IF(O3&lt;=ConstructionYears*4,1,0)</f>
        <v/>
      </c>
      <c r="P6">
        <f>IF(P3&lt;=ConstructionYears*4,1,0)</f>
        <v/>
      </c>
      <c r="Q6">
        <f>IF(Q3&lt;=ConstructionYears*4,1,0)</f>
        <v/>
      </c>
      <c r="R6">
        <f>IF(R3&lt;=ConstructionYears*4,1,0)</f>
        <v/>
      </c>
      <c r="S6">
        <f>IF(S3&lt;=ConstructionYears*4,1,0)</f>
        <v/>
      </c>
      <c r="T6">
        <f>IF(T3&lt;=ConstructionYears*4,1,0)</f>
        <v/>
      </c>
      <c r="U6">
        <f>IF(U3&lt;=ConstructionYears*4,1,0)</f>
        <v/>
      </c>
      <c r="V6">
        <f>IF(V3&lt;=ConstructionYears*4,1,0)</f>
        <v/>
      </c>
      <c r="W6">
        <f>IF(W3&lt;=ConstructionYears*4,1,0)</f>
        <v/>
      </c>
      <c r="X6">
        <f>IF(X3&lt;=ConstructionYears*4,1,0)</f>
        <v/>
      </c>
      <c r="Y6">
        <f>IF(Y3&lt;=ConstructionYears*4,1,0)</f>
        <v/>
      </c>
      <c r="Z6">
        <f>IF(Z3&lt;=ConstructionYears*4,1,0)</f>
        <v/>
      </c>
      <c r="AA6">
        <f>IF(AA3&lt;=ConstructionYears*4,1,0)</f>
        <v/>
      </c>
      <c r="AB6">
        <f>IF(AB3&lt;=ConstructionYears*4,1,0)</f>
        <v/>
      </c>
      <c r="AC6">
        <f>IF(AC3&lt;=ConstructionYears*4,1,0)</f>
        <v/>
      </c>
      <c r="AD6">
        <f>IF(AD3&lt;=ConstructionYears*4,1,0)</f>
        <v/>
      </c>
      <c r="AE6">
        <f>IF(AE3&lt;=ConstructionYears*4,1,0)</f>
        <v/>
      </c>
      <c r="AF6">
        <f>IF(AF3&lt;=ConstructionYears*4,1,0)</f>
        <v/>
      </c>
      <c r="AG6">
        <f>IF(AG3&lt;=ConstructionYears*4,1,0)</f>
        <v/>
      </c>
      <c r="AH6">
        <f>IF(AH3&lt;=ConstructionYears*4,1,0)</f>
        <v/>
      </c>
      <c r="AI6">
        <f>IF(AI3&lt;=ConstructionYears*4,1,0)</f>
        <v/>
      </c>
      <c r="AJ6">
        <f>IF(AJ3&lt;=ConstructionYears*4,1,0)</f>
        <v/>
      </c>
      <c r="AK6">
        <f>IF(AK3&lt;=ConstructionYears*4,1,0)</f>
        <v/>
      </c>
      <c r="AL6">
        <f>IF(AL3&lt;=ConstructionYears*4,1,0)</f>
        <v/>
      </c>
      <c r="AM6">
        <f>IF(AM3&lt;=ConstructionYears*4,1,0)</f>
        <v/>
      </c>
      <c r="AN6">
        <f>IF(AN3&lt;=ConstructionYears*4,1,0)</f>
        <v/>
      </c>
      <c r="AO6">
        <f>IF(AO3&lt;=ConstructionYears*4,1,0)</f>
        <v/>
      </c>
      <c r="AP6">
        <f>IF(AP3&lt;=ConstructionYears*4,1,0)</f>
        <v/>
      </c>
      <c r="AQ6">
        <f>IF(AQ3&lt;=ConstructionYears*4,1,0)</f>
        <v/>
      </c>
      <c r="AR6">
        <f>IF(AR3&lt;=ConstructionYears*4,1,0)</f>
        <v/>
      </c>
      <c r="AS6">
        <f>IF(AS3&lt;=ConstructionYears*4,1,0)</f>
        <v/>
      </c>
      <c r="AT6">
        <f>IF(AT3&lt;=ConstructionYears*4,1,0)</f>
        <v/>
      </c>
      <c r="AU6">
        <f>IF(AU3&lt;=ConstructionYears*4,1,0)</f>
        <v/>
      </c>
      <c r="AV6">
        <f>IF(AV3&lt;=ConstructionYears*4,1,0)</f>
        <v/>
      </c>
      <c r="AW6">
        <f>IF(AW3&lt;=ConstructionYears*4,1,0)</f>
        <v/>
      </c>
      <c r="AX6">
        <f>IF(AX3&lt;=ConstructionYears*4,1,0)</f>
        <v/>
      </c>
      <c r="AY6">
        <f>IF(AY3&lt;=ConstructionYears*4,1,0)</f>
        <v/>
      </c>
      <c r="AZ6">
        <f>IF(AZ3&lt;=ConstructionYears*4,1,0)</f>
        <v/>
      </c>
      <c r="BA6">
        <f>IF(BA3&lt;=ConstructionYears*4,1,0)</f>
        <v/>
      </c>
      <c r="BB6">
        <f>IF(BB3&lt;=ConstructionYears*4,1,0)</f>
        <v/>
      </c>
      <c r="BC6">
        <f>IF(BC3&lt;=ConstructionYears*4,1,0)</f>
        <v/>
      </c>
      <c r="BD6">
        <f>IF(BD3&lt;=ConstructionYears*4,1,0)</f>
        <v/>
      </c>
      <c r="BE6">
        <f>IF(BE3&lt;=ConstructionYears*4,1,0)</f>
        <v/>
      </c>
      <c r="BF6">
        <f>IF(BF3&lt;=ConstructionYears*4,1,0)</f>
        <v/>
      </c>
      <c r="BG6">
        <f>IF(BG3&lt;=ConstructionYears*4,1,0)</f>
        <v/>
      </c>
      <c r="BH6">
        <f>IF(BH3&lt;=ConstructionYears*4,1,0)</f>
        <v/>
      </c>
      <c r="BI6">
        <f>IF(BI3&lt;=ConstructionYears*4,1,0)</f>
        <v/>
      </c>
      <c r="BJ6">
        <f>IF(BJ3&lt;=ConstructionYears*4,1,0)</f>
        <v/>
      </c>
      <c r="BK6">
        <f>IF(BK3&lt;=ConstructionYears*4,1,0)</f>
        <v/>
      </c>
      <c r="BL6">
        <f>IF(BL3&lt;=ConstructionYears*4,1,0)</f>
        <v/>
      </c>
      <c r="BM6">
        <f>IF(BM3&lt;=ConstructionYears*4,1,0)</f>
        <v/>
      </c>
      <c r="BN6">
        <f>IF(BN3&lt;=ConstructionYears*4,1,0)</f>
        <v/>
      </c>
      <c r="BO6">
        <f>IF(BO3&lt;=ConstructionYears*4,1,0)</f>
        <v/>
      </c>
      <c r="BP6">
        <f>IF(BP3&lt;=ConstructionYears*4,1,0)</f>
        <v/>
      </c>
      <c r="BQ6">
        <f>IF(BQ3&lt;=ConstructionYears*4,1,0)</f>
        <v/>
      </c>
      <c r="BR6">
        <f>IF(BR3&lt;=ConstructionYears*4,1,0)</f>
        <v/>
      </c>
      <c r="BS6">
        <f>IF(BS3&lt;=ConstructionYears*4,1,0)</f>
        <v/>
      </c>
      <c r="BT6">
        <f>IF(BT3&lt;=ConstructionYears*4,1,0)</f>
        <v/>
      </c>
      <c r="BU6">
        <f>IF(BU3&lt;=ConstructionYears*4,1,0)</f>
        <v/>
      </c>
      <c r="BV6">
        <f>IF(BV3&lt;=ConstructionYears*4,1,0)</f>
        <v/>
      </c>
      <c r="BW6">
        <f>IF(BW3&lt;=ConstructionYears*4,1,0)</f>
        <v/>
      </c>
      <c r="BX6">
        <f>IF(BX3&lt;=ConstructionYears*4,1,0)</f>
        <v/>
      </c>
      <c r="BY6">
        <f>IF(BY3&lt;=ConstructionYears*4,1,0)</f>
        <v/>
      </c>
      <c r="BZ6">
        <f>IF(BZ3&lt;=ConstructionYears*4,1,0)</f>
        <v/>
      </c>
      <c r="CA6">
        <f>IF(CA3&lt;=ConstructionYears*4,1,0)</f>
        <v/>
      </c>
      <c r="CB6">
        <f>IF(CB3&lt;=ConstructionYears*4,1,0)</f>
        <v/>
      </c>
      <c r="CC6">
        <f>IF(CC3&lt;=ConstructionYears*4,1,0)</f>
        <v/>
      </c>
      <c r="CD6">
        <f>IF(CD3&lt;=ConstructionYears*4,1,0)</f>
        <v/>
      </c>
      <c r="CE6">
        <f>IF(CE3&lt;=ConstructionYears*4,1,0)</f>
        <v/>
      </c>
      <c r="CF6">
        <f>IF(CF3&lt;=ConstructionYears*4,1,0)</f>
        <v/>
      </c>
      <c r="CG6">
        <f>IF(CG3&lt;=ConstructionYears*4,1,0)</f>
        <v/>
      </c>
      <c r="CH6">
        <f>IF(CH3&lt;=ConstructionYears*4,1,0)</f>
        <v/>
      </c>
      <c r="CI6">
        <f>IF(CI3&lt;=ConstructionYears*4,1,0)</f>
        <v/>
      </c>
      <c r="CJ6">
        <f>IF(CJ3&lt;=ConstructionYears*4,1,0)</f>
        <v/>
      </c>
      <c r="CK6">
        <f>IF(CK3&lt;=ConstructionYears*4,1,0)</f>
        <v/>
      </c>
      <c r="CL6">
        <f>IF(CL3&lt;=ConstructionYears*4,1,0)</f>
        <v/>
      </c>
      <c r="CM6">
        <f>IF(CM3&lt;=ConstructionYears*4,1,0)</f>
        <v/>
      </c>
    </row>
    <row r="7">
      <c r="A7" s="3" t="inlineStr">
        <is>
          <t>Operations Flag</t>
        </is>
      </c>
      <c r="D7">
        <f>IF(D3&gt;ConstructionYears*4,1,0)</f>
        <v/>
      </c>
      <c r="E7">
        <f>IF(E3&gt;ConstructionYears*4,1,0)</f>
        <v/>
      </c>
      <c r="F7">
        <f>IF(F3&gt;ConstructionYears*4,1,0)</f>
        <v/>
      </c>
      <c r="G7">
        <f>IF(G3&gt;ConstructionYears*4,1,0)</f>
        <v/>
      </c>
      <c r="H7">
        <f>IF(H3&gt;ConstructionYears*4,1,0)</f>
        <v/>
      </c>
      <c r="I7">
        <f>IF(I3&gt;ConstructionYears*4,1,0)</f>
        <v/>
      </c>
      <c r="J7">
        <f>IF(J3&gt;ConstructionYears*4,1,0)</f>
        <v/>
      </c>
      <c r="K7">
        <f>IF(K3&gt;ConstructionYears*4,1,0)</f>
        <v/>
      </c>
      <c r="L7">
        <f>IF(L3&gt;ConstructionYears*4,1,0)</f>
        <v/>
      </c>
      <c r="M7">
        <f>IF(M3&gt;ConstructionYears*4,1,0)</f>
        <v/>
      </c>
      <c r="N7">
        <f>IF(N3&gt;ConstructionYears*4,1,0)</f>
        <v/>
      </c>
      <c r="O7">
        <f>IF(O3&gt;ConstructionYears*4,1,0)</f>
        <v/>
      </c>
      <c r="P7">
        <f>IF(P3&gt;ConstructionYears*4,1,0)</f>
        <v/>
      </c>
      <c r="Q7">
        <f>IF(Q3&gt;ConstructionYears*4,1,0)</f>
        <v/>
      </c>
      <c r="R7">
        <f>IF(R3&gt;ConstructionYears*4,1,0)</f>
        <v/>
      </c>
      <c r="S7">
        <f>IF(S3&gt;ConstructionYears*4,1,0)</f>
        <v/>
      </c>
      <c r="T7">
        <f>IF(T3&gt;ConstructionYears*4,1,0)</f>
        <v/>
      </c>
      <c r="U7">
        <f>IF(U3&gt;ConstructionYears*4,1,0)</f>
        <v/>
      </c>
      <c r="V7">
        <f>IF(V3&gt;ConstructionYears*4,1,0)</f>
        <v/>
      </c>
      <c r="W7">
        <f>IF(W3&gt;ConstructionYears*4,1,0)</f>
        <v/>
      </c>
      <c r="X7">
        <f>IF(X3&gt;ConstructionYears*4,1,0)</f>
        <v/>
      </c>
      <c r="Y7">
        <f>IF(Y3&gt;ConstructionYears*4,1,0)</f>
        <v/>
      </c>
      <c r="Z7">
        <f>IF(Z3&gt;ConstructionYears*4,1,0)</f>
        <v/>
      </c>
      <c r="AA7">
        <f>IF(AA3&gt;ConstructionYears*4,1,0)</f>
        <v/>
      </c>
      <c r="AB7">
        <f>IF(AB3&gt;ConstructionYears*4,1,0)</f>
        <v/>
      </c>
      <c r="AC7">
        <f>IF(AC3&gt;ConstructionYears*4,1,0)</f>
        <v/>
      </c>
      <c r="AD7">
        <f>IF(AD3&gt;ConstructionYears*4,1,0)</f>
        <v/>
      </c>
      <c r="AE7">
        <f>IF(AE3&gt;ConstructionYears*4,1,0)</f>
        <v/>
      </c>
      <c r="AF7">
        <f>IF(AF3&gt;ConstructionYears*4,1,0)</f>
        <v/>
      </c>
      <c r="AG7">
        <f>IF(AG3&gt;ConstructionYears*4,1,0)</f>
        <v/>
      </c>
      <c r="AH7">
        <f>IF(AH3&gt;ConstructionYears*4,1,0)</f>
        <v/>
      </c>
      <c r="AI7">
        <f>IF(AI3&gt;ConstructionYears*4,1,0)</f>
        <v/>
      </c>
      <c r="AJ7">
        <f>IF(AJ3&gt;ConstructionYears*4,1,0)</f>
        <v/>
      </c>
      <c r="AK7">
        <f>IF(AK3&gt;ConstructionYears*4,1,0)</f>
        <v/>
      </c>
      <c r="AL7">
        <f>IF(AL3&gt;ConstructionYears*4,1,0)</f>
        <v/>
      </c>
      <c r="AM7">
        <f>IF(AM3&gt;ConstructionYears*4,1,0)</f>
        <v/>
      </c>
      <c r="AN7">
        <f>IF(AN3&gt;ConstructionYears*4,1,0)</f>
        <v/>
      </c>
      <c r="AO7">
        <f>IF(AO3&gt;ConstructionYears*4,1,0)</f>
        <v/>
      </c>
      <c r="AP7">
        <f>IF(AP3&gt;ConstructionYears*4,1,0)</f>
        <v/>
      </c>
      <c r="AQ7">
        <f>IF(AQ3&gt;ConstructionYears*4,1,0)</f>
        <v/>
      </c>
      <c r="AR7">
        <f>IF(AR3&gt;ConstructionYears*4,1,0)</f>
        <v/>
      </c>
      <c r="AS7">
        <f>IF(AS3&gt;ConstructionYears*4,1,0)</f>
        <v/>
      </c>
      <c r="AT7">
        <f>IF(AT3&gt;ConstructionYears*4,1,0)</f>
        <v/>
      </c>
      <c r="AU7">
        <f>IF(AU3&gt;ConstructionYears*4,1,0)</f>
        <v/>
      </c>
      <c r="AV7">
        <f>IF(AV3&gt;ConstructionYears*4,1,0)</f>
        <v/>
      </c>
      <c r="AW7">
        <f>IF(AW3&gt;ConstructionYears*4,1,0)</f>
        <v/>
      </c>
      <c r="AX7">
        <f>IF(AX3&gt;ConstructionYears*4,1,0)</f>
        <v/>
      </c>
      <c r="AY7">
        <f>IF(AY3&gt;ConstructionYears*4,1,0)</f>
        <v/>
      </c>
      <c r="AZ7">
        <f>IF(AZ3&gt;ConstructionYears*4,1,0)</f>
        <v/>
      </c>
      <c r="BA7">
        <f>IF(BA3&gt;ConstructionYears*4,1,0)</f>
        <v/>
      </c>
      <c r="BB7">
        <f>IF(BB3&gt;ConstructionYears*4,1,0)</f>
        <v/>
      </c>
      <c r="BC7">
        <f>IF(BC3&gt;ConstructionYears*4,1,0)</f>
        <v/>
      </c>
      <c r="BD7">
        <f>IF(BD3&gt;ConstructionYears*4,1,0)</f>
        <v/>
      </c>
      <c r="BE7">
        <f>IF(BE3&gt;ConstructionYears*4,1,0)</f>
        <v/>
      </c>
      <c r="BF7">
        <f>IF(BF3&gt;ConstructionYears*4,1,0)</f>
        <v/>
      </c>
      <c r="BG7">
        <f>IF(BG3&gt;ConstructionYears*4,1,0)</f>
        <v/>
      </c>
      <c r="BH7">
        <f>IF(BH3&gt;ConstructionYears*4,1,0)</f>
        <v/>
      </c>
      <c r="BI7">
        <f>IF(BI3&gt;ConstructionYears*4,1,0)</f>
        <v/>
      </c>
      <c r="BJ7">
        <f>IF(BJ3&gt;ConstructionYears*4,1,0)</f>
        <v/>
      </c>
      <c r="BK7">
        <f>IF(BK3&gt;ConstructionYears*4,1,0)</f>
        <v/>
      </c>
      <c r="BL7">
        <f>IF(BL3&gt;ConstructionYears*4,1,0)</f>
        <v/>
      </c>
      <c r="BM7">
        <f>IF(BM3&gt;ConstructionYears*4,1,0)</f>
        <v/>
      </c>
      <c r="BN7">
        <f>IF(BN3&gt;ConstructionYears*4,1,0)</f>
        <v/>
      </c>
      <c r="BO7">
        <f>IF(BO3&gt;ConstructionYears*4,1,0)</f>
        <v/>
      </c>
      <c r="BP7">
        <f>IF(BP3&gt;ConstructionYears*4,1,0)</f>
        <v/>
      </c>
      <c r="BQ7">
        <f>IF(BQ3&gt;ConstructionYears*4,1,0)</f>
        <v/>
      </c>
      <c r="BR7">
        <f>IF(BR3&gt;ConstructionYears*4,1,0)</f>
        <v/>
      </c>
      <c r="BS7">
        <f>IF(BS3&gt;ConstructionYears*4,1,0)</f>
        <v/>
      </c>
      <c r="BT7">
        <f>IF(BT3&gt;ConstructionYears*4,1,0)</f>
        <v/>
      </c>
      <c r="BU7">
        <f>IF(BU3&gt;ConstructionYears*4,1,0)</f>
        <v/>
      </c>
      <c r="BV7">
        <f>IF(BV3&gt;ConstructionYears*4,1,0)</f>
        <v/>
      </c>
      <c r="BW7">
        <f>IF(BW3&gt;ConstructionYears*4,1,0)</f>
        <v/>
      </c>
      <c r="BX7">
        <f>IF(BX3&gt;ConstructionYears*4,1,0)</f>
        <v/>
      </c>
      <c r="BY7">
        <f>IF(BY3&gt;ConstructionYears*4,1,0)</f>
        <v/>
      </c>
      <c r="BZ7">
        <f>IF(BZ3&gt;ConstructionYears*4,1,0)</f>
        <v/>
      </c>
      <c r="CA7">
        <f>IF(CA3&gt;ConstructionYears*4,1,0)</f>
        <v/>
      </c>
      <c r="CB7">
        <f>IF(CB3&gt;ConstructionYears*4,1,0)</f>
        <v/>
      </c>
      <c r="CC7">
        <f>IF(CC3&gt;ConstructionYears*4,1,0)</f>
        <v/>
      </c>
      <c r="CD7">
        <f>IF(CD3&gt;ConstructionYears*4,1,0)</f>
        <v/>
      </c>
      <c r="CE7">
        <f>IF(CE3&gt;ConstructionYears*4,1,0)</f>
        <v/>
      </c>
      <c r="CF7">
        <f>IF(CF3&gt;ConstructionYears*4,1,0)</f>
        <v/>
      </c>
      <c r="CG7">
        <f>IF(CG3&gt;ConstructionYears*4,1,0)</f>
        <v/>
      </c>
      <c r="CH7">
        <f>IF(CH3&gt;ConstructionYears*4,1,0)</f>
        <v/>
      </c>
      <c r="CI7">
        <f>IF(CI3&gt;ConstructionYears*4,1,0)</f>
        <v/>
      </c>
      <c r="CJ7">
        <f>IF(CJ3&gt;ConstructionYears*4,1,0)</f>
        <v/>
      </c>
      <c r="CK7">
        <f>IF(CK3&gt;ConstructionYears*4,1,0)</f>
        <v/>
      </c>
      <c r="CL7">
        <f>IF(CL3&gt;ConstructionYears*4,1,0)</f>
        <v/>
      </c>
      <c r="CM7">
        <f>IF(CM3&gt;ConstructionYears*4,1,0)</f>
        <v/>
      </c>
    </row>
    <row r="8">
      <c r="A8" s="3" t="inlineStr">
        <is>
          <t>COD Flag</t>
        </is>
      </c>
      <c r="D8">
        <f>IF(D3=ConstructionYears*4+1,1,0)</f>
        <v/>
      </c>
      <c r="E8">
        <f>IF(E3=ConstructionYears*4+1,1,0)</f>
        <v/>
      </c>
      <c r="F8">
        <f>IF(F3=ConstructionYears*4+1,1,0)</f>
        <v/>
      </c>
      <c r="G8">
        <f>IF(G3=ConstructionYears*4+1,1,0)</f>
        <v/>
      </c>
      <c r="H8">
        <f>IF(H3=ConstructionYears*4+1,1,0)</f>
        <v/>
      </c>
      <c r="I8">
        <f>IF(I3=ConstructionYears*4+1,1,0)</f>
        <v/>
      </c>
      <c r="J8">
        <f>IF(J3=ConstructionYears*4+1,1,0)</f>
        <v/>
      </c>
      <c r="K8">
        <f>IF(K3=ConstructionYears*4+1,1,0)</f>
        <v/>
      </c>
      <c r="L8">
        <f>IF(L3=ConstructionYears*4+1,1,0)</f>
        <v/>
      </c>
      <c r="M8">
        <f>IF(M3=ConstructionYears*4+1,1,0)</f>
        <v/>
      </c>
      <c r="N8">
        <f>IF(N3=ConstructionYears*4+1,1,0)</f>
        <v/>
      </c>
      <c r="O8">
        <f>IF(O3=ConstructionYears*4+1,1,0)</f>
        <v/>
      </c>
      <c r="P8">
        <f>IF(P3=ConstructionYears*4+1,1,0)</f>
        <v/>
      </c>
      <c r="Q8">
        <f>IF(Q3=ConstructionYears*4+1,1,0)</f>
        <v/>
      </c>
      <c r="R8">
        <f>IF(R3=ConstructionYears*4+1,1,0)</f>
        <v/>
      </c>
      <c r="S8">
        <f>IF(S3=ConstructionYears*4+1,1,0)</f>
        <v/>
      </c>
      <c r="T8">
        <f>IF(T3=ConstructionYears*4+1,1,0)</f>
        <v/>
      </c>
      <c r="U8">
        <f>IF(U3=ConstructionYears*4+1,1,0)</f>
        <v/>
      </c>
      <c r="V8">
        <f>IF(V3=ConstructionYears*4+1,1,0)</f>
        <v/>
      </c>
      <c r="W8">
        <f>IF(W3=ConstructionYears*4+1,1,0)</f>
        <v/>
      </c>
      <c r="X8">
        <f>IF(X3=ConstructionYears*4+1,1,0)</f>
        <v/>
      </c>
      <c r="Y8">
        <f>IF(Y3=ConstructionYears*4+1,1,0)</f>
        <v/>
      </c>
      <c r="Z8">
        <f>IF(Z3=ConstructionYears*4+1,1,0)</f>
        <v/>
      </c>
      <c r="AA8">
        <f>IF(AA3=ConstructionYears*4+1,1,0)</f>
        <v/>
      </c>
      <c r="AB8">
        <f>IF(AB3=ConstructionYears*4+1,1,0)</f>
        <v/>
      </c>
      <c r="AC8">
        <f>IF(AC3=ConstructionYears*4+1,1,0)</f>
        <v/>
      </c>
      <c r="AD8">
        <f>IF(AD3=ConstructionYears*4+1,1,0)</f>
        <v/>
      </c>
      <c r="AE8">
        <f>IF(AE3=ConstructionYears*4+1,1,0)</f>
        <v/>
      </c>
      <c r="AF8">
        <f>IF(AF3=ConstructionYears*4+1,1,0)</f>
        <v/>
      </c>
      <c r="AG8">
        <f>IF(AG3=ConstructionYears*4+1,1,0)</f>
        <v/>
      </c>
      <c r="AH8">
        <f>IF(AH3=ConstructionYears*4+1,1,0)</f>
        <v/>
      </c>
      <c r="AI8">
        <f>IF(AI3=ConstructionYears*4+1,1,0)</f>
        <v/>
      </c>
      <c r="AJ8">
        <f>IF(AJ3=ConstructionYears*4+1,1,0)</f>
        <v/>
      </c>
      <c r="AK8">
        <f>IF(AK3=ConstructionYears*4+1,1,0)</f>
        <v/>
      </c>
      <c r="AL8">
        <f>IF(AL3=ConstructionYears*4+1,1,0)</f>
        <v/>
      </c>
      <c r="AM8">
        <f>IF(AM3=ConstructionYears*4+1,1,0)</f>
        <v/>
      </c>
      <c r="AN8">
        <f>IF(AN3=ConstructionYears*4+1,1,0)</f>
        <v/>
      </c>
      <c r="AO8">
        <f>IF(AO3=ConstructionYears*4+1,1,0)</f>
        <v/>
      </c>
      <c r="AP8">
        <f>IF(AP3=ConstructionYears*4+1,1,0)</f>
        <v/>
      </c>
      <c r="AQ8">
        <f>IF(AQ3=ConstructionYears*4+1,1,0)</f>
        <v/>
      </c>
      <c r="AR8">
        <f>IF(AR3=ConstructionYears*4+1,1,0)</f>
        <v/>
      </c>
      <c r="AS8">
        <f>IF(AS3=ConstructionYears*4+1,1,0)</f>
        <v/>
      </c>
      <c r="AT8">
        <f>IF(AT3=ConstructionYears*4+1,1,0)</f>
        <v/>
      </c>
      <c r="AU8">
        <f>IF(AU3=ConstructionYears*4+1,1,0)</f>
        <v/>
      </c>
      <c r="AV8">
        <f>IF(AV3=ConstructionYears*4+1,1,0)</f>
        <v/>
      </c>
      <c r="AW8">
        <f>IF(AW3=ConstructionYears*4+1,1,0)</f>
        <v/>
      </c>
      <c r="AX8">
        <f>IF(AX3=ConstructionYears*4+1,1,0)</f>
        <v/>
      </c>
      <c r="AY8">
        <f>IF(AY3=ConstructionYears*4+1,1,0)</f>
        <v/>
      </c>
      <c r="AZ8">
        <f>IF(AZ3=ConstructionYears*4+1,1,0)</f>
        <v/>
      </c>
      <c r="BA8">
        <f>IF(BA3=ConstructionYears*4+1,1,0)</f>
        <v/>
      </c>
      <c r="BB8">
        <f>IF(BB3=ConstructionYears*4+1,1,0)</f>
        <v/>
      </c>
      <c r="BC8">
        <f>IF(BC3=ConstructionYears*4+1,1,0)</f>
        <v/>
      </c>
      <c r="BD8">
        <f>IF(BD3=ConstructionYears*4+1,1,0)</f>
        <v/>
      </c>
      <c r="BE8">
        <f>IF(BE3=ConstructionYears*4+1,1,0)</f>
        <v/>
      </c>
      <c r="BF8">
        <f>IF(BF3=ConstructionYears*4+1,1,0)</f>
        <v/>
      </c>
      <c r="BG8">
        <f>IF(BG3=ConstructionYears*4+1,1,0)</f>
        <v/>
      </c>
      <c r="BH8">
        <f>IF(BH3=ConstructionYears*4+1,1,0)</f>
        <v/>
      </c>
      <c r="BI8">
        <f>IF(BI3=ConstructionYears*4+1,1,0)</f>
        <v/>
      </c>
      <c r="BJ8">
        <f>IF(BJ3=ConstructionYears*4+1,1,0)</f>
        <v/>
      </c>
      <c r="BK8">
        <f>IF(BK3=ConstructionYears*4+1,1,0)</f>
        <v/>
      </c>
      <c r="BL8">
        <f>IF(BL3=ConstructionYears*4+1,1,0)</f>
        <v/>
      </c>
      <c r="BM8">
        <f>IF(BM3=ConstructionYears*4+1,1,0)</f>
        <v/>
      </c>
      <c r="BN8">
        <f>IF(BN3=ConstructionYears*4+1,1,0)</f>
        <v/>
      </c>
      <c r="BO8">
        <f>IF(BO3=ConstructionYears*4+1,1,0)</f>
        <v/>
      </c>
      <c r="BP8">
        <f>IF(BP3=ConstructionYears*4+1,1,0)</f>
        <v/>
      </c>
      <c r="BQ8">
        <f>IF(BQ3=ConstructionYears*4+1,1,0)</f>
        <v/>
      </c>
      <c r="BR8">
        <f>IF(BR3=ConstructionYears*4+1,1,0)</f>
        <v/>
      </c>
      <c r="BS8">
        <f>IF(BS3=ConstructionYears*4+1,1,0)</f>
        <v/>
      </c>
      <c r="BT8">
        <f>IF(BT3=ConstructionYears*4+1,1,0)</f>
        <v/>
      </c>
      <c r="BU8">
        <f>IF(BU3=ConstructionYears*4+1,1,0)</f>
        <v/>
      </c>
      <c r="BV8">
        <f>IF(BV3=ConstructionYears*4+1,1,0)</f>
        <v/>
      </c>
      <c r="BW8">
        <f>IF(BW3=ConstructionYears*4+1,1,0)</f>
        <v/>
      </c>
      <c r="BX8">
        <f>IF(BX3=ConstructionYears*4+1,1,0)</f>
        <v/>
      </c>
      <c r="BY8">
        <f>IF(BY3=ConstructionYears*4+1,1,0)</f>
        <v/>
      </c>
      <c r="BZ8">
        <f>IF(BZ3=ConstructionYears*4+1,1,0)</f>
        <v/>
      </c>
      <c r="CA8">
        <f>IF(CA3=ConstructionYears*4+1,1,0)</f>
        <v/>
      </c>
      <c r="CB8">
        <f>IF(CB3=ConstructionYears*4+1,1,0)</f>
        <v/>
      </c>
      <c r="CC8">
        <f>IF(CC3=ConstructionYears*4+1,1,0)</f>
        <v/>
      </c>
      <c r="CD8">
        <f>IF(CD3=ConstructionYears*4+1,1,0)</f>
        <v/>
      </c>
      <c r="CE8">
        <f>IF(CE3=ConstructionYears*4+1,1,0)</f>
        <v/>
      </c>
      <c r="CF8">
        <f>IF(CF3=ConstructionYears*4+1,1,0)</f>
        <v/>
      </c>
      <c r="CG8">
        <f>IF(CG3=ConstructionYears*4+1,1,0)</f>
        <v/>
      </c>
      <c r="CH8">
        <f>IF(CH3=ConstructionYears*4+1,1,0)</f>
        <v/>
      </c>
      <c r="CI8">
        <f>IF(CI3=ConstructionYears*4+1,1,0)</f>
        <v/>
      </c>
      <c r="CJ8">
        <f>IF(CJ3=ConstructionYears*4+1,1,0)</f>
        <v/>
      </c>
      <c r="CK8">
        <f>IF(CK3=ConstructionYears*4+1,1,0)</f>
        <v/>
      </c>
      <c r="CL8">
        <f>IF(CL3=ConstructionYears*4+1,1,0)</f>
        <v/>
      </c>
      <c r="CM8">
        <f>IF(CM3=ConstructionYears*4+1,1,0)</f>
        <v/>
      </c>
    </row>
    <row r="9">
      <c r="A9" s="3" t="inlineStr">
        <is>
          <t>Years Since COD</t>
        </is>
      </c>
      <c r="D9">
        <f>D4-ConstructionYears</f>
        <v/>
      </c>
      <c r="E9">
        <f>E4-ConstructionYears</f>
        <v/>
      </c>
      <c r="F9">
        <f>F4-ConstructionYears</f>
        <v/>
      </c>
      <c r="G9">
        <f>G4-ConstructionYears</f>
        <v/>
      </c>
      <c r="H9">
        <f>H4-ConstructionYears</f>
        <v/>
      </c>
      <c r="I9">
        <f>I4-ConstructionYears</f>
        <v/>
      </c>
      <c r="J9">
        <f>J4-ConstructionYears</f>
        <v/>
      </c>
      <c r="K9">
        <f>K4-ConstructionYears</f>
        <v/>
      </c>
      <c r="L9">
        <f>L4-ConstructionYears</f>
        <v/>
      </c>
      <c r="M9">
        <f>M4-ConstructionYears</f>
        <v/>
      </c>
      <c r="N9">
        <f>N4-ConstructionYears</f>
        <v/>
      </c>
      <c r="O9">
        <f>O4-ConstructionYears</f>
        <v/>
      </c>
      <c r="P9">
        <f>P4-ConstructionYears</f>
        <v/>
      </c>
      <c r="Q9">
        <f>Q4-ConstructionYears</f>
        <v/>
      </c>
      <c r="R9">
        <f>R4-ConstructionYears</f>
        <v/>
      </c>
      <c r="S9">
        <f>S4-ConstructionYears</f>
        <v/>
      </c>
      <c r="T9">
        <f>T4-ConstructionYears</f>
        <v/>
      </c>
      <c r="U9">
        <f>U4-ConstructionYears</f>
        <v/>
      </c>
      <c r="V9">
        <f>V4-ConstructionYears</f>
        <v/>
      </c>
      <c r="W9">
        <f>W4-ConstructionYears</f>
        <v/>
      </c>
      <c r="X9">
        <f>X4-ConstructionYears</f>
        <v/>
      </c>
      <c r="Y9">
        <f>Y4-ConstructionYears</f>
        <v/>
      </c>
      <c r="Z9">
        <f>Z4-ConstructionYears</f>
        <v/>
      </c>
      <c r="AA9">
        <f>AA4-ConstructionYears</f>
        <v/>
      </c>
      <c r="AB9">
        <f>AB4-ConstructionYears</f>
        <v/>
      </c>
      <c r="AC9">
        <f>AC4-ConstructionYears</f>
        <v/>
      </c>
      <c r="AD9">
        <f>AD4-ConstructionYears</f>
        <v/>
      </c>
      <c r="AE9">
        <f>AE4-ConstructionYears</f>
        <v/>
      </c>
      <c r="AF9">
        <f>AF4-ConstructionYears</f>
        <v/>
      </c>
      <c r="AG9">
        <f>AG4-ConstructionYears</f>
        <v/>
      </c>
      <c r="AH9">
        <f>AH4-ConstructionYears</f>
        <v/>
      </c>
      <c r="AI9">
        <f>AI4-ConstructionYears</f>
        <v/>
      </c>
      <c r="AJ9">
        <f>AJ4-ConstructionYears</f>
        <v/>
      </c>
      <c r="AK9">
        <f>AK4-ConstructionYears</f>
        <v/>
      </c>
      <c r="AL9">
        <f>AL4-ConstructionYears</f>
        <v/>
      </c>
      <c r="AM9">
        <f>AM4-ConstructionYears</f>
        <v/>
      </c>
      <c r="AN9">
        <f>AN4-ConstructionYears</f>
        <v/>
      </c>
      <c r="AO9">
        <f>AO4-ConstructionYears</f>
        <v/>
      </c>
      <c r="AP9">
        <f>AP4-ConstructionYears</f>
        <v/>
      </c>
      <c r="AQ9">
        <f>AQ4-ConstructionYears</f>
        <v/>
      </c>
      <c r="AR9">
        <f>AR4-ConstructionYears</f>
        <v/>
      </c>
      <c r="AS9">
        <f>AS4-ConstructionYears</f>
        <v/>
      </c>
      <c r="AT9">
        <f>AT4-ConstructionYears</f>
        <v/>
      </c>
      <c r="AU9">
        <f>AU4-ConstructionYears</f>
        <v/>
      </c>
      <c r="AV9">
        <f>AV4-ConstructionYears</f>
        <v/>
      </c>
      <c r="AW9">
        <f>AW4-ConstructionYears</f>
        <v/>
      </c>
      <c r="AX9">
        <f>AX4-ConstructionYears</f>
        <v/>
      </c>
      <c r="AY9">
        <f>AY4-ConstructionYears</f>
        <v/>
      </c>
      <c r="AZ9">
        <f>AZ4-ConstructionYears</f>
        <v/>
      </c>
      <c r="BA9">
        <f>BA4-ConstructionYears</f>
        <v/>
      </c>
      <c r="BB9">
        <f>BB4-ConstructionYears</f>
        <v/>
      </c>
      <c r="BC9">
        <f>BC4-ConstructionYears</f>
        <v/>
      </c>
      <c r="BD9">
        <f>BD4-ConstructionYears</f>
        <v/>
      </c>
      <c r="BE9">
        <f>BE4-ConstructionYears</f>
        <v/>
      </c>
      <c r="BF9">
        <f>BF4-ConstructionYears</f>
        <v/>
      </c>
      <c r="BG9">
        <f>BG4-ConstructionYears</f>
        <v/>
      </c>
      <c r="BH9">
        <f>BH4-ConstructionYears</f>
        <v/>
      </c>
      <c r="BI9">
        <f>BI4-ConstructionYears</f>
        <v/>
      </c>
      <c r="BJ9">
        <f>BJ4-ConstructionYears</f>
        <v/>
      </c>
      <c r="BK9">
        <f>BK4-ConstructionYears</f>
        <v/>
      </c>
      <c r="BL9">
        <f>BL4-ConstructionYears</f>
        <v/>
      </c>
      <c r="BM9">
        <f>BM4-ConstructionYears</f>
        <v/>
      </c>
      <c r="BN9">
        <f>BN4-ConstructionYears</f>
        <v/>
      </c>
      <c r="BO9">
        <f>BO4-ConstructionYears</f>
        <v/>
      </c>
      <c r="BP9">
        <f>BP4-ConstructionYears</f>
        <v/>
      </c>
      <c r="BQ9">
        <f>BQ4-ConstructionYears</f>
        <v/>
      </c>
      <c r="BR9">
        <f>BR4-ConstructionYears</f>
        <v/>
      </c>
      <c r="BS9">
        <f>BS4-ConstructionYears</f>
        <v/>
      </c>
      <c r="BT9">
        <f>BT4-ConstructionYears</f>
        <v/>
      </c>
      <c r="BU9">
        <f>BU4-ConstructionYears</f>
        <v/>
      </c>
      <c r="BV9">
        <f>BV4-ConstructionYears</f>
        <v/>
      </c>
      <c r="BW9">
        <f>BW4-ConstructionYears</f>
        <v/>
      </c>
      <c r="BX9">
        <f>BX4-ConstructionYears</f>
        <v/>
      </c>
      <c r="BY9">
        <f>BY4-ConstructionYears</f>
        <v/>
      </c>
      <c r="BZ9">
        <f>BZ4-ConstructionYears</f>
        <v/>
      </c>
      <c r="CA9">
        <f>CA4-ConstructionYears</f>
        <v/>
      </c>
      <c r="CB9">
        <f>CB4-ConstructionYears</f>
        <v/>
      </c>
      <c r="CC9">
        <f>CC4-ConstructionYears</f>
        <v/>
      </c>
      <c r="CD9">
        <f>CD4-ConstructionYears</f>
        <v/>
      </c>
      <c r="CE9">
        <f>CE4-ConstructionYears</f>
        <v/>
      </c>
      <c r="CF9">
        <f>CF4-ConstructionYears</f>
        <v/>
      </c>
      <c r="CG9">
        <f>CG4-ConstructionYears</f>
        <v/>
      </c>
      <c r="CH9">
        <f>CH4-ConstructionYears</f>
        <v/>
      </c>
      <c r="CI9">
        <f>CI4-ConstructionYears</f>
        <v/>
      </c>
      <c r="CJ9">
        <f>CJ4-ConstructionYears</f>
        <v/>
      </c>
      <c r="CK9">
        <f>CK4-ConstructionYears</f>
        <v/>
      </c>
      <c r="CL9">
        <f>CL4-ConstructionYears</f>
        <v/>
      </c>
      <c r="CM9">
        <f>CM4-ConstructionYears</f>
        <v/>
      </c>
    </row>
    <row r="10">
      <c r="A10" s="3" t="inlineStr">
        <is>
          <t>Periodic Debt Rate</t>
        </is>
      </c>
      <c r="D10">
        <f>(1+CostOfDebtRate)^0.25-1</f>
        <v/>
      </c>
      <c r="E10">
        <f>(1+CostOfDebtRate)^0.25-1</f>
        <v/>
      </c>
      <c r="F10">
        <f>(1+CostOfDebtRate)^0.25-1</f>
        <v/>
      </c>
      <c r="G10">
        <f>(1+CostOfDebtRate)^0.25-1</f>
        <v/>
      </c>
      <c r="H10">
        <f>(1+CostOfDebtRate)^0.25-1</f>
        <v/>
      </c>
      <c r="I10">
        <f>(1+CostOfDebtRate)^0.25-1</f>
        <v/>
      </c>
      <c r="J10">
        <f>(1+CostOfDebtRate)^0.25-1</f>
        <v/>
      </c>
      <c r="K10">
        <f>(1+CostOfDebtRate)^0.25-1</f>
        <v/>
      </c>
      <c r="L10">
        <f>(1+CostOfDebtRate)^0.25-1</f>
        <v/>
      </c>
      <c r="M10">
        <f>(1+CostOfDebtRate)^0.25-1</f>
        <v/>
      </c>
      <c r="N10">
        <f>(1+CostOfDebtRate)^0.25-1</f>
        <v/>
      </c>
      <c r="O10">
        <f>(1+CostOfDebtRate)^0.25-1</f>
        <v/>
      </c>
      <c r="P10">
        <f>(1+CostOfDebtRate)^0.25-1</f>
        <v/>
      </c>
      <c r="Q10">
        <f>(1+CostOfDebtRate)^0.25-1</f>
        <v/>
      </c>
      <c r="R10">
        <f>(1+CostOfDebtRate)^0.25-1</f>
        <v/>
      </c>
      <c r="S10">
        <f>(1+CostOfDebtRate)^0.25-1</f>
        <v/>
      </c>
      <c r="T10">
        <f>(1+CostOfDebtRate)^0.25-1</f>
        <v/>
      </c>
      <c r="U10">
        <f>(1+CostOfDebtRate)^0.25-1</f>
        <v/>
      </c>
      <c r="V10">
        <f>(1+CostOfDebtRate)^0.25-1</f>
        <v/>
      </c>
      <c r="W10">
        <f>(1+CostOfDebtRate)^0.25-1</f>
        <v/>
      </c>
      <c r="X10">
        <f>(1+CostOfDebtRate)^0.25-1</f>
        <v/>
      </c>
      <c r="Y10">
        <f>(1+CostOfDebtRate)^0.25-1</f>
        <v/>
      </c>
      <c r="Z10">
        <f>(1+CostOfDebtRate)^0.25-1</f>
        <v/>
      </c>
      <c r="AA10">
        <f>(1+CostOfDebtRate)^0.25-1</f>
        <v/>
      </c>
      <c r="AB10">
        <f>(1+CostOfDebtRate)^0.25-1</f>
        <v/>
      </c>
      <c r="AC10">
        <f>(1+CostOfDebtRate)^0.25-1</f>
        <v/>
      </c>
      <c r="AD10">
        <f>(1+CostOfDebtRate)^0.25-1</f>
        <v/>
      </c>
      <c r="AE10">
        <f>(1+CostOfDebtRate)^0.25-1</f>
        <v/>
      </c>
      <c r="AF10">
        <f>(1+CostOfDebtRate)^0.25-1</f>
        <v/>
      </c>
      <c r="AG10">
        <f>(1+CostOfDebtRate)^0.25-1</f>
        <v/>
      </c>
      <c r="AH10">
        <f>(1+CostOfDebtRate)^0.25-1</f>
        <v/>
      </c>
      <c r="AI10">
        <f>(1+CostOfDebtRate)^0.25-1</f>
        <v/>
      </c>
      <c r="AJ10">
        <f>(1+CostOfDebtRate)^0.25-1</f>
        <v/>
      </c>
      <c r="AK10">
        <f>(1+CostOfDebtRate)^0.25-1</f>
        <v/>
      </c>
      <c r="AL10">
        <f>(1+CostOfDebtRate)^0.25-1</f>
        <v/>
      </c>
      <c r="AM10">
        <f>(1+CostOfDebtRate)^0.25-1</f>
        <v/>
      </c>
      <c r="AN10">
        <f>(1+CostOfDebtRate)^0.25-1</f>
        <v/>
      </c>
      <c r="AO10">
        <f>(1+CostOfDebtRate)^0.25-1</f>
        <v/>
      </c>
      <c r="AP10">
        <f>(1+CostOfDebtRate)^0.25-1</f>
        <v/>
      </c>
      <c r="AQ10">
        <f>(1+CostOfDebtRate)^0.25-1</f>
        <v/>
      </c>
      <c r="AR10">
        <f>(1+CostOfDebtRate)^0.25-1</f>
        <v/>
      </c>
      <c r="AS10">
        <f>(1+CostOfDebtRate)^0.25-1</f>
        <v/>
      </c>
      <c r="AT10">
        <f>(1+CostOfDebtRate)^0.25-1</f>
        <v/>
      </c>
      <c r="AU10">
        <f>(1+CostOfDebtRate)^0.25-1</f>
        <v/>
      </c>
      <c r="AV10">
        <f>(1+CostOfDebtRate)^0.25-1</f>
        <v/>
      </c>
      <c r="AW10">
        <f>(1+CostOfDebtRate)^0.25-1</f>
        <v/>
      </c>
      <c r="AX10">
        <f>(1+CostOfDebtRate)^0.25-1</f>
        <v/>
      </c>
      <c r="AY10">
        <f>(1+CostOfDebtRate)^0.25-1</f>
        <v/>
      </c>
      <c r="AZ10">
        <f>(1+CostOfDebtRate)^0.25-1</f>
        <v/>
      </c>
      <c r="BA10">
        <f>(1+CostOfDebtRate)^0.25-1</f>
        <v/>
      </c>
      <c r="BB10">
        <f>(1+CostOfDebtRate)^0.25-1</f>
        <v/>
      </c>
      <c r="BC10">
        <f>(1+CostOfDebtRate)^0.25-1</f>
        <v/>
      </c>
      <c r="BD10">
        <f>(1+CostOfDebtRate)^0.25-1</f>
        <v/>
      </c>
      <c r="BE10">
        <f>(1+CostOfDebtRate)^0.25-1</f>
        <v/>
      </c>
      <c r="BF10">
        <f>(1+CostOfDebtRate)^0.25-1</f>
        <v/>
      </c>
      <c r="BG10">
        <f>(1+CostOfDebtRate)^0.25-1</f>
        <v/>
      </c>
      <c r="BH10">
        <f>(1+CostOfDebtRate)^0.25-1</f>
        <v/>
      </c>
      <c r="BI10">
        <f>(1+CostOfDebtRate)^0.25-1</f>
        <v/>
      </c>
      <c r="BJ10">
        <f>(1+CostOfDebtRate)^0.25-1</f>
        <v/>
      </c>
      <c r="BK10">
        <f>(1+CostOfDebtRate)^0.25-1</f>
        <v/>
      </c>
      <c r="BL10">
        <f>(1+CostOfDebtRate)^0.25-1</f>
        <v/>
      </c>
      <c r="BM10">
        <f>(1+CostOfDebtRate)^0.25-1</f>
        <v/>
      </c>
      <c r="BN10">
        <f>(1+CostOfDebtRate)^0.25-1</f>
        <v/>
      </c>
      <c r="BO10">
        <f>(1+CostOfDebtRate)^0.25-1</f>
        <v/>
      </c>
      <c r="BP10">
        <f>(1+CostOfDebtRate)^0.25-1</f>
        <v/>
      </c>
      <c r="BQ10">
        <f>(1+CostOfDebtRate)^0.25-1</f>
        <v/>
      </c>
      <c r="BR10">
        <f>(1+CostOfDebtRate)^0.25-1</f>
        <v/>
      </c>
      <c r="BS10">
        <f>(1+CostOfDebtRate)^0.25-1</f>
        <v/>
      </c>
      <c r="BT10">
        <f>(1+CostOfDebtRate)^0.25-1</f>
        <v/>
      </c>
      <c r="BU10">
        <f>(1+CostOfDebtRate)^0.25-1</f>
        <v/>
      </c>
      <c r="BV10">
        <f>(1+CostOfDebtRate)^0.25-1</f>
        <v/>
      </c>
      <c r="BW10">
        <f>(1+CostOfDebtRate)^0.25-1</f>
        <v/>
      </c>
      <c r="BX10">
        <f>(1+CostOfDebtRate)^0.25-1</f>
        <v/>
      </c>
      <c r="BY10">
        <f>(1+CostOfDebtRate)^0.25-1</f>
        <v/>
      </c>
      <c r="BZ10">
        <f>(1+CostOfDebtRate)^0.25-1</f>
        <v/>
      </c>
      <c r="CA10">
        <f>(1+CostOfDebtRate)^0.25-1</f>
        <v/>
      </c>
      <c r="CB10">
        <f>(1+CostOfDebtRate)^0.25-1</f>
        <v/>
      </c>
      <c r="CC10">
        <f>(1+CostOfDebtRate)^0.25-1</f>
        <v/>
      </c>
      <c r="CD10">
        <f>(1+CostOfDebtRate)^0.25-1</f>
        <v/>
      </c>
      <c r="CE10">
        <f>(1+CostOfDebtRate)^0.25-1</f>
        <v/>
      </c>
      <c r="CF10">
        <f>(1+CostOfDebtRate)^0.25-1</f>
        <v/>
      </c>
      <c r="CG10">
        <f>(1+CostOfDebtRate)^0.25-1</f>
        <v/>
      </c>
      <c r="CH10">
        <f>(1+CostOfDebtRate)^0.25-1</f>
        <v/>
      </c>
      <c r="CI10">
        <f>(1+CostOfDebtRate)^0.25-1</f>
        <v/>
      </c>
      <c r="CJ10">
        <f>(1+CostOfDebtRate)^0.25-1</f>
        <v/>
      </c>
      <c r="CK10">
        <f>(1+CostOfDebtRate)^0.25-1</f>
        <v/>
      </c>
      <c r="CL10">
        <f>(1+CostOfDebtRate)^0.25-1</f>
        <v/>
      </c>
      <c r="CM10">
        <f>(1+CostOfDebtRate)^0.25-1</f>
        <v/>
      </c>
    </row>
    <row r="11">
      <c r="A11" s="3" t="inlineStr">
        <is>
          <t>Periodic WACC</t>
        </is>
      </c>
      <c r="D11">
        <f>(1+WACC)^0.25-1</f>
        <v/>
      </c>
      <c r="E11">
        <f>(1+WACC)^0.25-1</f>
        <v/>
      </c>
      <c r="F11">
        <f>(1+WACC)^0.25-1</f>
        <v/>
      </c>
      <c r="G11">
        <f>(1+WACC)^0.25-1</f>
        <v/>
      </c>
      <c r="H11">
        <f>(1+WACC)^0.25-1</f>
        <v/>
      </c>
      <c r="I11">
        <f>(1+WACC)^0.25-1</f>
        <v/>
      </c>
      <c r="J11">
        <f>(1+WACC)^0.25-1</f>
        <v/>
      </c>
      <c r="K11">
        <f>(1+WACC)^0.25-1</f>
        <v/>
      </c>
      <c r="L11">
        <f>(1+WACC)^0.25-1</f>
        <v/>
      </c>
      <c r="M11">
        <f>(1+WACC)^0.25-1</f>
        <v/>
      </c>
      <c r="N11">
        <f>(1+WACC)^0.25-1</f>
        <v/>
      </c>
      <c r="O11">
        <f>(1+WACC)^0.25-1</f>
        <v/>
      </c>
      <c r="P11">
        <f>(1+WACC)^0.25-1</f>
        <v/>
      </c>
      <c r="Q11">
        <f>(1+WACC)^0.25-1</f>
        <v/>
      </c>
      <c r="R11">
        <f>(1+WACC)^0.25-1</f>
        <v/>
      </c>
      <c r="S11">
        <f>(1+WACC)^0.25-1</f>
        <v/>
      </c>
      <c r="T11">
        <f>(1+WACC)^0.25-1</f>
        <v/>
      </c>
      <c r="U11">
        <f>(1+WACC)^0.25-1</f>
        <v/>
      </c>
      <c r="V11">
        <f>(1+WACC)^0.25-1</f>
        <v/>
      </c>
      <c r="W11">
        <f>(1+WACC)^0.25-1</f>
        <v/>
      </c>
      <c r="X11">
        <f>(1+WACC)^0.25-1</f>
        <v/>
      </c>
      <c r="Y11">
        <f>(1+WACC)^0.25-1</f>
        <v/>
      </c>
      <c r="Z11">
        <f>(1+WACC)^0.25-1</f>
        <v/>
      </c>
      <c r="AA11">
        <f>(1+WACC)^0.25-1</f>
        <v/>
      </c>
      <c r="AB11">
        <f>(1+WACC)^0.25-1</f>
        <v/>
      </c>
      <c r="AC11">
        <f>(1+WACC)^0.25-1</f>
        <v/>
      </c>
      <c r="AD11">
        <f>(1+WACC)^0.25-1</f>
        <v/>
      </c>
      <c r="AE11">
        <f>(1+WACC)^0.25-1</f>
        <v/>
      </c>
      <c r="AF11">
        <f>(1+WACC)^0.25-1</f>
        <v/>
      </c>
      <c r="AG11">
        <f>(1+WACC)^0.25-1</f>
        <v/>
      </c>
      <c r="AH11">
        <f>(1+WACC)^0.25-1</f>
        <v/>
      </c>
      <c r="AI11">
        <f>(1+WACC)^0.25-1</f>
        <v/>
      </c>
      <c r="AJ11">
        <f>(1+WACC)^0.25-1</f>
        <v/>
      </c>
      <c r="AK11">
        <f>(1+WACC)^0.25-1</f>
        <v/>
      </c>
      <c r="AL11">
        <f>(1+WACC)^0.25-1</f>
        <v/>
      </c>
      <c r="AM11">
        <f>(1+WACC)^0.25-1</f>
        <v/>
      </c>
      <c r="AN11">
        <f>(1+WACC)^0.25-1</f>
        <v/>
      </c>
      <c r="AO11">
        <f>(1+WACC)^0.25-1</f>
        <v/>
      </c>
      <c r="AP11">
        <f>(1+WACC)^0.25-1</f>
        <v/>
      </c>
      <c r="AQ11">
        <f>(1+WACC)^0.25-1</f>
        <v/>
      </c>
      <c r="AR11">
        <f>(1+WACC)^0.25-1</f>
        <v/>
      </c>
      <c r="AS11">
        <f>(1+WACC)^0.25-1</f>
        <v/>
      </c>
      <c r="AT11">
        <f>(1+WACC)^0.25-1</f>
        <v/>
      </c>
      <c r="AU11">
        <f>(1+WACC)^0.25-1</f>
        <v/>
      </c>
      <c r="AV11">
        <f>(1+WACC)^0.25-1</f>
        <v/>
      </c>
      <c r="AW11">
        <f>(1+WACC)^0.25-1</f>
        <v/>
      </c>
      <c r="AX11">
        <f>(1+WACC)^0.25-1</f>
        <v/>
      </c>
      <c r="AY11">
        <f>(1+WACC)^0.25-1</f>
        <v/>
      </c>
      <c r="AZ11">
        <f>(1+WACC)^0.25-1</f>
        <v/>
      </c>
      <c r="BA11">
        <f>(1+WACC)^0.25-1</f>
        <v/>
      </c>
      <c r="BB11">
        <f>(1+WACC)^0.25-1</f>
        <v/>
      </c>
      <c r="BC11">
        <f>(1+WACC)^0.25-1</f>
        <v/>
      </c>
      <c r="BD11">
        <f>(1+WACC)^0.25-1</f>
        <v/>
      </c>
      <c r="BE11">
        <f>(1+WACC)^0.25-1</f>
        <v/>
      </c>
      <c r="BF11">
        <f>(1+WACC)^0.25-1</f>
        <v/>
      </c>
      <c r="BG11">
        <f>(1+WACC)^0.25-1</f>
        <v/>
      </c>
      <c r="BH11">
        <f>(1+WACC)^0.25-1</f>
        <v/>
      </c>
      <c r="BI11">
        <f>(1+WACC)^0.25-1</f>
        <v/>
      </c>
      <c r="BJ11">
        <f>(1+WACC)^0.25-1</f>
        <v/>
      </c>
      <c r="BK11">
        <f>(1+WACC)^0.25-1</f>
        <v/>
      </c>
      <c r="BL11">
        <f>(1+WACC)^0.25-1</f>
        <v/>
      </c>
      <c r="BM11">
        <f>(1+WACC)^0.25-1</f>
        <v/>
      </c>
      <c r="BN11">
        <f>(1+WACC)^0.25-1</f>
        <v/>
      </c>
      <c r="BO11">
        <f>(1+WACC)^0.25-1</f>
        <v/>
      </c>
      <c r="BP11">
        <f>(1+WACC)^0.25-1</f>
        <v/>
      </c>
      <c r="BQ11">
        <f>(1+WACC)^0.25-1</f>
        <v/>
      </c>
      <c r="BR11">
        <f>(1+WACC)^0.25-1</f>
        <v/>
      </c>
      <c r="BS11">
        <f>(1+WACC)^0.25-1</f>
        <v/>
      </c>
      <c r="BT11">
        <f>(1+WACC)^0.25-1</f>
        <v/>
      </c>
      <c r="BU11">
        <f>(1+WACC)^0.25-1</f>
        <v/>
      </c>
      <c r="BV11">
        <f>(1+WACC)^0.25-1</f>
        <v/>
      </c>
      <c r="BW11">
        <f>(1+WACC)^0.25-1</f>
        <v/>
      </c>
      <c r="BX11">
        <f>(1+WACC)^0.25-1</f>
        <v/>
      </c>
      <c r="BY11">
        <f>(1+WACC)^0.25-1</f>
        <v/>
      </c>
      <c r="BZ11">
        <f>(1+WACC)^0.25-1</f>
        <v/>
      </c>
      <c r="CA11">
        <f>(1+WACC)^0.25-1</f>
        <v/>
      </c>
      <c r="CB11">
        <f>(1+WACC)^0.25-1</f>
        <v/>
      </c>
      <c r="CC11">
        <f>(1+WACC)^0.25-1</f>
        <v/>
      </c>
      <c r="CD11">
        <f>(1+WACC)^0.25-1</f>
        <v/>
      </c>
      <c r="CE11">
        <f>(1+WACC)^0.25-1</f>
        <v/>
      </c>
      <c r="CF11">
        <f>(1+WACC)^0.25-1</f>
        <v/>
      </c>
      <c r="CG11">
        <f>(1+WACC)^0.25-1</f>
        <v/>
      </c>
      <c r="CH11">
        <f>(1+WACC)^0.25-1</f>
        <v/>
      </c>
      <c r="CI11">
        <f>(1+WACC)^0.25-1</f>
        <v/>
      </c>
      <c r="CJ11">
        <f>(1+WACC)^0.25-1</f>
        <v/>
      </c>
      <c r="CK11">
        <f>(1+WACC)^0.25-1</f>
        <v/>
      </c>
      <c r="CL11">
        <f>(1+WACC)^0.25-1</f>
        <v/>
      </c>
      <c r="CM11">
        <f>(1+WACC)^0.25-1</f>
        <v/>
      </c>
    </row>
    <row r="12">
      <c r="A12" s="3" t="inlineStr">
        <is>
          <t>Cumulative Discount Factor (WACC)</t>
        </is>
      </c>
      <c r="D12">
        <f>1/(1+D11)^D3</f>
        <v/>
      </c>
      <c r="E12">
        <f>1/(1+E11)^E3</f>
        <v/>
      </c>
      <c r="F12">
        <f>1/(1+F11)^F3</f>
        <v/>
      </c>
      <c r="G12">
        <f>1/(1+G11)^G3</f>
        <v/>
      </c>
      <c r="H12">
        <f>1/(1+H11)^H3</f>
        <v/>
      </c>
      <c r="I12">
        <f>1/(1+I11)^I3</f>
        <v/>
      </c>
      <c r="J12">
        <f>1/(1+J11)^J3</f>
        <v/>
      </c>
      <c r="K12">
        <f>1/(1+K11)^K3</f>
        <v/>
      </c>
      <c r="L12">
        <f>1/(1+L11)^L3</f>
        <v/>
      </c>
      <c r="M12">
        <f>1/(1+M11)^M3</f>
        <v/>
      </c>
      <c r="N12">
        <f>1/(1+N11)^N3</f>
        <v/>
      </c>
      <c r="O12">
        <f>1/(1+O11)^O3</f>
        <v/>
      </c>
      <c r="P12">
        <f>1/(1+P11)^P3</f>
        <v/>
      </c>
      <c r="Q12">
        <f>1/(1+Q11)^Q3</f>
        <v/>
      </c>
      <c r="R12">
        <f>1/(1+R11)^R3</f>
        <v/>
      </c>
      <c r="S12">
        <f>1/(1+S11)^S3</f>
        <v/>
      </c>
      <c r="T12">
        <f>1/(1+T11)^T3</f>
        <v/>
      </c>
      <c r="U12">
        <f>1/(1+U11)^U3</f>
        <v/>
      </c>
      <c r="V12">
        <f>1/(1+V11)^V3</f>
        <v/>
      </c>
      <c r="W12">
        <f>1/(1+W11)^W3</f>
        <v/>
      </c>
      <c r="X12">
        <f>1/(1+X11)^X3</f>
        <v/>
      </c>
      <c r="Y12">
        <f>1/(1+Y11)^Y3</f>
        <v/>
      </c>
      <c r="Z12">
        <f>1/(1+Z11)^Z3</f>
        <v/>
      </c>
      <c r="AA12">
        <f>1/(1+AA11)^AA3</f>
        <v/>
      </c>
      <c r="AB12">
        <f>1/(1+AB11)^AB3</f>
        <v/>
      </c>
      <c r="AC12">
        <f>1/(1+AC11)^AC3</f>
        <v/>
      </c>
      <c r="AD12">
        <f>1/(1+AD11)^AD3</f>
        <v/>
      </c>
      <c r="AE12">
        <f>1/(1+AE11)^AE3</f>
        <v/>
      </c>
      <c r="AF12">
        <f>1/(1+AF11)^AF3</f>
        <v/>
      </c>
      <c r="AG12">
        <f>1/(1+AG11)^AG3</f>
        <v/>
      </c>
      <c r="AH12">
        <f>1/(1+AH11)^AH3</f>
        <v/>
      </c>
      <c r="AI12">
        <f>1/(1+AI11)^AI3</f>
        <v/>
      </c>
      <c r="AJ12">
        <f>1/(1+AJ11)^AJ3</f>
        <v/>
      </c>
      <c r="AK12">
        <f>1/(1+AK11)^AK3</f>
        <v/>
      </c>
      <c r="AL12">
        <f>1/(1+AL11)^AL3</f>
        <v/>
      </c>
      <c r="AM12">
        <f>1/(1+AM11)^AM3</f>
        <v/>
      </c>
      <c r="AN12">
        <f>1/(1+AN11)^AN3</f>
        <v/>
      </c>
      <c r="AO12">
        <f>1/(1+AO11)^AO3</f>
        <v/>
      </c>
      <c r="AP12">
        <f>1/(1+AP11)^AP3</f>
        <v/>
      </c>
      <c r="AQ12">
        <f>1/(1+AQ11)^AQ3</f>
        <v/>
      </c>
      <c r="AR12">
        <f>1/(1+AR11)^AR3</f>
        <v/>
      </c>
      <c r="AS12">
        <f>1/(1+AS11)^AS3</f>
        <v/>
      </c>
      <c r="AT12">
        <f>1/(1+AT11)^AT3</f>
        <v/>
      </c>
      <c r="AU12">
        <f>1/(1+AU11)^AU3</f>
        <v/>
      </c>
      <c r="AV12">
        <f>1/(1+AV11)^AV3</f>
        <v/>
      </c>
      <c r="AW12">
        <f>1/(1+AW11)^AW3</f>
        <v/>
      </c>
      <c r="AX12">
        <f>1/(1+AX11)^AX3</f>
        <v/>
      </c>
      <c r="AY12">
        <f>1/(1+AY11)^AY3</f>
        <v/>
      </c>
      <c r="AZ12">
        <f>1/(1+AZ11)^AZ3</f>
        <v/>
      </c>
      <c r="BA12">
        <f>1/(1+BA11)^BA3</f>
        <v/>
      </c>
      <c r="BB12">
        <f>1/(1+BB11)^BB3</f>
        <v/>
      </c>
      <c r="BC12">
        <f>1/(1+BC11)^BC3</f>
        <v/>
      </c>
      <c r="BD12">
        <f>1/(1+BD11)^BD3</f>
        <v/>
      </c>
      <c r="BE12">
        <f>1/(1+BE11)^BE3</f>
        <v/>
      </c>
      <c r="BF12">
        <f>1/(1+BF11)^BF3</f>
        <v/>
      </c>
      <c r="BG12">
        <f>1/(1+BG11)^BG3</f>
        <v/>
      </c>
      <c r="BH12">
        <f>1/(1+BH11)^BH3</f>
        <v/>
      </c>
      <c r="BI12">
        <f>1/(1+BI11)^BI3</f>
        <v/>
      </c>
      <c r="BJ12">
        <f>1/(1+BJ11)^BJ3</f>
        <v/>
      </c>
      <c r="BK12">
        <f>1/(1+BK11)^BK3</f>
        <v/>
      </c>
      <c r="BL12">
        <f>1/(1+BL11)^BL3</f>
        <v/>
      </c>
      <c r="BM12">
        <f>1/(1+BM11)^BM3</f>
        <v/>
      </c>
      <c r="BN12">
        <f>1/(1+BN11)^BN3</f>
        <v/>
      </c>
      <c r="BO12">
        <f>1/(1+BO11)^BO3</f>
        <v/>
      </c>
      <c r="BP12">
        <f>1/(1+BP11)^BP3</f>
        <v/>
      </c>
      <c r="BQ12">
        <f>1/(1+BQ11)^BQ3</f>
        <v/>
      </c>
      <c r="BR12">
        <f>1/(1+BR11)^BR3</f>
        <v/>
      </c>
      <c r="BS12">
        <f>1/(1+BS11)^BS3</f>
        <v/>
      </c>
      <c r="BT12">
        <f>1/(1+BT11)^BT3</f>
        <v/>
      </c>
      <c r="BU12">
        <f>1/(1+BU11)^BU3</f>
        <v/>
      </c>
      <c r="BV12">
        <f>1/(1+BV11)^BV3</f>
        <v/>
      </c>
      <c r="BW12">
        <f>1/(1+BW11)^BW3</f>
        <v/>
      </c>
      <c r="BX12">
        <f>1/(1+BX11)^BX3</f>
        <v/>
      </c>
      <c r="BY12">
        <f>1/(1+BY11)^BY3</f>
        <v/>
      </c>
      <c r="BZ12">
        <f>1/(1+BZ11)^BZ3</f>
        <v/>
      </c>
      <c r="CA12">
        <f>1/(1+CA11)^CA3</f>
        <v/>
      </c>
      <c r="CB12">
        <f>1/(1+CB11)^CB3</f>
        <v/>
      </c>
      <c r="CC12">
        <f>1/(1+CC11)^CC3</f>
        <v/>
      </c>
      <c r="CD12">
        <f>1/(1+CD11)^CD3</f>
        <v/>
      </c>
      <c r="CE12">
        <f>1/(1+CE11)^CE3</f>
        <v/>
      </c>
      <c r="CF12">
        <f>1/(1+CF11)^CF3</f>
        <v/>
      </c>
      <c r="CG12">
        <f>1/(1+CG11)^CG3</f>
        <v/>
      </c>
      <c r="CH12">
        <f>1/(1+CH11)^CH3</f>
        <v/>
      </c>
      <c r="CI12">
        <f>1/(1+CI11)^CI3</f>
        <v/>
      </c>
      <c r="CJ12">
        <f>1/(1+CJ11)^CJ3</f>
        <v/>
      </c>
      <c r="CK12">
        <f>1/(1+CK11)^CK3</f>
        <v/>
      </c>
      <c r="CL12">
        <f>1/(1+CL11)^CL3</f>
        <v/>
      </c>
      <c r="CM12">
        <f>1/(1+CM11)^CM3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CAPEX &amp; CONSTRUCTION DRAWDOWN</t>
        </is>
      </c>
    </row>
    <row r="3">
      <c r="A3" s="3" t="inlineStr">
        <is>
          <t>Capex Draw (Total)</t>
        </is>
      </c>
      <c r="C3" t="inlineStr">
        <is>
          <t>$</t>
        </is>
      </c>
      <c r="D3">
        <f>IF(Control!D6=1,TotalCapex/(ConstructionYears*4),0)</f>
        <v/>
      </c>
      <c r="E3">
        <f>IF(Control!E6=1,TotalCapex/(ConstructionYears*4),0)</f>
        <v/>
      </c>
      <c r="F3">
        <f>IF(Control!F6=1,TotalCapex/(ConstructionYears*4),0)</f>
        <v/>
      </c>
      <c r="G3">
        <f>IF(Control!G6=1,TotalCapex/(ConstructionYears*4),0)</f>
        <v/>
      </c>
      <c r="H3">
        <f>IF(Control!H6=1,TotalCapex/(ConstructionYears*4),0)</f>
        <v/>
      </c>
      <c r="I3">
        <f>IF(Control!I6=1,TotalCapex/(ConstructionYears*4),0)</f>
        <v/>
      </c>
      <c r="J3">
        <f>IF(Control!J6=1,TotalCapex/(ConstructionYears*4),0)</f>
        <v/>
      </c>
      <c r="K3">
        <f>IF(Control!K6=1,TotalCapex/(ConstructionYears*4),0)</f>
        <v/>
      </c>
      <c r="L3">
        <f>IF(Control!L6=1,TotalCapex/(ConstructionYears*4),0)</f>
        <v/>
      </c>
      <c r="M3">
        <f>IF(Control!M6=1,TotalCapex/(ConstructionYears*4),0)</f>
        <v/>
      </c>
      <c r="N3">
        <f>IF(Control!N6=1,TotalCapex/(ConstructionYears*4),0)</f>
        <v/>
      </c>
      <c r="O3">
        <f>IF(Control!O6=1,TotalCapex/(ConstructionYears*4),0)</f>
        <v/>
      </c>
      <c r="P3">
        <f>IF(Control!P6=1,TotalCapex/(ConstructionYears*4),0)</f>
        <v/>
      </c>
      <c r="Q3">
        <f>IF(Control!Q6=1,TotalCapex/(ConstructionYears*4),0)</f>
        <v/>
      </c>
      <c r="R3">
        <f>IF(Control!R6=1,TotalCapex/(ConstructionYears*4),0)</f>
        <v/>
      </c>
      <c r="S3">
        <f>IF(Control!S6=1,TotalCapex/(ConstructionYears*4),0)</f>
        <v/>
      </c>
      <c r="T3">
        <f>IF(Control!T6=1,TotalCapex/(ConstructionYears*4),0)</f>
        <v/>
      </c>
      <c r="U3">
        <f>IF(Control!U6=1,TotalCapex/(ConstructionYears*4),0)</f>
        <v/>
      </c>
      <c r="V3">
        <f>IF(Control!V6=1,TotalCapex/(ConstructionYears*4),0)</f>
        <v/>
      </c>
      <c r="W3">
        <f>IF(Control!W6=1,TotalCapex/(ConstructionYears*4),0)</f>
        <v/>
      </c>
      <c r="X3">
        <f>IF(Control!X6=1,TotalCapex/(ConstructionYears*4),0)</f>
        <v/>
      </c>
      <c r="Y3">
        <f>IF(Control!Y6=1,TotalCapex/(ConstructionYears*4),0)</f>
        <v/>
      </c>
      <c r="Z3">
        <f>IF(Control!Z6=1,TotalCapex/(ConstructionYears*4),0)</f>
        <v/>
      </c>
      <c r="AA3">
        <f>IF(Control!AA6=1,TotalCapex/(ConstructionYears*4),0)</f>
        <v/>
      </c>
      <c r="AB3">
        <f>IF(Control!AB6=1,TotalCapex/(ConstructionYears*4),0)</f>
        <v/>
      </c>
      <c r="AC3">
        <f>IF(Control!AC6=1,TotalCapex/(ConstructionYears*4),0)</f>
        <v/>
      </c>
      <c r="AD3">
        <f>IF(Control!AD6=1,TotalCapex/(ConstructionYears*4),0)</f>
        <v/>
      </c>
      <c r="AE3">
        <f>IF(Control!AE6=1,TotalCapex/(ConstructionYears*4),0)</f>
        <v/>
      </c>
      <c r="AF3">
        <f>IF(Control!AF6=1,TotalCapex/(ConstructionYears*4),0)</f>
        <v/>
      </c>
      <c r="AG3">
        <f>IF(Control!AG6=1,TotalCapex/(ConstructionYears*4),0)</f>
        <v/>
      </c>
      <c r="AH3">
        <f>IF(Control!AH6=1,TotalCapex/(ConstructionYears*4),0)</f>
        <v/>
      </c>
      <c r="AI3">
        <f>IF(Control!AI6=1,TotalCapex/(ConstructionYears*4),0)</f>
        <v/>
      </c>
      <c r="AJ3">
        <f>IF(Control!AJ6=1,TotalCapex/(ConstructionYears*4),0)</f>
        <v/>
      </c>
      <c r="AK3">
        <f>IF(Control!AK6=1,TotalCapex/(ConstructionYears*4),0)</f>
        <v/>
      </c>
      <c r="AL3">
        <f>IF(Control!AL6=1,TotalCapex/(ConstructionYears*4),0)</f>
        <v/>
      </c>
      <c r="AM3">
        <f>IF(Control!AM6=1,TotalCapex/(ConstructionYears*4),0)</f>
        <v/>
      </c>
      <c r="AN3">
        <f>IF(Control!AN6=1,TotalCapex/(ConstructionYears*4),0)</f>
        <v/>
      </c>
      <c r="AO3">
        <f>IF(Control!AO6=1,TotalCapex/(ConstructionYears*4),0)</f>
        <v/>
      </c>
      <c r="AP3">
        <f>IF(Control!AP6=1,TotalCapex/(ConstructionYears*4),0)</f>
        <v/>
      </c>
      <c r="AQ3">
        <f>IF(Control!AQ6=1,TotalCapex/(ConstructionYears*4),0)</f>
        <v/>
      </c>
      <c r="AR3">
        <f>IF(Control!AR6=1,TotalCapex/(ConstructionYears*4),0)</f>
        <v/>
      </c>
      <c r="AS3">
        <f>IF(Control!AS6=1,TotalCapex/(ConstructionYears*4),0)</f>
        <v/>
      </c>
      <c r="AT3">
        <f>IF(Control!AT6=1,TotalCapex/(ConstructionYears*4),0)</f>
        <v/>
      </c>
      <c r="AU3">
        <f>IF(Control!AU6=1,TotalCapex/(ConstructionYears*4),0)</f>
        <v/>
      </c>
      <c r="AV3">
        <f>IF(Control!AV6=1,TotalCapex/(ConstructionYears*4),0)</f>
        <v/>
      </c>
      <c r="AW3">
        <f>IF(Control!AW6=1,TotalCapex/(ConstructionYears*4),0)</f>
        <v/>
      </c>
      <c r="AX3">
        <f>IF(Control!AX6=1,TotalCapex/(ConstructionYears*4),0)</f>
        <v/>
      </c>
      <c r="AY3">
        <f>IF(Control!AY6=1,TotalCapex/(ConstructionYears*4),0)</f>
        <v/>
      </c>
      <c r="AZ3">
        <f>IF(Control!AZ6=1,TotalCapex/(ConstructionYears*4),0)</f>
        <v/>
      </c>
      <c r="BA3">
        <f>IF(Control!BA6=1,TotalCapex/(ConstructionYears*4),0)</f>
        <v/>
      </c>
      <c r="BB3">
        <f>IF(Control!BB6=1,TotalCapex/(ConstructionYears*4),0)</f>
        <v/>
      </c>
      <c r="BC3">
        <f>IF(Control!BC6=1,TotalCapex/(ConstructionYears*4),0)</f>
        <v/>
      </c>
      <c r="BD3">
        <f>IF(Control!BD6=1,TotalCapex/(ConstructionYears*4),0)</f>
        <v/>
      </c>
      <c r="BE3">
        <f>IF(Control!BE6=1,TotalCapex/(ConstructionYears*4),0)</f>
        <v/>
      </c>
      <c r="BF3">
        <f>IF(Control!BF6=1,TotalCapex/(ConstructionYears*4),0)</f>
        <v/>
      </c>
      <c r="BG3">
        <f>IF(Control!BG6=1,TotalCapex/(ConstructionYears*4),0)</f>
        <v/>
      </c>
      <c r="BH3">
        <f>IF(Control!BH6=1,TotalCapex/(ConstructionYears*4),0)</f>
        <v/>
      </c>
      <c r="BI3">
        <f>IF(Control!BI6=1,TotalCapex/(ConstructionYears*4),0)</f>
        <v/>
      </c>
      <c r="BJ3">
        <f>IF(Control!BJ6=1,TotalCapex/(ConstructionYears*4),0)</f>
        <v/>
      </c>
      <c r="BK3">
        <f>IF(Control!BK6=1,TotalCapex/(ConstructionYears*4),0)</f>
        <v/>
      </c>
      <c r="BL3">
        <f>IF(Control!BL6=1,TotalCapex/(ConstructionYears*4),0)</f>
        <v/>
      </c>
      <c r="BM3">
        <f>IF(Control!BM6=1,TotalCapex/(ConstructionYears*4),0)</f>
        <v/>
      </c>
      <c r="BN3">
        <f>IF(Control!BN6=1,TotalCapex/(ConstructionYears*4),0)</f>
        <v/>
      </c>
      <c r="BO3">
        <f>IF(Control!BO6=1,TotalCapex/(ConstructionYears*4),0)</f>
        <v/>
      </c>
      <c r="BP3">
        <f>IF(Control!BP6=1,TotalCapex/(ConstructionYears*4),0)</f>
        <v/>
      </c>
      <c r="BQ3">
        <f>IF(Control!BQ6=1,TotalCapex/(ConstructionYears*4),0)</f>
        <v/>
      </c>
      <c r="BR3">
        <f>IF(Control!BR6=1,TotalCapex/(ConstructionYears*4),0)</f>
        <v/>
      </c>
      <c r="BS3">
        <f>IF(Control!BS6=1,TotalCapex/(ConstructionYears*4),0)</f>
        <v/>
      </c>
      <c r="BT3">
        <f>IF(Control!BT6=1,TotalCapex/(ConstructionYears*4),0)</f>
        <v/>
      </c>
      <c r="BU3">
        <f>IF(Control!BU6=1,TotalCapex/(ConstructionYears*4),0)</f>
        <v/>
      </c>
      <c r="BV3">
        <f>IF(Control!BV6=1,TotalCapex/(ConstructionYears*4),0)</f>
        <v/>
      </c>
      <c r="BW3">
        <f>IF(Control!BW6=1,TotalCapex/(ConstructionYears*4),0)</f>
        <v/>
      </c>
      <c r="BX3">
        <f>IF(Control!BX6=1,TotalCapex/(ConstructionYears*4),0)</f>
        <v/>
      </c>
      <c r="BY3">
        <f>IF(Control!BY6=1,TotalCapex/(ConstructionYears*4),0)</f>
        <v/>
      </c>
      <c r="BZ3">
        <f>IF(Control!BZ6=1,TotalCapex/(ConstructionYears*4),0)</f>
        <v/>
      </c>
      <c r="CA3">
        <f>IF(Control!CA6=1,TotalCapex/(ConstructionYears*4),0)</f>
        <v/>
      </c>
      <c r="CB3">
        <f>IF(Control!CB6=1,TotalCapex/(ConstructionYears*4),0)</f>
        <v/>
      </c>
      <c r="CC3">
        <f>IF(Control!CC6=1,TotalCapex/(ConstructionYears*4),0)</f>
        <v/>
      </c>
      <c r="CD3">
        <f>IF(Control!CD6=1,TotalCapex/(ConstructionYears*4),0)</f>
        <v/>
      </c>
      <c r="CE3">
        <f>IF(Control!CE6=1,TotalCapex/(ConstructionYears*4),0)</f>
        <v/>
      </c>
      <c r="CF3">
        <f>IF(Control!CF6=1,TotalCapex/(ConstructionYears*4),0)</f>
        <v/>
      </c>
      <c r="CG3">
        <f>IF(Control!CG6=1,TotalCapex/(ConstructionYears*4),0)</f>
        <v/>
      </c>
      <c r="CH3">
        <f>IF(Control!CH6=1,TotalCapex/(ConstructionYears*4),0)</f>
        <v/>
      </c>
      <c r="CI3">
        <f>IF(Control!CI6=1,TotalCapex/(ConstructionYears*4),0)</f>
        <v/>
      </c>
      <c r="CJ3">
        <f>IF(Control!CJ6=1,TotalCapex/(ConstructionYears*4),0)</f>
        <v/>
      </c>
      <c r="CK3">
        <f>IF(Control!CK6=1,TotalCapex/(ConstructionYears*4),0)</f>
        <v/>
      </c>
      <c r="CL3">
        <f>IF(Control!CL6=1,TotalCapex/(ConstructionYears*4),0)</f>
        <v/>
      </c>
      <c r="CM3">
        <f>IF(Control!CM6=1,TotalCapex/(ConstructionYears*4),0)</f>
        <v/>
      </c>
    </row>
    <row r="4">
      <c r="A4" s="3" t="inlineStr">
        <is>
          <t>Debt Draw for Capex (D_t)</t>
        </is>
      </c>
      <c r="C4" t="inlineStr">
        <is>
          <t>$</t>
        </is>
      </c>
      <c r="D4">
        <f>D3*ConstructionGearingPct</f>
        <v/>
      </c>
      <c r="E4">
        <f>E3*ConstructionGearingPct</f>
        <v/>
      </c>
      <c r="F4">
        <f>F3*ConstructionGearingPct</f>
        <v/>
      </c>
      <c r="G4">
        <f>G3*ConstructionGearingPct</f>
        <v/>
      </c>
      <c r="H4">
        <f>H3*ConstructionGearingPct</f>
        <v/>
      </c>
      <c r="I4">
        <f>I3*ConstructionGearingPct</f>
        <v/>
      </c>
      <c r="J4">
        <f>J3*ConstructionGearingPct</f>
        <v/>
      </c>
      <c r="K4">
        <f>K3*ConstructionGearingPct</f>
        <v/>
      </c>
      <c r="L4">
        <f>L3*ConstructionGearingPct</f>
        <v/>
      </c>
      <c r="M4">
        <f>M3*ConstructionGearingPct</f>
        <v/>
      </c>
      <c r="N4">
        <f>N3*ConstructionGearingPct</f>
        <v/>
      </c>
      <c r="O4">
        <f>O3*ConstructionGearingPct</f>
        <v/>
      </c>
      <c r="P4">
        <f>P3*ConstructionGearingPct</f>
        <v/>
      </c>
      <c r="Q4">
        <f>Q3*ConstructionGearingPct</f>
        <v/>
      </c>
      <c r="R4">
        <f>R3*ConstructionGearingPct</f>
        <v/>
      </c>
      <c r="S4">
        <f>S3*ConstructionGearingPct</f>
        <v/>
      </c>
      <c r="T4">
        <f>T3*ConstructionGearingPct</f>
        <v/>
      </c>
      <c r="U4">
        <f>U3*ConstructionGearingPct</f>
        <v/>
      </c>
      <c r="V4">
        <f>V3*ConstructionGearingPct</f>
        <v/>
      </c>
      <c r="W4">
        <f>W3*ConstructionGearingPct</f>
        <v/>
      </c>
      <c r="X4">
        <f>X3*ConstructionGearingPct</f>
        <v/>
      </c>
      <c r="Y4">
        <f>Y3*ConstructionGearingPct</f>
        <v/>
      </c>
      <c r="Z4">
        <f>Z3*ConstructionGearingPct</f>
        <v/>
      </c>
      <c r="AA4">
        <f>AA3*ConstructionGearingPct</f>
        <v/>
      </c>
      <c r="AB4">
        <f>AB3*ConstructionGearingPct</f>
        <v/>
      </c>
      <c r="AC4">
        <f>AC3*ConstructionGearingPct</f>
        <v/>
      </c>
      <c r="AD4">
        <f>AD3*ConstructionGearingPct</f>
        <v/>
      </c>
      <c r="AE4">
        <f>AE3*ConstructionGearingPct</f>
        <v/>
      </c>
      <c r="AF4">
        <f>AF3*ConstructionGearingPct</f>
        <v/>
      </c>
      <c r="AG4">
        <f>AG3*ConstructionGearingPct</f>
        <v/>
      </c>
      <c r="AH4">
        <f>AH3*ConstructionGearingPct</f>
        <v/>
      </c>
      <c r="AI4">
        <f>AI3*ConstructionGearingPct</f>
        <v/>
      </c>
      <c r="AJ4">
        <f>AJ3*ConstructionGearingPct</f>
        <v/>
      </c>
      <c r="AK4">
        <f>AK3*ConstructionGearingPct</f>
        <v/>
      </c>
      <c r="AL4">
        <f>AL3*ConstructionGearingPct</f>
        <v/>
      </c>
      <c r="AM4">
        <f>AM3*ConstructionGearingPct</f>
        <v/>
      </c>
      <c r="AN4">
        <f>AN3*ConstructionGearingPct</f>
        <v/>
      </c>
      <c r="AO4">
        <f>AO3*ConstructionGearingPct</f>
        <v/>
      </c>
      <c r="AP4">
        <f>AP3*ConstructionGearingPct</f>
        <v/>
      </c>
      <c r="AQ4">
        <f>AQ3*ConstructionGearingPct</f>
        <v/>
      </c>
      <c r="AR4">
        <f>AR3*ConstructionGearingPct</f>
        <v/>
      </c>
      <c r="AS4">
        <f>AS3*ConstructionGearingPct</f>
        <v/>
      </c>
      <c r="AT4">
        <f>AT3*ConstructionGearingPct</f>
        <v/>
      </c>
      <c r="AU4">
        <f>AU3*ConstructionGearingPct</f>
        <v/>
      </c>
      <c r="AV4">
        <f>AV3*ConstructionGearingPct</f>
        <v/>
      </c>
      <c r="AW4">
        <f>AW3*ConstructionGearingPct</f>
        <v/>
      </c>
      <c r="AX4">
        <f>AX3*ConstructionGearingPct</f>
        <v/>
      </c>
      <c r="AY4">
        <f>AY3*ConstructionGearingPct</f>
        <v/>
      </c>
      <c r="AZ4">
        <f>AZ3*ConstructionGearingPct</f>
        <v/>
      </c>
      <c r="BA4">
        <f>BA3*ConstructionGearingPct</f>
        <v/>
      </c>
      <c r="BB4">
        <f>BB3*ConstructionGearingPct</f>
        <v/>
      </c>
      <c r="BC4">
        <f>BC3*ConstructionGearingPct</f>
        <v/>
      </c>
      <c r="BD4">
        <f>BD3*ConstructionGearingPct</f>
        <v/>
      </c>
      <c r="BE4">
        <f>BE3*ConstructionGearingPct</f>
        <v/>
      </c>
      <c r="BF4">
        <f>BF3*ConstructionGearingPct</f>
        <v/>
      </c>
      <c r="BG4">
        <f>BG3*ConstructionGearingPct</f>
        <v/>
      </c>
      <c r="BH4">
        <f>BH3*ConstructionGearingPct</f>
        <v/>
      </c>
      <c r="BI4">
        <f>BI3*ConstructionGearingPct</f>
        <v/>
      </c>
      <c r="BJ4">
        <f>BJ3*ConstructionGearingPct</f>
        <v/>
      </c>
      <c r="BK4">
        <f>BK3*ConstructionGearingPct</f>
        <v/>
      </c>
      <c r="BL4">
        <f>BL3*ConstructionGearingPct</f>
        <v/>
      </c>
      <c r="BM4">
        <f>BM3*ConstructionGearingPct</f>
        <v/>
      </c>
      <c r="BN4">
        <f>BN3*ConstructionGearingPct</f>
        <v/>
      </c>
      <c r="BO4">
        <f>BO3*ConstructionGearingPct</f>
        <v/>
      </c>
      <c r="BP4">
        <f>BP3*ConstructionGearingPct</f>
        <v/>
      </c>
      <c r="BQ4">
        <f>BQ3*ConstructionGearingPct</f>
        <v/>
      </c>
      <c r="BR4">
        <f>BR3*ConstructionGearingPct</f>
        <v/>
      </c>
      <c r="BS4">
        <f>BS3*ConstructionGearingPct</f>
        <v/>
      </c>
      <c r="BT4">
        <f>BT3*ConstructionGearingPct</f>
        <v/>
      </c>
      <c r="BU4">
        <f>BU3*ConstructionGearingPct</f>
        <v/>
      </c>
      <c r="BV4">
        <f>BV3*ConstructionGearingPct</f>
        <v/>
      </c>
      <c r="BW4">
        <f>BW3*ConstructionGearingPct</f>
        <v/>
      </c>
      <c r="BX4">
        <f>BX3*ConstructionGearingPct</f>
        <v/>
      </c>
      <c r="BY4">
        <f>BY3*ConstructionGearingPct</f>
        <v/>
      </c>
      <c r="BZ4">
        <f>BZ3*ConstructionGearingPct</f>
        <v/>
      </c>
      <c r="CA4">
        <f>CA3*ConstructionGearingPct</f>
        <v/>
      </c>
      <c r="CB4">
        <f>CB3*ConstructionGearingPct</f>
        <v/>
      </c>
      <c r="CC4">
        <f>CC3*ConstructionGearingPct</f>
        <v/>
      </c>
      <c r="CD4">
        <f>CD3*ConstructionGearingPct</f>
        <v/>
      </c>
      <c r="CE4">
        <f>CE3*ConstructionGearingPct</f>
        <v/>
      </c>
      <c r="CF4">
        <f>CF3*ConstructionGearingPct</f>
        <v/>
      </c>
      <c r="CG4">
        <f>CG3*ConstructionGearingPct</f>
        <v/>
      </c>
      <c r="CH4">
        <f>CH3*ConstructionGearingPct</f>
        <v/>
      </c>
      <c r="CI4">
        <f>CI3*ConstructionGearingPct</f>
        <v/>
      </c>
      <c r="CJ4">
        <f>CJ3*ConstructionGearingPct</f>
        <v/>
      </c>
      <c r="CK4">
        <f>CK3*ConstructionGearingPct</f>
        <v/>
      </c>
      <c r="CL4">
        <f>CL3*ConstructionGearingPct</f>
        <v/>
      </c>
      <c r="CM4">
        <f>CM3*ConstructionGearingPct</f>
        <v/>
      </c>
    </row>
    <row r="5">
      <c r="A5" s="3" t="inlineStr">
        <is>
          <t>Equity Draw for Capex</t>
        </is>
      </c>
      <c r="C5" t="inlineStr">
        <is>
          <t>$</t>
        </is>
      </c>
      <c r="D5">
        <f>D3*(1-ConstructionGearingPct)</f>
        <v/>
      </c>
      <c r="E5">
        <f>E3*(1-ConstructionGearingPct)</f>
        <v/>
      </c>
      <c r="F5">
        <f>F3*(1-ConstructionGearingPct)</f>
        <v/>
      </c>
      <c r="G5">
        <f>G3*(1-ConstructionGearingPct)</f>
        <v/>
      </c>
      <c r="H5">
        <f>H3*(1-ConstructionGearingPct)</f>
        <v/>
      </c>
      <c r="I5">
        <f>I3*(1-ConstructionGearingPct)</f>
        <v/>
      </c>
      <c r="J5">
        <f>J3*(1-ConstructionGearingPct)</f>
        <v/>
      </c>
      <c r="K5">
        <f>K3*(1-ConstructionGearingPct)</f>
        <v/>
      </c>
      <c r="L5">
        <f>L3*(1-ConstructionGearingPct)</f>
        <v/>
      </c>
      <c r="M5">
        <f>M3*(1-ConstructionGearingPct)</f>
        <v/>
      </c>
      <c r="N5">
        <f>N3*(1-ConstructionGearingPct)</f>
        <v/>
      </c>
      <c r="O5">
        <f>O3*(1-ConstructionGearingPct)</f>
        <v/>
      </c>
      <c r="P5">
        <f>P3*(1-ConstructionGearingPct)</f>
        <v/>
      </c>
      <c r="Q5">
        <f>Q3*(1-ConstructionGearingPct)</f>
        <v/>
      </c>
      <c r="R5">
        <f>R3*(1-ConstructionGearingPct)</f>
        <v/>
      </c>
      <c r="S5">
        <f>S3*(1-ConstructionGearingPct)</f>
        <v/>
      </c>
      <c r="T5">
        <f>T3*(1-ConstructionGearingPct)</f>
        <v/>
      </c>
      <c r="U5">
        <f>U3*(1-ConstructionGearingPct)</f>
        <v/>
      </c>
      <c r="V5">
        <f>V3*(1-ConstructionGearingPct)</f>
        <v/>
      </c>
      <c r="W5">
        <f>W3*(1-ConstructionGearingPct)</f>
        <v/>
      </c>
      <c r="X5">
        <f>X3*(1-ConstructionGearingPct)</f>
        <v/>
      </c>
      <c r="Y5">
        <f>Y3*(1-ConstructionGearingPct)</f>
        <v/>
      </c>
      <c r="Z5">
        <f>Z3*(1-ConstructionGearingPct)</f>
        <v/>
      </c>
      <c r="AA5">
        <f>AA3*(1-ConstructionGearingPct)</f>
        <v/>
      </c>
      <c r="AB5">
        <f>AB3*(1-ConstructionGearingPct)</f>
        <v/>
      </c>
      <c r="AC5">
        <f>AC3*(1-ConstructionGearingPct)</f>
        <v/>
      </c>
      <c r="AD5">
        <f>AD3*(1-ConstructionGearingPct)</f>
        <v/>
      </c>
      <c r="AE5">
        <f>AE3*(1-ConstructionGearingPct)</f>
        <v/>
      </c>
      <c r="AF5">
        <f>AF3*(1-ConstructionGearingPct)</f>
        <v/>
      </c>
      <c r="AG5">
        <f>AG3*(1-ConstructionGearingPct)</f>
        <v/>
      </c>
      <c r="AH5">
        <f>AH3*(1-ConstructionGearingPct)</f>
        <v/>
      </c>
      <c r="AI5">
        <f>AI3*(1-ConstructionGearingPct)</f>
        <v/>
      </c>
      <c r="AJ5">
        <f>AJ3*(1-ConstructionGearingPct)</f>
        <v/>
      </c>
      <c r="AK5">
        <f>AK3*(1-ConstructionGearingPct)</f>
        <v/>
      </c>
      <c r="AL5">
        <f>AL3*(1-ConstructionGearingPct)</f>
        <v/>
      </c>
      <c r="AM5">
        <f>AM3*(1-ConstructionGearingPct)</f>
        <v/>
      </c>
      <c r="AN5">
        <f>AN3*(1-ConstructionGearingPct)</f>
        <v/>
      </c>
      <c r="AO5">
        <f>AO3*(1-ConstructionGearingPct)</f>
        <v/>
      </c>
      <c r="AP5">
        <f>AP3*(1-ConstructionGearingPct)</f>
        <v/>
      </c>
      <c r="AQ5">
        <f>AQ3*(1-ConstructionGearingPct)</f>
        <v/>
      </c>
      <c r="AR5">
        <f>AR3*(1-ConstructionGearingPct)</f>
        <v/>
      </c>
      <c r="AS5">
        <f>AS3*(1-ConstructionGearingPct)</f>
        <v/>
      </c>
      <c r="AT5">
        <f>AT3*(1-ConstructionGearingPct)</f>
        <v/>
      </c>
      <c r="AU5">
        <f>AU3*(1-ConstructionGearingPct)</f>
        <v/>
      </c>
      <c r="AV5">
        <f>AV3*(1-ConstructionGearingPct)</f>
        <v/>
      </c>
      <c r="AW5">
        <f>AW3*(1-ConstructionGearingPct)</f>
        <v/>
      </c>
      <c r="AX5">
        <f>AX3*(1-ConstructionGearingPct)</f>
        <v/>
      </c>
      <c r="AY5">
        <f>AY3*(1-ConstructionGearingPct)</f>
        <v/>
      </c>
      <c r="AZ5">
        <f>AZ3*(1-ConstructionGearingPct)</f>
        <v/>
      </c>
      <c r="BA5">
        <f>BA3*(1-ConstructionGearingPct)</f>
        <v/>
      </c>
      <c r="BB5">
        <f>BB3*(1-ConstructionGearingPct)</f>
        <v/>
      </c>
      <c r="BC5">
        <f>BC3*(1-ConstructionGearingPct)</f>
        <v/>
      </c>
      <c r="BD5">
        <f>BD3*(1-ConstructionGearingPct)</f>
        <v/>
      </c>
      <c r="BE5">
        <f>BE3*(1-ConstructionGearingPct)</f>
        <v/>
      </c>
      <c r="BF5">
        <f>BF3*(1-ConstructionGearingPct)</f>
        <v/>
      </c>
      <c r="BG5">
        <f>BG3*(1-ConstructionGearingPct)</f>
        <v/>
      </c>
      <c r="BH5">
        <f>BH3*(1-ConstructionGearingPct)</f>
        <v/>
      </c>
      <c r="BI5">
        <f>BI3*(1-ConstructionGearingPct)</f>
        <v/>
      </c>
      <c r="BJ5">
        <f>BJ3*(1-ConstructionGearingPct)</f>
        <v/>
      </c>
      <c r="BK5">
        <f>BK3*(1-ConstructionGearingPct)</f>
        <v/>
      </c>
      <c r="BL5">
        <f>BL3*(1-ConstructionGearingPct)</f>
        <v/>
      </c>
      <c r="BM5">
        <f>BM3*(1-ConstructionGearingPct)</f>
        <v/>
      </c>
      <c r="BN5">
        <f>BN3*(1-ConstructionGearingPct)</f>
        <v/>
      </c>
      <c r="BO5">
        <f>BO3*(1-ConstructionGearingPct)</f>
        <v/>
      </c>
      <c r="BP5">
        <f>BP3*(1-ConstructionGearingPct)</f>
        <v/>
      </c>
      <c r="BQ5">
        <f>BQ3*(1-ConstructionGearingPct)</f>
        <v/>
      </c>
      <c r="BR5">
        <f>BR3*(1-ConstructionGearingPct)</f>
        <v/>
      </c>
      <c r="BS5">
        <f>BS3*(1-ConstructionGearingPct)</f>
        <v/>
      </c>
      <c r="BT5">
        <f>BT3*(1-ConstructionGearingPct)</f>
        <v/>
      </c>
      <c r="BU5">
        <f>BU3*(1-ConstructionGearingPct)</f>
        <v/>
      </c>
      <c r="BV5">
        <f>BV3*(1-ConstructionGearingPct)</f>
        <v/>
      </c>
      <c r="BW5">
        <f>BW3*(1-ConstructionGearingPct)</f>
        <v/>
      </c>
      <c r="BX5">
        <f>BX3*(1-ConstructionGearingPct)</f>
        <v/>
      </c>
      <c r="BY5">
        <f>BY3*(1-ConstructionGearingPct)</f>
        <v/>
      </c>
      <c r="BZ5">
        <f>BZ3*(1-ConstructionGearingPct)</f>
        <v/>
      </c>
      <c r="CA5">
        <f>CA3*(1-ConstructionGearingPct)</f>
        <v/>
      </c>
      <c r="CB5">
        <f>CB3*(1-ConstructionGearingPct)</f>
        <v/>
      </c>
      <c r="CC5">
        <f>CC3*(1-ConstructionGearingPct)</f>
        <v/>
      </c>
      <c r="CD5">
        <f>CD3*(1-ConstructionGearingPct)</f>
        <v/>
      </c>
      <c r="CE5">
        <f>CE3*(1-ConstructionGearingPct)</f>
        <v/>
      </c>
      <c r="CF5">
        <f>CF3*(1-ConstructionGearingPct)</f>
        <v/>
      </c>
      <c r="CG5">
        <f>CG3*(1-ConstructionGearingPct)</f>
        <v/>
      </c>
      <c r="CH5">
        <f>CH3*(1-ConstructionGearingPct)</f>
        <v/>
      </c>
      <c r="CI5">
        <f>CI3*(1-ConstructionGearingPct)</f>
        <v/>
      </c>
      <c r="CJ5">
        <f>CJ3*(1-ConstructionGearingPct)</f>
        <v/>
      </c>
      <c r="CK5">
        <f>CK3*(1-ConstructionGearingPct)</f>
        <v/>
      </c>
      <c r="CL5">
        <f>CL3*(1-ConstructionGearingPct)</f>
        <v/>
      </c>
      <c r="CM5">
        <f>CM3*(1-ConstructionGearingPct)</f>
        <v/>
      </c>
    </row>
    <row r="6">
      <c r="A6" s="3" t="inlineStr">
        <is>
          <t>Opening Debt Balance (B_t-1)</t>
        </is>
      </c>
      <c r="C6" t="inlineStr">
        <is>
          <t>$</t>
        </is>
      </c>
      <c r="D6" t="n">
        <v>0</v>
      </c>
      <c r="E6">
        <f>D10</f>
        <v/>
      </c>
      <c r="F6">
        <f>E10</f>
        <v/>
      </c>
      <c r="G6">
        <f>F10</f>
        <v/>
      </c>
      <c r="H6">
        <f>G10</f>
        <v/>
      </c>
      <c r="I6">
        <f>H10</f>
        <v/>
      </c>
      <c r="J6">
        <f>I10</f>
        <v/>
      </c>
      <c r="K6">
        <f>J10</f>
        <v/>
      </c>
      <c r="L6">
        <f>K10</f>
        <v/>
      </c>
      <c r="M6">
        <f>L10</f>
        <v/>
      </c>
      <c r="N6">
        <f>M10</f>
        <v/>
      </c>
      <c r="O6">
        <f>N10</f>
        <v/>
      </c>
      <c r="P6">
        <f>O10</f>
        <v/>
      </c>
      <c r="Q6">
        <f>P10</f>
        <v/>
      </c>
      <c r="R6">
        <f>Q10</f>
        <v/>
      </c>
      <c r="S6">
        <f>R10</f>
        <v/>
      </c>
      <c r="T6">
        <f>S10</f>
        <v/>
      </c>
      <c r="U6">
        <f>T10</f>
        <v/>
      </c>
      <c r="V6">
        <f>U10</f>
        <v/>
      </c>
      <c r="W6">
        <f>V10</f>
        <v/>
      </c>
      <c r="X6">
        <f>W10</f>
        <v/>
      </c>
      <c r="Y6">
        <f>X10</f>
        <v/>
      </c>
      <c r="Z6">
        <f>Y10</f>
        <v/>
      </c>
      <c r="AA6">
        <f>Z10</f>
        <v/>
      </c>
      <c r="AB6">
        <f>AA10</f>
        <v/>
      </c>
      <c r="AC6">
        <f>AB10</f>
        <v/>
      </c>
      <c r="AD6">
        <f>AC10</f>
        <v/>
      </c>
      <c r="AE6">
        <f>AD10</f>
        <v/>
      </c>
      <c r="AF6">
        <f>AE10</f>
        <v/>
      </c>
      <c r="AG6">
        <f>AF10</f>
        <v/>
      </c>
      <c r="AH6">
        <f>AG10</f>
        <v/>
      </c>
      <c r="AI6">
        <f>AH10</f>
        <v/>
      </c>
      <c r="AJ6">
        <f>AI10</f>
        <v/>
      </c>
      <c r="AK6">
        <f>AJ10</f>
        <v/>
      </c>
      <c r="AL6">
        <f>AK10</f>
        <v/>
      </c>
      <c r="AM6">
        <f>AL10</f>
        <v/>
      </c>
      <c r="AN6">
        <f>AM10</f>
        <v/>
      </c>
      <c r="AO6">
        <f>AN10</f>
        <v/>
      </c>
      <c r="AP6">
        <f>AO10</f>
        <v/>
      </c>
      <c r="AQ6">
        <f>AP10</f>
        <v/>
      </c>
      <c r="AR6">
        <f>AQ10</f>
        <v/>
      </c>
      <c r="AS6">
        <f>AR10</f>
        <v/>
      </c>
      <c r="AT6">
        <f>AS10</f>
        <v/>
      </c>
      <c r="AU6">
        <f>AT10</f>
        <v/>
      </c>
      <c r="AV6">
        <f>AU10</f>
        <v/>
      </c>
      <c r="AW6">
        <f>AV10</f>
        <v/>
      </c>
      <c r="AX6">
        <f>AW10</f>
        <v/>
      </c>
      <c r="AY6">
        <f>AX10</f>
        <v/>
      </c>
      <c r="AZ6">
        <f>AY10</f>
        <v/>
      </c>
      <c r="BA6">
        <f>AZ10</f>
        <v/>
      </c>
      <c r="BB6">
        <f>BA10</f>
        <v/>
      </c>
      <c r="BC6">
        <f>BB10</f>
        <v/>
      </c>
      <c r="BD6">
        <f>BC10</f>
        <v/>
      </c>
      <c r="BE6">
        <f>BD10</f>
        <v/>
      </c>
      <c r="BF6">
        <f>BE10</f>
        <v/>
      </c>
      <c r="BG6">
        <f>BF10</f>
        <v/>
      </c>
      <c r="BH6">
        <f>BG10</f>
        <v/>
      </c>
      <c r="BI6">
        <f>BH10</f>
        <v/>
      </c>
      <c r="BJ6">
        <f>BI10</f>
        <v/>
      </c>
      <c r="BK6">
        <f>BJ10</f>
        <v/>
      </c>
      <c r="BL6">
        <f>BK10</f>
        <v/>
      </c>
      <c r="BM6">
        <f>BL10</f>
        <v/>
      </c>
      <c r="BN6">
        <f>BM10</f>
        <v/>
      </c>
      <c r="BO6">
        <f>BN10</f>
        <v/>
      </c>
      <c r="BP6">
        <f>BO10</f>
        <v/>
      </c>
      <c r="BQ6">
        <f>BP10</f>
        <v/>
      </c>
      <c r="BR6">
        <f>BQ10</f>
        <v/>
      </c>
      <c r="BS6">
        <f>BR10</f>
        <v/>
      </c>
      <c r="BT6">
        <f>BS10</f>
        <v/>
      </c>
      <c r="BU6">
        <f>BT10</f>
        <v/>
      </c>
      <c r="BV6">
        <f>BU10</f>
        <v/>
      </c>
      <c r="BW6">
        <f>BV10</f>
        <v/>
      </c>
      <c r="BX6">
        <f>BW10</f>
        <v/>
      </c>
      <c r="BY6">
        <f>BX10</f>
        <v/>
      </c>
      <c r="BZ6">
        <f>BY10</f>
        <v/>
      </c>
      <c r="CA6">
        <f>BZ10</f>
        <v/>
      </c>
      <c r="CB6">
        <f>CA10</f>
        <v/>
      </c>
      <c r="CC6">
        <f>CB10</f>
        <v/>
      </c>
      <c r="CD6">
        <f>CC10</f>
        <v/>
      </c>
      <c r="CE6">
        <f>CD10</f>
        <v/>
      </c>
      <c r="CF6">
        <f>CE10</f>
        <v/>
      </c>
      <c r="CG6">
        <f>CF10</f>
        <v/>
      </c>
      <c r="CH6">
        <f>CG10</f>
        <v/>
      </c>
      <c r="CI6">
        <f>CH10</f>
        <v/>
      </c>
      <c r="CJ6">
        <f>CI10</f>
        <v/>
      </c>
      <c r="CK6">
        <f>CJ10</f>
        <v/>
      </c>
      <c r="CL6">
        <f>CK10</f>
        <v/>
      </c>
      <c r="CM6">
        <f>CL10</f>
        <v/>
      </c>
    </row>
    <row r="7">
      <c r="A7" s="3" t="inlineStr">
        <is>
          <t>Interest I_t (closed form)</t>
        </is>
      </c>
      <c r="C7" t="inlineStr">
        <is>
          <t>$</t>
        </is>
      </c>
      <c r="D7">
        <f>IF(IDCTimingConvention="EndPeriod",Control!D10*(D6+D4),(Control!D10*(D6+D4/2))/(1-Control!D10*(1-IDC_CashFundedPct_f)/2))</f>
        <v/>
      </c>
      <c r="E7">
        <f>IF(IDCTimingConvention="EndPeriod",Control!E10*(E6+E4),(Control!E10*(E6+E4/2))/(1-Control!E10*(1-IDC_CashFundedPct_f)/2))</f>
        <v/>
      </c>
      <c r="F7">
        <f>IF(IDCTimingConvention="EndPeriod",Control!F10*(F6+F4),(Control!F10*(F6+F4/2))/(1-Control!F10*(1-IDC_CashFundedPct_f)/2))</f>
        <v/>
      </c>
      <c r="G7">
        <f>IF(IDCTimingConvention="EndPeriod",Control!G10*(G6+G4),(Control!G10*(G6+G4/2))/(1-Control!G10*(1-IDC_CashFundedPct_f)/2))</f>
        <v/>
      </c>
      <c r="H7">
        <f>IF(IDCTimingConvention="EndPeriod",Control!H10*(H6+H4),(Control!H10*(H6+H4/2))/(1-Control!H10*(1-IDC_CashFundedPct_f)/2))</f>
        <v/>
      </c>
      <c r="I7">
        <f>IF(IDCTimingConvention="EndPeriod",Control!I10*(I6+I4),(Control!I10*(I6+I4/2))/(1-Control!I10*(1-IDC_CashFundedPct_f)/2))</f>
        <v/>
      </c>
      <c r="J7">
        <f>IF(IDCTimingConvention="EndPeriod",Control!J10*(J6+J4),(Control!J10*(J6+J4/2))/(1-Control!J10*(1-IDC_CashFundedPct_f)/2))</f>
        <v/>
      </c>
      <c r="K7">
        <f>IF(IDCTimingConvention="EndPeriod",Control!K10*(K6+K4),(Control!K10*(K6+K4/2))/(1-Control!K10*(1-IDC_CashFundedPct_f)/2))</f>
        <v/>
      </c>
      <c r="L7">
        <f>IF(IDCTimingConvention="EndPeriod",Control!L10*(L6+L4),(Control!L10*(L6+L4/2))/(1-Control!L10*(1-IDC_CashFundedPct_f)/2))</f>
        <v/>
      </c>
      <c r="M7">
        <f>IF(IDCTimingConvention="EndPeriod",Control!M10*(M6+M4),(Control!M10*(M6+M4/2))/(1-Control!M10*(1-IDC_CashFundedPct_f)/2))</f>
        <v/>
      </c>
      <c r="N7">
        <f>IF(IDCTimingConvention="EndPeriod",Control!N10*(N6+N4),(Control!N10*(N6+N4/2))/(1-Control!N10*(1-IDC_CashFundedPct_f)/2))</f>
        <v/>
      </c>
      <c r="O7">
        <f>IF(IDCTimingConvention="EndPeriod",Control!O10*(O6+O4),(Control!O10*(O6+O4/2))/(1-Control!O10*(1-IDC_CashFundedPct_f)/2))</f>
        <v/>
      </c>
      <c r="P7">
        <f>IF(IDCTimingConvention="EndPeriod",Control!P10*(P6+P4),(Control!P10*(P6+P4/2))/(1-Control!P10*(1-IDC_CashFundedPct_f)/2))</f>
        <v/>
      </c>
      <c r="Q7">
        <f>IF(IDCTimingConvention="EndPeriod",Control!Q10*(Q6+Q4),(Control!Q10*(Q6+Q4/2))/(1-Control!Q10*(1-IDC_CashFundedPct_f)/2))</f>
        <v/>
      </c>
      <c r="R7">
        <f>IF(IDCTimingConvention="EndPeriod",Control!R10*(R6+R4),(Control!R10*(R6+R4/2))/(1-Control!R10*(1-IDC_CashFundedPct_f)/2))</f>
        <v/>
      </c>
      <c r="S7">
        <f>IF(IDCTimingConvention="EndPeriod",Control!S10*(S6+S4),(Control!S10*(S6+S4/2))/(1-Control!S10*(1-IDC_CashFundedPct_f)/2))</f>
        <v/>
      </c>
      <c r="T7">
        <f>IF(IDCTimingConvention="EndPeriod",Control!T10*(T6+T4),(Control!T10*(T6+T4/2))/(1-Control!T10*(1-IDC_CashFundedPct_f)/2))</f>
        <v/>
      </c>
      <c r="U7">
        <f>IF(IDCTimingConvention="EndPeriod",Control!U10*(U6+U4),(Control!U10*(U6+U4/2))/(1-Control!U10*(1-IDC_CashFundedPct_f)/2))</f>
        <v/>
      </c>
      <c r="V7">
        <f>IF(IDCTimingConvention="EndPeriod",Control!V10*(V6+V4),(Control!V10*(V6+V4/2))/(1-Control!V10*(1-IDC_CashFundedPct_f)/2))</f>
        <v/>
      </c>
      <c r="W7">
        <f>IF(IDCTimingConvention="EndPeriod",Control!W10*(W6+W4),(Control!W10*(W6+W4/2))/(1-Control!W10*(1-IDC_CashFundedPct_f)/2))</f>
        <v/>
      </c>
      <c r="X7">
        <f>IF(IDCTimingConvention="EndPeriod",Control!X10*(X6+X4),(Control!X10*(X6+X4/2))/(1-Control!X10*(1-IDC_CashFundedPct_f)/2))</f>
        <v/>
      </c>
      <c r="Y7">
        <f>IF(IDCTimingConvention="EndPeriod",Control!Y10*(Y6+Y4),(Control!Y10*(Y6+Y4/2))/(1-Control!Y10*(1-IDC_CashFundedPct_f)/2))</f>
        <v/>
      </c>
      <c r="Z7">
        <f>IF(IDCTimingConvention="EndPeriod",Control!Z10*(Z6+Z4),(Control!Z10*(Z6+Z4/2))/(1-Control!Z10*(1-IDC_CashFundedPct_f)/2))</f>
        <v/>
      </c>
      <c r="AA7">
        <f>IF(IDCTimingConvention="EndPeriod",Control!AA10*(AA6+AA4),(Control!AA10*(AA6+AA4/2))/(1-Control!AA10*(1-IDC_CashFundedPct_f)/2))</f>
        <v/>
      </c>
      <c r="AB7">
        <f>IF(IDCTimingConvention="EndPeriod",Control!AB10*(AB6+AB4),(Control!AB10*(AB6+AB4/2))/(1-Control!AB10*(1-IDC_CashFundedPct_f)/2))</f>
        <v/>
      </c>
      <c r="AC7">
        <f>IF(IDCTimingConvention="EndPeriod",Control!AC10*(AC6+AC4),(Control!AC10*(AC6+AC4/2))/(1-Control!AC10*(1-IDC_CashFundedPct_f)/2))</f>
        <v/>
      </c>
      <c r="AD7">
        <f>IF(IDCTimingConvention="EndPeriod",Control!AD10*(AD6+AD4),(Control!AD10*(AD6+AD4/2))/(1-Control!AD10*(1-IDC_CashFundedPct_f)/2))</f>
        <v/>
      </c>
      <c r="AE7">
        <f>IF(IDCTimingConvention="EndPeriod",Control!AE10*(AE6+AE4),(Control!AE10*(AE6+AE4/2))/(1-Control!AE10*(1-IDC_CashFundedPct_f)/2))</f>
        <v/>
      </c>
      <c r="AF7">
        <f>IF(IDCTimingConvention="EndPeriod",Control!AF10*(AF6+AF4),(Control!AF10*(AF6+AF4/2))/(1-Control!AF10*(1-IDC_CashFundedPct_f)/2))</f>
        <v/>
      </c>
      <c r="AG7">
        <f>IF(IDCTimingConvention="EndPeriod",Control!AG10*(AG6+AG4),(Control!AG10*(AG6+AG4/2))/(1-Control!AG10*(1-IDC_CashFundedPct_f)/2))</f>
        <v/>
      </c>
      <c r="AH7">
        <f>IF(IDCTimingConvention="EndPeriod",Control!AH10*(AH6+AH4),(Control!AH10*(AH6+AH4/2))/(1-Control!AH10*(1-IDC_CashFundedPct_f)/2))</f>
        <v/>
      </c>
      <c r="AI7">
        <f>IF(IDCTimingConvention="EndPeriod",Control!AI10*(AI6+AI4),(Control!AI10*(AI6+AI4/2))/(1-Control!AI10*(1-IDC_CashFundedPct_f)/2))</f>
        <v/>
      </c>
      <c r="AJ7">
        <f>IF(IDCTimingConvention="EndPeriod",Control!AJ10*(AJ6+AJ4),(Control!AJ10*(AJ6+AJ4/2))/(1-Control!AJ10*(1-IDC_CashFundedPct_f)/2))</f>
        <v/>
      </c>
      <c r="AK7">
        <f>IF(IDCTimingConvention="EndPeriod",Control!AK10*(AK6+AK4),(Control!AK10*(AK6+AK4/2))/(1-Control!AK10*(1-IDC_CashFundedPct_f)/2))</f>
        <v/>
      </c>
      <c r="AL7">
        <f>IF(IDCTimingConvention="EndPeriod",Control!AL10*(AL6+AL4),(Control!AL10*(AL6+AL4/2))/(1-Control!AL10*(1-IDC_CashFundedPct_f)/2))</f>
        <v/>
      </c>
      <c r="AM7">
        <f>IF(IDCTimingConvention="EndPeriod",Control!AM10*(AM6+AM4),(Control!AM10*(AM6+AM4/2))/(1-Control!AM10*(1-IDC_CashFundedPct_f)/2))</f>
        <v/>
      </c>
      <c r="AN7">
        <f>IF(IDCTimingConvention="EndPeriod",Control!AN10*(AN6+AN4),(Control!AN10*(AN6+AN4/2))/(1-Control!AN10*(1-IDC_CashFundedPct_f)/2))</f>
        <v/>
      </c>
      <c r="AO7">
        <f>IF(IDCTimingConvention="EndPeriod",Control!AO10*(AO6+AO4),(Control!AO10*(AO6+AO4/2))/(1-Control!AO10*(1-IDC_CashFundedPct_f)/2))</f>
        <v/>
      </c>
      <c r="AP7">
        <f>IF(IDCTimingConvention="EndPeriod",Control!AP10*(AP6+AP4),(Control!AP10*(AP6+AP4/2))/(1-Control!AP10*(1-IDC_CashFundedPct_f)/2))</f>
        <v/>
      </c>
      <c r="AQ7">
        <f>IF(IDCTimingConvention="EndPeriod",Control!AQ10*(AQ6+AQ4),(Control!AQ10*(AQ6+AQ4/2))/(1-Control!AQ10*(1-IDC_CashFundedPct_f)/2))</f>
        <v/>
      </c>
      <c r="AR7">
        <f>IF(IDCTimingConvention="EndPeriod",Control!AR10*(AR6+AR4),(Control!AR10*(AR6+AR4/2))/(1-Control!AR10*(1-IDC_CashFundedPct_f)/2))</f>
        <v/>
      </c>
      <c r="AS7">
        <f>IF(IDCTimingConvention="EndPeriod",Control!AS10*(AS6+AS4),(Control!AS10*(AS6+AS4/2))/(1-Control!AS10*(1-IDC_CashFundedPct_f)/2))</f>
        <v/>
      </c>
      <c r="AT7">
        <f>IF(IDCTimingConvention="EndPeriod",Control!AT10*(AT6+AT4),(Control!AT10*(AT6+AT4/2))/(1-Control!AT10*(1-IDC_CashFundedPct_f)/2))</f>
        <v/>
      </c>
      <c r="AU7">
        <f>IF(IDCTimingConvention="EndPeriod",Control!AU10*(AU6+AU4),(Control!AU10*(AU6+AU4/2))/(1-Control!AU10*(1-IDC_CashFundedPct_f)/2))</f>
        <v/>
      </c>
      <c r="AV7">
        <f>IF(IDCTimingConvention="EndPeriod",Control!AV10*(AV6+AV4),(Control!AV10*(AV6+AV4/2))/(1-Control!AV10*(1-IDC_CashFundedPct_f)/2))</f>
        <v/>
      </c>
      <c r="AW7">
        <f>IF(IDCTimingConvention="EndPeriod",Control!AW10*(AW6+AW4),(Control!AW10*(AW6+AW4/2))/(1-Control!AW10*(1-IDC_CashFundedPct_f)/2))</f>
        <v/>
      </c>
      <c r="AX7">
        <f>IF(IDCTimingConvention="EndPeriod",Control!AX10*(AX6+AX4),(Control!AX10*(AX6+AX4/2))/(1-Control!AX10*(1-IDC_CashFundedPct_f)/2))</f>
        <v/>
      </c>
      <c r="AY7">
        <f>IF(IDCTimingConvention="EndPeriod",Control!AY10*(AY6+AY4),(Control!AY10*(AY6+AY4/2))/(1-Control!AY10*(1-IDC_CashFundedPct_f)/2))</f>
        <v/>
      </c>
      <c r="AZ7">
        <f>IF(IDCTimingConvention="EndPeriod",Control!AZ10*(AZ6+AZ4),(Control!AZ10*(AZ6+AZ4/2))/(1-Control!AZ10*(1-IDC_CashFundedPct_f)/2))</f>
        <v/>
      </c>
      <c r="BA7">
        <f>IF(IDCTimingConvention="EndPeriod",Control!BA10*(BA6+BA4),(Control!BA10*(BA6+BA4/2))/(1-Control!BA10*(1-IDC_CashFundedPct_f)/2))</f>
        <v/>
      </c>
      <c r="BB7">
        <f>IF(IDCTimingConvention="EndPeriod",Control!BB10*(BB6+BB4),(Control!BB10*(BB6+BB4/2))/(1-Control!BB10*(1-IDC_CashFundedPct_f)/2))</f>
        <v/>
      </c>
      <c r="BC7">
        <f>IF(IDCTimingConvention="EndPeriod",Control!BC10*(BC6+BC4),(Control!BC10*(BC6+BC4/2))/(1-Control!BC10*(1-IDC_CashFundedPct_f)/2))</f>
        <v/>
      </c>
      <c r="BD7">
        <f>IF(IDCTimingConvention="EndPeriod",Control!BD10*(BD6+BD4),(Control!BD10*(BD6+BD4/2))/(1-Control!BD10*(1-IDC_CashFundedPct_f)/2))</f>
        <v/>
      </c>
      <c r="BE7">
        <f>IF(IDCTimingConvention="EndPeriod",Control!BE10*(BE6+BE4),(Control!BE10*(BE6+BE4/2))/(1-Control!BE10*(1-IDC_CashFundedPct_f)/2))</f>
        <v/>
      </c>
      <c r="BF7">
        <f>IF(IDCTimingConvention="EndPeriod",Control!BF10*(BF6+BF4),(Control!BF10*(BF6+BF4/2))/(1-Control!BF10*(1-IDC_CashFundedPct_f)/2))</f>
        <v/>
      </c>
      <c r="BG7">
        <f>IF(IDCTimingConvention="EndPeriod",Control!BG10*(BG6+BG4),(Control!BG10*(BG6+BG4/2))/(1-Control!BG10*(1-IDC_CashFundedPct_f)/2))</f>
        <v/>
      </c>
      <c r="BH7">
        <f>IF(IDCTimingConvention="EndPeriod",Control!BH10*(BH6+BH4),(Control!BH10*(BH6+BH4/2))/(1-Control!BH10*(1-IDC_CashFundedPct_f)/2))</f>
        <v/>
      </c>
      <c r="BI7">
        <f>IF(IDCTimingConvention="EndPeriod",Control!BI10*(BI6+BI4),(Control!BI10*(BI6+BI4/2))/(1-Control!BI10*(1-IDC_CashFundedPct_f)/2))</f>
        <v/>
      </c>
      <c r="BJ7">
        <f>IF(IDCTimingConvention="EndPeriod",Control!BJ10*(BJ6+BJ4),(Control!BJ10*(BJ6+BJ4/2))/(1-Control!BJ10*(1-IDC_CashFundedPct_f)/2))</f>
        <v/>
      </c>
      <c r="BK7">
        <f>IF(IDCTimingConvention="EndPeriod",Control!BK10*(BK6+BK4),(Control!BK10*(BK6+BK4/2))/(1-Control!BK10*(1-IDC_CashFundedPct_f)/2))</f>
        <v/>
      </c>
      <c r="BL7">
        <f>IF(IDCTimingConvention="EndPeriod",Control!BL10*(BL6+BL4),(Control!BL10*(BL6+BL4/2))/(1-Control!BL10*(1-IDC_CashFundedPct_f)/2))</f>
        <v/>
      </c>
      <c r="BM7">
        <f>IF(IDCTimingConvention="EndPeriod",Control!BM10*(BM6+BM4),(Control!BM10*(BM6+BM4/2))/(1-Control!BM10*(1-IDC_CashFundedPct_f)/2))</f>
        <v/>
      </c>
      <c r="BN7">
        <f>IF(IDCTimingConvention="EndPeriod",Control!BN10*(BN6+BN4),(Control!BN10*(BN6+BN4/2))/(1-Control!BN10*(1-IDC_CashFundedPct_f)/2))</f>
        <v/>
      </c>
      <c r="BO7">
        <f>IF(IDCTimingConvention="EndPeriod",Control!BO10*(BO6+BO4),(Control!BO10*(BO6+BO4/2))/(1-Control!BO10*(1-IDC_CashFundedPct_f)/2))</f>
        <v/>
      </c>
      <c r="BP7">
        <f>IF(IDCTimingConvention="EndPeriod",Control!BP10*(BP6+BP4),(Control!BP10*(BP6+BP4/2))/(1-Control!BP10*(1-IDC_CashFundedPct_f)/2))</f>
        <v/>
      </c>
      <c r="BQ7">
        <f>IF(IDCTimingConvention="EndPeriod",Control!BQ10*(BQ6+BQ4),(Control!BQ10*(BQ6+BQ4/2))/(1-Control!BQ10*(1-IDC_CashFundedPct_f)/2))</f>
        <v/>
      </c>
      <c r="BR7">
        <f>IF(IDCTimingConvention="EndPeriod",Control!BR10*(BR6+BR4),(Control!BR10*(BR6+BR4/2))/(1-Control!BR10*(1-IDC_CashFundedPct_f)/2))</f>
        <v/>
      </c>
      <c r="BS7">
        <f>IF(IDCTimingConvention="EndPeriod",Control!BS10*(BS6+BS4),(Control!BS10*(BS6+BS4/2))/(1-Control!BS10*(1-IDC_CashFundedPct_f)/2))</f>
        <v/>
      </c>
      <c r="BT7">
        <f>IF(IDCTimingConvention="EndPeriod",Control!BT10*(BT6+BT4),(Control!BT10*(BT6+BT4/2))/(1-Control!BT10*(1-IDC_CashFundedPct_f)/2))</f>
        <v/>
      </c>
      <c r="BU7">
        <f>IF(IDCTimingConvention="EndPeriod",Control!BU10*(BU6+BU4),(Control!BU10*(BU6+BU4/2))/(1-Control!BU10*(1-IDC_CashFundedPct_f)/2))</f>
        <v/>
      </c>
      <c r="BV7">
        <f>IF(IDCTimingConvention="EndPeriod",Control!BV10*(BV6+BV4),(Control!BV10*(BV6+BV4/2))/(1-Control!BV10*(1-IDC_CashFundedPct_f)/2))</f>
        <v/>
      </c>
      <c r="BW7">
        <f>IF(IDCTimingConvention="EndPeriod",Control!BW10*(BW6+BW4),(Control!BW10*(BW6+BW4/2))/(1-Control!BW10*(1-IDC_CashFundedPct_f)/2))</f>
        <v/>
      </c>
      <c r="BX7">
        <f>IF(IDCTimingConvention="EndPeriod",Control!BX10*(BX6+BX4),(Control!BX10*(BX6+BX4/2))/(1-Control!BX10*(1-IDC_CashFundedPct_f)/2))</f>
        <v/>
      </c>
      <c r="BY7">
        <f>IF(IDCTimingConvention="EndPeriod",Control!BY10*(BY6+BY4),(Control!BY10*(BY6+BY4/2))/(1-Control!BY10*(1-IDC_CashFundedPct_f)/2))</f>
        <v/>
      </c>
      <c r="BZ7">
        <f>IF(IDCTimingConvention="EndPeriod",Control!BZ10*(BZ6+BZ4),(Control!BZ10*(BZ6+BZ4/2))/(1-Control!BZ10*(1-IDC_CashFundedPct_f)/2))</f>
        <v/>
      </c>
      <c r="CA7">
        <f>IF(IDCTimingConvention="EndPeriod",Control!CA10*(CA6+CA4),(Control!CA10*(CA6+CA4/2))/(1-Control!CA10*(1-IDC_CashFundedPct_f)/2))</f>
        <v/>
      </c>
      <c r="CB7">
        <f>IF(IDCTimingConvention="EndPeriod",Control!CB10*(CB6+CB4),(Control!CB10*(CB6+CB4/2))/(1-Control!CB10*(1-IDC_CashFundedPct_f)/2))</f>
        <v/>
      </c>
      <c r="CC7">
        <f>IF(IDCTimingConvention="EndPeriod",Control!CC10*(CC6+CC4),(Control!CC10*(CC6+CC4/2))/(1-Control!CC10*(1-IDC_CashFundedPct_f)/2))</f>
        <v/>
      </c>
      <c r="CD7">
        <f>IF(IDCTimingConvention="EndPeriod",Control!CD10*(CD6+CD4),(Control!CD10*(CD6+CD4/2))/(1-Control!CD10*(1-IDC_CashFundedPct_f)/2))</f>
        <v/>
      </c>
      <c r="CE7">
        <f>IF(IDCTimingConvention="EndPeriod",Control!CE10*(CE6+CE4),(Control!CE10*(CE6+CE4/2))/(1-Control!CE10*(1-IDC_CashFundedPct_f)/2))</f>
        <v/>
      </c>
      <c r="CF7">
        <f>IF(IDCTimingConvention="EndPeriod",Control!CF10*(CF6+CF4),(Control!CF10*(CF6+CF4/2))/(1-Control!CF10*(1-IDC_CashFundedPct_f)/2))</f>
        <v/>
      </c>
      <c r="CG7">
        <f>IF(IDCTimingConvention="EndPeriod",Control!CG10*(CG6+CG4),(Control!CG10*(CG6+CG4/2))/(1-Control!CG10*(1-IDC_CashFundedPct_f)/2))</f>
        <v/>
      </c>
      <c r="CH7">
        <f>IF(IDCTimingConvention="EndPeriod",Control!CH10*(CH6+CH4),(Control!CH10*(CH6+CH4/2))/(1-Control!CH10*(1-IDC_CashFundedPct_f)/2))</f>
        <v/>
      </c>
      <c r="CI7">
        <f>IF(IDCTimingConvention="EndPeriod",Control!CI10*(CI6+CI4),(Control!CI10*(CI6+CI4/2))/(1-Control!CI10*(1-IDC_CashFundedPct_f)/2))</f>
        <v/>
      </c>
      <c r="CJ7">
        <f>IF(IDCTimingConvention="EndPeriod",Control!CJ10*(CJ6+CJ4),(Control!CJ10*(CJ6+CJ4/2))/(1-Control!CJ10*(1-IDC_CashFundedPct_f)/2))</f>
        <v/>
      </c>
      <c r="CK7">
        <f>IF(IDCTimingConvention="EndPeriod",Control!CK10*(CK6+CK4),(Control!CK10*(CK6+CK4/2))/(1-Control!CK10*(1-IDC_CashFundedPct_f)/2))</f>
        <v/>
      </c>
      <c r="CL7">
        <f>IF(IDCTimingConvention="EndPeriod",Control!CL10*(CL6+CL4),(Control!CL10*(CL6+CL4/2))/(1-Control!CL10*(1-IDC_CashFundedPct_f)/2))</f>
        <v/>
      </c>
      <c r="CM7">
        <f>IF(IDCTimingConvention="EndPeriod",Control!CM10*(CM6+CM4),(Control!CM10*(CM6+CM4/2))/(1-Control!CM10*(1-IDC_CashFundedPct_f)/2))</f>
        <v/>
      </c>
    </row>
    <row r="8">
      <c r="A8" s="3" t="inlineStr">
        <is>
          <t>Cash-Funded Interest (f x I_t)</t>
        </is>
      </c>
      <c r="C8" t="inlineStr">
        <is>
          <t>$</t>
        </is>
      </c>
      <c r="D8">
        <f>IDC_CashFundedPct_f*D7</f>
        <v/>
      </c>
      <c r="E8">
        <f>IDC_CashFundedPct_f*E7</f>
        <v/>
      </c>
      <c r="F8">
        <f>IDC_CashFundedPct_f*F7</f>
        <v/>
      </c>
      <c r="G8">
        <f>IDC_CashFundedPct_f*G7</f>
        <v/>
      </c>
      <c r="H8">
        <f>IDC_CashFundedPct_f*H7</f>
        <v/>
      </c>
      <c r="I8">
        <f>IDC_CashFundedPct_f*I7</f>
        <v/>
      </c>
      <c r="J8">
        <f>IDC_CashFundedPct_f*J7</f>
        <v/>
      </c>
      <c r="K8">
        <f>IDC_CashFundedPct_f*K7</f>
        <v/>
      </c>
      <c r="L8">
        <f>IDC_CashFundedPct_f*L7</f>
        <v/>
      </c>
      <c r="M8">
        <f>IDC_CashFundedPct_f*M7</f>
        <v/>
      </c>
      <c r="N8">
        <f>IDC_CashFundedPct_f*N7</f>
        <v/>
      </c>
      <c r="O8">
        <f>IDC_CashFundedPct_f*O7</f>
        <v/>
      </c>
      <c r="P8">
        <f>IDC_CashFundedPct_f*P7</f>
        <v/>
      </c>
      <c r="Q8">
        <f>IDC_CashFundedPct_f*Q7</f>
        <v/>
      </c>
      <c r="R8">
        <f>IDC_CashFundedPct_f*R7</f>
        <v/>
      </c>
      <c r="S8">
        <f>IDC_CashFundedPct_f*S7</f>
        <v/>
      </c>
      <c r="T8">
        <f>IDC_CashFundedPct_f*T7</f>
        <v/>
      </c>
      <c r="U8">
        <f>IDC_CashFundedPct_f*U7</f>
        <v/>
      </c>
      <c r="V8">
        <f>IDC_CashFundedPct_f*V7</f>
        <v/>
      </c>
      <c r="W8">
        <f>IDC_CashFundedPct_f*W7</f>
        <v/>
      </c>
      <c r="X8">
        <f>IDC_CashFundedPct_f*X7</f>
        <v/>
      </c>
      <c r="Y8">
        <f>IDC_CashFundedPct_f*Y7</f>
        <v/>
      </c>
      <c r="Z8">
        <f>IDC_CashFundedPct_f*Z7</f>
        <v/>
      </c>
      <c r="AA8">
        <f>IDC_CashFundedPct_f*AA7</f>
        <v/>
      </c>
      <c r="AB8">
        <f>IDC_CashFundedPct_f*AB7</f>
        <v/>
      </c>
      <c r="AC8">
        <f>IDC_CashFundedPct_f*AC7</f>
        <v/>
      </c>
      <c r="AD8">
        <f>IDC_CashFundedPct_f*AD7</f>
        <v/>
      </c>
      <c r="AE8">
        <f>IDC_CashFundedPct_f*AE7</f>
        <v/>
      </c>
      <c r="AF8">
        <f>IDC_CashFundedPct_f*AF7</f>
        <v/>
      </c>
      <c r="AG8">
        <f>IDC_CashFundedPct_f*AG7</f>
        <v/>
      </c>
      <c r="AH8">
        <f>IDC_CashFundedPct_f*AH7</f>
        <v/>
      </c>
      <c r="AI8">
        <f>IDC_CashFundedPct_f*AI7</f>
        <v/>
      </c>
      <c r="AJ8">
        <f>IDC_CashFundedPct_f*AJ7</f>
        <v/>
      </c>
      <c r="AK8">
        <f>IDC_CashFundedPct_f*AK7</f>
        <v/>
      </c>
      <c r="AL8">
        <f>IDC_CashFundedPct_f*AL7</f>
        <v/>
      </c>
      <c r="AM8">
        <f>IDC_CashFundedPct_f*AM7</f>
        <v/>
      </c>
      <c r="AN8">
        <f>IDC_CashFundedPct_f*AN7</f>
        <v/>
      </c>
      <c r="AO8">
        <f>IDC_CashFundedPct_f*AO7</f>
        <v/>
      </c>
      <c r="AP8">
        <f>IDC_CashFundedPct_f*AP7</f>
        <v/>
      </c>
      <c r="AQ8">
        <f>IDC_CashFundedPct_f*AQ7</f>
        <v/>
      </c>
      <c r="AR8">
        <f>IDC_CashFundedPct_f*AR7</f>
        <v/>
      </c>
      <c r="AS8">
        <f>IDC_CashFundedPct_f*AS7</f>
        <v/>
      </c>
      <c r="AT8">
        <f>IDC_CashFundedPct_f*AT7</f>
        <v/>
      </c>
      <c r="AU8">
        <f>IDC_CashFundedPct_f*AU7</f>
        <v/>
      </c>
      <c r="AV8">
        <f>IDC_CashFundedPct_f*AV7</f>
        <v/>
      </c>
      <c r="AW8">
        <f>IDC_CashFundedPct_f*AW7</f>
        <v/>
      </c>
      <c r="AX8">
        <f>IDC_CashFundedPct_f*AX7</f>
        <v/>
      </c>
      <c r="AY8">
        <f>IDC_CashFundedPct_f*AY7</f>
        <v/>
      </c>
      <c r="AZ8">
        <f>IDC_CashFundedPct_f*AZ7</f>
        <v/>
      </c>
      <c r="BA8">
        <f>IDC_CashFundedPct_f*BA7</f>
        <v/>
      </c>
      <c r="BB8">
        <f>IDC_CashFundedPct_f*BB7</f>
        <v/>
      </c>
      <c r="BC8">
        <f>IDC_CashFundedPct_f*BC7</f>
        <v/>
      </c>
      <c r="BD8">
        <f>IDC_CashFundedPct_f*BD7</f>
        <v/>
      </c>
      <c r="BE8">
        <f>IDC_CashFundedPct_f*BE7</f>
        <v/>
      </c>
      <c r="BF8">
        <f>IDC_CashFundedPct_f*BF7</f>
        <v/>
      </c>
      <c r="BG8">
        <f>IDC_CashFundedPct_f*BG7</f>
        <v/>
      </c>
      <c r="BH8">
        <f>IDC_CashFundedPct_f*BH7</f>
        <v/>
      </c>
      <c r="BI8">
        <f>IDC_CashFundedPct_f*BI7</f>
        <v/>
      </c>
      <c r="BJ8">
        <f>IDC_CashFundedPct_f*BJ7</f>
        <v/>
      </c>
      <c r="BK8">
        <f>IDC_CashFundedPct_f*BK7</f>
        <v/>
      </c>
      <c r="BL8">
        <f>IDC_CashFundedPct_f*BL7</f>
        <v/>
      </c>
      <c r="BM8">
        <f>IDC_CashFundedPct_f*BM7</f>
        <v/>
      </c>
      <c r="BN8">
        <f>IDC_CashFundedPct_f*BN7</f>
        <v/>
      </c>
      <c r="BO8">
        <f>IDC_CashFundedPct_f*BO7</f>
        <v/>
      </c>
      <c r="BP8">
        <f>IDC_CashFundedPct_f*BP7</f>
        <v/>
      </c>
      <c r="BQ8">
        <f>IDC_CashFundedPct_f*BQ7</f>
        <v/>
      </c>
      <c r="BR8">
        <f>IDC_CashFundedPct_f*BR7</f>
        <v/>
      </c>
      <c r="BS8">
        <f>IDC_CashFundedPct_f*BS7</f>
        <v/>
      </c>
      <c r="BT8">
        <f>IDC_CashFundedPct_f*BT7</f>
        <v/>
      </c>
      <c r="BU8">
        <f>IDC_CashFundedPct_f*BU7</f>
        <v/>
      </c>
      <c r="BV8">
        <f>IDC_CashFundedPct_f*BV7</f>
        <v/>
      </c>
      <c r="BW8">
        <f>IDC_CashFundedPct_f*BW7</f>
        <v/>
      </c>
      <c r="BX8">
        <f>IDC_CashFundedPct_f*BX7</f>
        <v/>
      </c>
      <c r="BY8">
        <f>IDC_CashFundedPct_f*BY7</f>
        <v/>
      </c>
      <c r="BZ8">
        <f>IDC_CashFundedPct_f*BZ7</f>
        <v/>
      </c>
      <c r="CA8">
        <f>IDC_CashFundedPct_f*CA7</f>
        <v/>
      </c>
      <c r="CB8">
        <f>IDC_CashFundedPct_f*CB7</f>
        <v/>
      </c>
      <c r="CC8">
        <f>IDC_CashFundedPct_f*CC7</f>
        <v/>
      </c>
      <c r="CD8">
        <f>IDC_CashFundedPct_f*CD7</f>
        <v/>
      </c>
      <c r="CE8">
        <f>IDC_CashFundedPct_f*CE7</f>
        <v/>
      </c>
      <c r="CF8">
        <f>IDC_CashFundedPct_f*CF7</f>
        <v/>
      </c>
      <c r="CG8">
        <f>IDC_CashFundedPct_f*CG7</f>
        <v/>
      </c>
      <c r="CH8">
        <f>IDC_CashFundedPct_f*CH7</f>
        <v/>
      </c>
      <c r="CI8">
        <f>IDC_CashFundedPct_f*CI7</f>
        <v/>
      </c>
      <c r="CJ8">
        <f>IDC_CashFundedPct_f*CJ7</f>
        <v/>
      </c>
      <c r="CK8">
        <f>IDC_CashFundedPct_f*CK7</f>
        <v/>
      </c>
      <c r="CL8">
        <f>IDC_CashFundedPct_f*CL7</f>
        <v/>
      </c>
      <c r="CM8">
        <f>IDC_CashFundedPct_f*CM7</f>
        <v/>
      </c>
    </row>
    <row r="9">
      <c r="A9" s="3" t="inlineStr">
        <is>
          <t>Capitalized Interest ((1-f) x I_t)</t>
        </is>
      </c>
      <c r="C9" t="inlineStr">
        <is>
          <t>$</t>
        </is>
      </c>
      <c r="D9">
        <f>(1-IDC_CashFundedPct_f)*D7</f>
        <v/>
      </c>
      <c r="E9">
        <f>(1-IDC_CashFundedPct_f)*E7</f>
        <v/>
      </c>
      <c r="F9">
        <f>(1-IDC_CashFundedPct_f)*F7</f>
        <v/>
      </c>
      <c r="G9">
        <f>(1-IDC_CashFundedPct_f)*G7</f>
        <v/>
      </c>
      <c r="H9">
        <f>(1-IDC_CashFundedPct_f)*H7</f>
        <v/>
      </c>
      <c r="I9">
        <f>(1-IDC_CashFundedPct_f)*I7</f>
        <v/>
      </c>
      <c r="J9">
        <f>(1-IDC_CashFundedPct_f)*J7</f>
        <v/>
      </c>
      <c r="K9">
        <f>(1-IDC_CashFundedPct_f)*K7</f>
        <v/>
      </c>
      <c r="L9">
        <f>(1-IDC_CashFundedPct_f)*L7</f>
        <v/>
      </c>
      <c r="M9">
        <f>(1-IDC_CashFundedPct_f)*M7</f>
        <v/>
      </c>
      <c r="N9">
        <f>(1-IDC_CashFundedPct_f)*N7</f>
        <v/>
      </c>
      <c r="O9">
        <f>(1-IDC_CashFundedPct_f)*O7</f>
        <v/>
      </c>
      <c r="P9">
        <f>(1-IDC_CashFundedPct_f)*P7</f>
        <v/>
      </c>
      <c r="Q9">
        <f>(1-IDC_CashFundedPct_f)*Q7</f>
        <v/>
      </c>
      <c r="R9">
        <f>(1-IDC_CashFundedPct_f)*R7</f>
        <v/>
      </c>
      <c r="S9">
        <f>(1-IDC_CashFundedPct_f)*S7</f>
        <v/>
      </c>
      <c r="T9">
        <f>(1-IDC_CashFundedPct_f)*T7</f>
        <v/>
      </c>
      <c r="U9">
        <f>(1-IDC_CashFundedPct_f)*U7</f>
        <v/>
      </c>
      <c r="V9">
        <f>(1-IDC_CashFundedPct_f)*V7</f>
        <v/>
      </c>
      <c r="W9">
        <f>(1-IDC_CashFundedPct_f)*W7</f>
        <v/>
      </c>
      <c r="X9">
        <f>(1-IDC_CashFundedPct_f)*X7</f>
        <v/>
      </c>
      <c r="Y9">
        <f>(1-IDC_CashFundedPct_f)*Y7</f>
        <v/>
      </c>
      <c r="Z9">
        <f>(1-IDC_CashFundedPct_f)*Z7</f>
        <v/>
      </c>
      <c r="AA9">
        <f>(1-IDC_CashFundedPct_f)*AA7</f>
        <v/>
      </c>
      <c r="AB9">
        <f>(1-IDC_CashFundedPct_f)*AB7</f>
        <v/>
      </c>
      <c r="AC9">
        <f>(1-IDC_CashFundedPct_f)*AC7</f>
        <v/>
      </c>
      <c r="AD9">
        <f>(1-IDC_CashFundedPct_f)*AD7</f>
        <v/>
      </c>
      <c r="AE9">
        <f>(1-IDC_CashFundedPct_f)*AE7</f>
        <v/>
      </c>
      <c r="AF9">
        <f>(1-IDC_CashFundedPct_f)*AF7</f>
        <v/>
      </c>
      <c r="AG9">
        <f>(1-IDC_CashFundedPct_f)*AG7</f>
        <v/>
      </c>
      <c r="AH9">
        <f>(1-IDC_CashFundedPct_f)*AH7</f>
        <v/>
      </c>
      <c r="AI9">
        <f>(1-IDC_CashFundedPct_f)*AI7</f>
        <v/>
      </c>
      <c r="AJ9">
        <f>(1-IDC_CashFundedPct_f)*AJ7</f>
        <v/>
      </c>
      <c r="AK9">
        <f>(1-IDC_CashFundedPct_f)*AK7</f>
        <v/>
      </c>
      <c r="AL9">
        <f>(1-IDC_CashFundedPct_f)*AL7</f>
        <v/>
      </c>
      <c r="AM9">
        <f>(1-IDC_CashFundedPct_f)*AM7</f>
        <v/>
      </c>
      <c r="AN9">
        <f>(1-IDC_CashFundedPct_f)*AN7</f>
        <v/>
      </c>
      <c r="AO9">
        <f>(1-IDC_CashFundedPct_f)*AO7</f>
        <v/>
      </c>
      <c r="AP9">
        <f>(1-IDC_CashFundedPct_f)*AP7</f>
        <v/>
      </c>
      <c r="AQ9">
        <f>(1-IDC_CashFundedPct_f)*AQ7</f>
        <v/>
      </c>
      <c r="AR9">
        <f>(1-IDC_CashFundedPct_f)*AR7</f>
        <v/>
      </c>
      <c r="AS9">
        <f>(1-IDC_CashFundedPct_f)*AS7</f>
        <v/>
      </c>
      <c r="AT9">
        <f>(1-IDC_CashFundedPct_f)*AT7</f>
        <v/>
      </c>
      <c r="AU9">
        <f>(1-IDC_CashFundedPct_f)*AU7</f>
        <v/>
      </c>
      <c r="AV9">
        <f>(1-IDC_CashFundedPct_f)*AV7</f>
        <v/>
      </c>
      <c r="AW9">
        <f>(1-IDC_CashFundedPct_f)*AW7</f>
        <v/>
      </c>
      <c r="AX9">
        <f>(1-IDC_CashFundedPct_f)*AX7</f>
        <v/>
      </c>
      <c r="AY9">
        <f>(1-IDC_CashFundedPct_f)*AY7</f>
        <v/>
      </c>
      <c r="AZ9">
        <f>(1-IDC_CashFundedPct_f)*AZ7</f>
        <v/>
      </c>
      <c r="BA9">
        <f>(1-IDC_CashFundedPct_f)*BA7</f>
        <v/>
      </c>
      <c r="BB9">
        <f>(1-IDC_CashFundedPct_f)*BB7</f>
        <v/>
      </c>
      <c r="BC9">
        <f>(1-IDC_CashFundedPct_f)*BC7</f>
        <v/>
      </c>
      <c r="BD9">
        <f>(1-IDC_CashFundedPct_f)*BD7</f>
        <v/>
      </c>
      <c r="BE9">
        <f>(1-IDC_CashFundedPct_f)*BE7</f>
        <v/>
      </c>
      <c r="BF9">
        <f>(1-IDC_CashFundedPct_f)*BF7</f>
        <v/>
      </c>
      <c r="BG9">
        <f>(1-IDC_CashFundedPct_f)*BG7</f>
        <v/>
      </c>
      <c r="BH9">
        <f>(1-IDC_CashFundedPct_f)*BH7</f>
        <v/>
      </c>
      <c r="BI9">
        <f>(1-IDC_CashFundedPct_f)*BI7</f>
        <v/>
      </c>
      <c r="BJ9">
        <f>(1-IDC_CashFundedPct_f)*BJ7</f>
        <v/>
      </c>
      <c r="BK9">
        <f>(1-IDC_CashFundedPct_f)*BK7</f>
        <v/>
      </c>
      <c r="BL9">
        <f>(1-IDC_CashFundedPct_f)*BL7</f>
        <v/>
      </c>
      <c r="BM9">
        <f>(1-IDC_CashFundedPct_f)*BM7</f>
        <v/>
      </c>
      <c r="BN9">
        <f>(1-IDC_CashFundedPct_f)*BN7</f>
        <v/>
      </c>
      <c r="BO9">
        <f>(1-IDC_CashFundedPct_f)*BO7</f>
        <v/>
      </c>
      <c r="BP9">
        <f>(1-IDC_CashFundedPct_f)*BP7</f>
        <v/>
      </c>
      <c r="BQ9">
        <f>(1-IDC_CashFundedPct_f)*BQ7</f>
        <v/>
      </c>
      <c r="BR9">
        <f>(1-IDC_CashFundedPct_f)*BR7</f>
        <v/>
      </c>
      <c r="BS9">
        <f>(1-IDC_CashFundedPct_f)*BS7</f>
        <v/>
      </c>
      <c r="BT9">
        <f>(1-IDC_CashFundedPct_f)*BT7</f>
        <v/>
      </c>
      <c r="BU9">
        <f>(1-IDC_CashFundedPct_f)*BU7</f>
        <v/>
      </c>
      <c r="BV9">
        <f>(1-IDC_CashFundedPct_f)*BV7</f>
        <v/>
      </c>
      <c r="BW9">
        <f>(1-IDC_CashFundedPct_f)*BW7</f>
        <v/>
      </c>
      <c r="BX9">
        <f>(1-IDC_CashFundedPct_f)*BX7</f>
        <v/>
      </c>
      <c r="BY9">
        <f>(1-IDC_CashFundedPct_f)*BY7</f>
        <v/>
      </c>
      <c r="BZ9">
        <f>(1-IDC_CashFundedPct_f)*BZ7</f>
        <v/>
      </c>
      <c r="CA9">
        <f>(1-IDC_CashFundedPct_f)*CA7</f>
        <v/>
      </c>
      <c r="CB9">
        <f>(1-IDC_CashFundedPct_f)*CB7</f>
        <v/>
      </c>
      <c r="CC9">
        <f>(1-IDC_CashFundedPct_f)*CC7</f>
        <v/>
      </c>
      <c r="CD9">
        <f>(1-IDC_CashFundedPct_f)*CD7</f>
        <v/>
      </c>
      <c r="CE9">
        <f>(1-IDC_CashFundedPct_f)*CE7</f>
        <v/>
      </c>
      <c r="CF9">
        <f>(1-IDC_CashFundedPct_f)*CF7</f>
        <v/>
      </c>
      <c r="CG9">
        <f>(1-IDC_CashFundedPct_f)*CG7</f>
        <v/>
      </c>
      <c r="CH9">
        <f>(1-IDC_CashFundedPct_f)*CH7</f>
        <v/>
      </c>
      <c r="CI9">
        <f>(1-IDC_CashFundedPct_f)*CI7</f>
        <v/>
      </c>
      <c r="CJ9">
        <f>(1-IDC_CashFundedPct_f)*CJ7</f>
        <v/>
      </c>
      <c r="CK9">
        <f>(1-IDC_CashFundedPct_f)*CK7</f>
        <v/>
      </c>
      <c r="CL9">
        <f>(1-IDC_CashFundedPct_f)*CL7</f>
        <v/>
      </c>
      <c r="CM9">
        <f>(1-IDC_CashFundedPct_f)*CM7</f>
        <v/>
      </c>
    </row>
    <row r="10">
      <c r="A10" s="3" t="inlineStr">
        <is>
          <t>Closing Debt Balance (B_t)</t>
        </is>
      </c>
      <c r="C10" t="inlineStr">
        <is>
          <t>$</t>
        </is>
      </c>
      <c r="D10">
        <f>D6+D4+D9</f>
        <v/>
      </c>
      <c r="E10">
        <f>E6+E4+E9</f>
        <v/>
      </c>
      <c r="F10">
        <f>F6+F4+F9</f>
        <v/>
      </c>
      <c r="G10">
        <f>G6+G4+G9</f>
        <v/>
      </c>
      <c r="H10">
        <f>H6+H4+H9</f>
        <v/>
      </c>
      <c r="I10">
        <f>I6+I4+I9</f>
        <v/>
      </c>
      <c r="J10">
        <f>J6+J4+J9</f>
        <v/>
      </c>
      <c r="K10">
        <f>K6+K4+K9</f>
        <v/>
      </c>
      <c r="L10">
        <f>L6+L4+L9</f>
        <v/>
      </c>
      <c r="M10">
        <f>M6+M4+M9</f>
        <v/>
      </c>
      <c r="N10">
        <f>N6+N4+N9</f>
        <v/>
      </c>
      <c r="O10">
        <f>O6+O4+O9</f>
        <v/>
      </c>
      <c r="P10">
        <f>P6+P4+P9</f>
        <v/>
      </c>
      <c r="Q10">
        <f>Q6+Q4+Q9</f>
        <v/>
      </c>
      <c r="R10">
        <f>R6+R4+R9</f>
        <v/>
      </c>
      <c r="S10">
        <f>S6+S4+S9</f>
        <v/>
      </c>
      <c r="T10">
        <f>T6+T4+T9</f>
        <v/>
      </c>
      <c r="U10">
        <f>U6+U4+U9</f>
        <v/>
      </c>
      <c r="V10">
        <f>V6+V4+V9</f>
        <v/>
      </c>
      <c r="W10">
        <f>W6+W4+W9</f>
        <v/>
      </c>
      <c r="X10">
        <f>X6+X4+X9</f>
        <v/>
      </c>
      <c r="Y10">
        <f>Y6+Y4+Y9</f>
        <v/>
      </c>
      <c r="Z10">
        <f>Z6+Z4+Z9</f>
        <v/>
      </c>
      <c r="AA10">
        <f>AA6+AA4+AA9</f>
        <v/>
      </c>
      <c r="AB10">
        <f>AB6+AB4+AB9</f>
        <v/>
      </c>
      <c r="AC10">
        <f>AC6+AC4+AC9</f>
        <v/>
      </c>
      <c r="AD10">
        <f>AD6+AD4+AD9</f>
        <v/>
      </c>
      <c r="AE10">
        <f>AE6+AE4+AE9</f>
        <v/>
      </c>
      <c r="AF10">
        <f>AF6+AF4+AF9</f>
        <v/>
      </c>
      <c r="AG10">
        <f>AG6+AG4+AG9</f>
        <v/>
      </c>
      <c r="AH10">
        <f>AH6+AH4+AH9</f>
        <v/>
      </c>
      <c r="AI10">
        <f>AI6+AI4+AI9</f>
        <v/>
      </c>
      <c r="AJ10">
        <f>AJ6+AJ4+AJ9</f>
        <v/>
      </c>
      <c r="AK10">
        <f>AK6+AK4+AK9</f>
        <v/>
      </c>
      <c r="AL10">
        <f>AL6+AL4+AL9</f>
        <v/>
      </c>
      <c r="AM10">
        <f>AM6+AM4+AM9</f>
        <v/>
      </c>
      <c r="AN10">
        <f>AN6+AN4+AN9</f>
        <v/>
      </c>
      <c r="AO10">
        <f>AO6+AO4+AO9</f>
        <v/>
      </c>
      <c r="AP10">
        <f>AP6+AP4+AP9</f>
        <v/>
      </c>
      <c r="AQ10">
        <f>AQ6+AQ4+AQ9</f>
        <v/>
      </c>
      <c r="AR10">
        <f>AR6+AR4+AR9</f>
        <v/>
      </c>
      <c r="AS10">
        <f>AS6+AS4+AS9</f>
        <v/>
      </c>
      <c r="AT10">
        <f>AT6+AT4+AT9</f>
        <v/>
      </c>
      <c r="AU10">
        <f>AU6+AU4+AU9</f>
        <v/>
      </c>
      <c r="AV10">
        <f>AV6+AV4+AV9</f>
        <v/>
      </c>
      <c r="AW10">
        <f>AW6+AW4+AW9</f>
        <v/>
      </c>
      <c r="AX10">
        <f>AX6+AX4+AX9</f>
        <v/>
      </c>
      <c r="AY10">
        <f>AY6+AY4+AY9</f>
        <v/>
      </c>
      <c r="AZ10">
        <f>AZ6+AZ4+AZ9</f>
        <v/>
      </c>
      <c r="BA10">
        <f>BA6+BA4+BA9</f>
        <v/>
      </c>
      <c r="BB10">
        <f>BB6+BB4+BB9</f>
        <v/>
      </c>
      <c r="BC10">
        <f>BC6+BC4+BC9</f>
        <v/>
      </c>
      <c r="BD10">
        <f>BD6+BD4+BD9</f>
        <v/>
      </c>
      <c r="BE10">
        <f>BE6+BE4+BE9</f>
        <v/>
      </c>
      <c r="BF10">
        <f>BF6+BF4+BF9</f>
        <v/>
      </c>
      <c r="BG10">
        <f>BG6+BG4+BG9</f>
        <v/>
      </c>
      <c r="BH10">
        <f>BH6+BH4+BH9</f>
        <v/>
      </c>
      <c r="BI10">
        <f>BI6+BI4+BI9</f>
        <v/>
      </c>
      <c r="BJ10">
        <f>BJ6+BJ4+BJ9</f>
        <v/>
      </c>
      <c r="BK10">
        <f>BK6+BK4+BK9</f>
        <v/>
      </c>
      <c r="BL10">
        <f>BL6+BL4+BL9</f>
        <v/>
      </c>
      <c r="BM10">
        <f>BM6+BM4+BM9</f>
        <v/>
      </c>
      <c r="BN10">
        <f>BN6+BN4+BN9</f>
        <v/>
      </c>
      <c r="BO10">
        <f>BO6+BO4+BO9</f>
        <v/>
      </c>
      <c r="BP10">
        <f>BP6+BP4+BP9</f>
        <v/>
      </c>
      <c r="BQ10">
        <f>BQ6+BQ4+BQ9</f>
        <v/>
      </c>
      <c r="BR10">
        <f>BR6+BR4+BR9</f>
        <v/>
      </c>
      <c r="BS10">
        <f>BS6+BS4+BS9</f>
        <v/>
      </c>
      <c r="BT10">
        <f>BT6+BT4+BT9</f>
        <v/>
      </c>
      <c r="BU10">
        <f>BU6+BU4+BU9</f>
        <v/>
      </c>
      <c r="BV10">
        <f>BV6+BV4+BV9</f>
        <v/>
      </c>
      <c r="BW10">
        <f>BW6+BW4+BW9</f>
        <v/>
      </c>
      <c r="BX10">
        <f>BX6+BX4+BX9</f>
        <v/>
      </c>
      <c r="BY10">
        <f>BY6+BY4+BY9</f>
        <v/>
      </c>
      <c r="BZ10">
        <f>BZ6+BZ4+BZ9</f>
        <v/>
      </c>
      <c r="CA10">
        <f>CA6+CA4+CA9</f>
        <v/>
      </c>
      <c r="CB10">
        <f>CB6+CB4+CB9</f>
        <v/>
      </c>
      <c r="CC10">
        <f>CC6+CC4+CC9</f>
        <v/>
      </c>
      <c r="CD10">
        <f>CD6+CD4+CD9</f>
        <v/>
      </c>
      <c r="CE10">
        <f>CE6+CE4+CE9</f>
        <v/>
      </c>
      <c r="CF10">
        <f>CF6+CF4+CF9</f>
        <v/>
      </c>
      <c r="CG10">
        <f>CG6+CG4+CG9</f>
        <v/>
      </c>
      <c r="CH10">
        <f>CH6+CH4+CH9</f>
        <v/>
      </c>
      <c r="CI10">
        <f>CI6+CI4+CI9</f>
        <v/>
      </c>
      <c r="CJ10">
        <f>CJ6+CJ4+CJ9</f>
        <v/>
      </c>
      <c r="CK10">
        <f>CK6+CK4+CK9</f>
        <v/>
      </c>
      <c r="CL10">
        <f>CL6+CL4+CL9</f>
        <v/>
      </c>
      <c r="CM10">
        <f>CM6+CM4+CM9</f>
        <v/>
      </c>
    </row>
    <row r="13">
      <c r="A13" t="inlineStr">
        <is>
          <t>I_t = r*(B_(t-1) + D_t/2) / (1 - r*(1-f)/2)   [mid-period, algebraically isolated -- not circular]</t>
        </is>
      </c>
    </row>
    <row r="14">
      <c r="A14" t="inlineStr">
        <is>
          <t>I_t = r*(B_(t-1) + D_t)                        [end-of-period draw convention, no algebra needed]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OPERATIONS &amp; CFADS</t>
        </is>
      </c>
    </row>
    <row r="3">
      <c r="A3" s="3" t="inlineStr">
        <is>
          <t>H2 Production</t>
        </is>
      </c>
      <c r="C3" t="inlineStr">
        <is>
          <t>kg</t>
        </is>
      </c>
      <c r="D3">
        <f>Control!D7*ElectrolyzerCapacityMW*1000*2191.5*CapacityFactor/EfficiencykWhPerKg*(1-DegradationRate)^MAX(Control!D9-1,0)</f>
        <v/>
      </c>
      <c r="E3">
        <f>Control!E7*ElectrolyzerCapacityMW*1000*2191.5*CapacityFactor/EfficiencykWhPerKg*(1-DegradationRate)^MAX(Control!E9-1,0)</f>
        <v/>
      </c>
      <c r="F3">
        <f>Control!F7*ElectrolyzerCapacityMW*1000*2191.5*CapacityFactor/EfficiencykWhPerKg*(1-DegradationRate)^MAX(Control!F9-1,0)</f>
        <v/>
      </c>
      <c r="G3">
        <f>Control!G7*ElectrolyzerCapacityMW*1000*2191.5*CapacityFactor/EfficiencykWhPerKg*(1-DegradationRate)^MAX(Control!G9-1,0)</f>
        <v/>
      </c>
      <c r="H3">
        <f>Control!H7*ElectrolyzerCapacityMW*1000*2191.5*CapacityFactor/EfficiencykWhPerKg*(1-DegradationRate)^MAX(Control!H9-1,0)</f>
        <v/>
      </c>
      <c r="I3">
        <f>Control!I7*ElectrolyzerCapacityMW*1000*2191.5*CapacityFactor/EfficiencykWhPerKg*(1-DegradationRate)^MAX(Control!I9-1,0)</f>
        <v/>
      </c>
      <c r="J3">
        <f>Control!J7*ElectrolyzerCapacityMW*1000*2191.5*CapacityFactor/EfficiencykWhPerKg*(1-DegradationRate)^MAX(Control!J9-1,0)</f>
        <v/>
      </c>
      <c r="K3">
        <f>Control!K7*ElectrolyzerCapacityMW*1000*2191.5*CapacityFactor/EfficiencykWhPerKg*(1-DegradationRate)^MAX(Control!K9-1,0)</f>
        <v/>
      </c>
      <c r="L3">
        <f>Control!L7*ElectrolyzerCapacityMW*1000*2191.5*CapacityFactor/EfficiencykWhPerKg*(1-DegradationRate)^MAX(Control!L9-1,0)</f>
        <v/>
      </c>
      <c r="M3">
        <f>Control!M7*ElectrolyzerCapacityMW*1000*2191.5*CapacityFactor/EfficiencykWhPerKg*(1-DegradationRate)^MAX(Control!M9-1,0)</f>
        <v/>
      </c>
      <c r="N3">
        <f>Control!N7*ElectrolyzerCapacityMW*1000*2191.5*CapacityFactor/EfficiencykWhPerKg*(1-DegradationRate)^MAX(Control!N9-1,0)</f>
        <v/>
      </c>
      <c r="O3">
        <f>Control!O7*ElectrolyzerCapacityMW*1000*2191.5*CapacityFactor/EfficiencykWhPerKg*(1-DegradationRate)^MAX(Control!O9-1,0)</f>
        <v/>
      </c>
      <c r="P3">
        <f>Control!P7*ElectrolyzerCapacityMW*1000*2191.5*CapacityFactor/EfficiencykWhPerKg*(1-DegradationRate)^MAX(Control!P9-1,0)</f>
        <v/>
      </c>
      <c r="Q3">
        <f>Control!Q7*ElectrolyzerCapacityMW*1000*2191.5*CapacityFactor/EfficiencykWhPerKg*(1-DegradationRate)^MAX(Control!Q9-1,0)</f>
        <v/>
      </c>
      <c r="R3">
        <f>Control!R7*ElectrolyzerCapacityMW*1000*2191.5*CapacityFactor/EfficiencykWhPerKg*(1-DegradationRate)^MAX(Control!R9-1,0)</f>
        <v/>
      </c>
      <c r="S3">
        <f>Control!S7*ElectrolyzerCapacityMW*1000*2191.5*CapacityFactor/EfficiencykWhPerKg*(1-DegradationRate)^MAX(Control!S9-1,0)</f>
        <v/>
      </c>
      <c r="T3">
        <f>Control!T7*ElectrolyzerCapacityMW*1000*2191.5*CapacityFactor/EfficiencykWhPerKg*(1-DegradationRate)^MAX(Control!T9-1,0)</f>
        <v/>
      </c>
      <c r="U3">
        <f>Control!U7*ElectrolyzerCapacityMW*1000*2191.5*CapacityFactor/EfficiencykWhPerKg*(1-DegradationRate)^MAX(Control!U9-1,0)</f>
        <v/>
      </c>
      <c r="V3">
        <f>Control!V7*ElectrolyzerCapacityMW*1000*2191.5*CapacityFactor/EfficiencykWhPerKg*(1-DegradationRate)^MAX(Control!V9-1,0)</f>
        <v/>
      </c>
      <c r="W3">
        <f>Control!W7*ElectrolyzerCapacityMW*1000*2191.5*CapacityFactor/EfficiencykWhPerKg*(1-DegradationRate)^MAX(Control!W9-1,0)</f>
        <v/>
      </c>
      <c r="X3">
        <f>Control!X7*ElectrolyzerCapacityMW*1000*2191.5*CapacityFactor/EfficiencykWhPerKg*(1-DegradationRate)^MAX(Control!X9-1,0)</f>
        <v/>
      </c>
      <c r="Y3">
        <f>Control!Y7*ElectrolyzerCapacityMW*1000*2191.5*CapacityFactor/EfficiencykWhPerKg*(1-DegradationRate)^MAX(Control!Y9-1,0)</f>
        <v/>
      </c>
      <c r="Z3">
        <f>Control!Z7*ElectrolyzerCapacityMW*1000*2191.5*CapacityFactor/EfficiencykWhPerKg*(1-DegradationRate)^MAX(Control!Z9-1,0)</f>
        <v/>
      </c>
      <c r="AA3">
        <f>Control!AA7*ElectrolyzerCapacityMW*1000*2191.5*CapacityFactor/EfficiencykWhPerKg*(1-DegradationRate)^MAX(Control!AA9-1,0)</f>
        <v/>
      </c>
      <c r="AB3">
        <f>Control!AB7*ElectrolyzerCapacityMW*1000*2191.5*CapacityFactor/EfficiencykWhPerKg*(1-DegradationRate)^MAX(Control!AB9-1,0)</f>
        <v/>
      </c>
      <c r="AC3">
        <f>Control!AC7*ElectrolyzerCapacityMW*1000*2191.5*CapacityFactor/EfficiencykWhPerKg*(1-DegradationRate)^MAX(Control!AC9-1,0)</f>
        <v/>
      </c>
      <c r="AD3">
        <f>Control!AD7*ElectrolyzerCapacityMW*1000*2191.5*CapacityFactor/EfficiencykWhPerKg*(1-DegradationRate)^MAX(Control!AD9-1,0)</f>
        <v/>
      </c>
      <c r="AE3">
        <f>Control!AE7*ElectrolyzerCapacityMW*1000*2191.5*CapacityFactor/EfficiencykWhPerKg*(1-DegradationRate)^MAX(Control!AE9-1,0)</f>
        <v/>
      </c>
      <c r="AF3">
        <f>Control!AF7*ElectrolyzerCapacityMW*1000*2191.5*CapacityFactor/EfficiencykWhPerKg*(1-DegradationRate)^MAX(Control!AF9-1,0)</f>
        <v/>
      </c>
      <c r="AG3">
        <f>Control!AG7*ElectrolyzerCapacityMW*1000*2191.5*CapacityFactor/EfficiencykWhPerKg*(1-DegradationRate)^MAX(Control!AG9-1,0)</f>
        <v/>
      </c>
      <c r="AH3">
        <f>Control!AH7*ElectrolyzerCapacityMW*1000*2191.5*CapacityFactor/EfficiencykWhPerKg*(1-DegradationRate)^MAX(Control!AH9-1,0)</f>
        <v/>
      </c>
      <c r="AI3">
        <f>Control!AI7*ElectrolyzerCapacityMW*1000*2191.5*CapacityFactor/EfficiencykWhPerKg*(1-DegradationRate)^MAX(Control!AI9-1,0)</f>
        <v/>
      </c>
      <c r="AJ3">
        <f>Control!AJ7*ElectrolyzerCapacityMW*1000*2191.5*CapacityFactor/EfficiencykWhPerKg*(1-DegradationRate)^MAX(Control!AJ9-1,0)</f>
        <v/>
      </c>
      <c r="AK3">
        <f>Control!AK7*ElectrolyzerCapacityMW*1000*2191.5*CapacityFactor/EfficiencykWhPerKg*(1-DegradationRate)^MAX(Control!AK9-1,0)</f>
        <v/>
      </c>
      <c r="AL3">
        <f>Control!AL7*ElectrolyzerCapacityMW*1000*2191.5*CapacityFactor/EfficiencykWhPerKg*(1-DegradationRate)^MAX(Control!AL9-1,0)</f>
        <v/>
      </c>
      <c r="AM3">
        <f>Control!AM7*ElectrolyzerCapacityMW*1000*2191.5*CapacityFactor/EfficiencykWhPerKg*(1-DegradationRate)^MAX(Control!AM9-1,0)</f>
        <v/>
      </c>
      <c r="AN3">
        <f>Control!AN7*ElectrolyzerCapacityMW*1000*2191.5*CapacityFactor/EfficiencykWhPerKg*(1-DegradationRate)^MAX(Control!AN9-1,0)</f>
        <v/>
      </c>
      <c r="AO3">
        <f>Control!AO7*ElectrolyzerCapacityMW*1000*2191.5*CapacityFactor/EfficiencykWhPerKg*(1-DegradationRate)^MAX(Control!AO9-1,0)</f>
        <v/>
      </c>
      <c r="AP3">
        <f>Control!AP7*ElectrolyzerCapacityMW*1000*2191.5*CapacityFactor/EfficiencykWhPerKg*(1-DegradationRate)^MAX(Control!AP9-1,0)</f>
        <v/>
      </c>
      <c r="AQ3">
        <f>Control!AQ7*ElectrolyzerCapacityMW*1000*2191.5*CapacityFactor/EfficiencykWhPerKg*(1-DegradationRate)^MAX(Control!AQ9-1,0)</f>
        <v/>
      </c>
      <c r="AR3">
        <f>Control!AR7*ElectrolyzerCapacityMW*1000*2191.5*CapacityFactor/EfficiencykWhPerKg*(1-DegradationRate)^MAX(Control!AR9-1,0)</f>
        <v/>
      </c>
      <c r="AS3">
        <f>Control!AS7*ElectrolyzerCapacityMW*1000*2191.5*CapacityFactor/EfficiencykWhPerKg*(1-DegradationRate)^MAX(Control!AS9-1,0)</f>
        <v/>
      </c>
      <c r="AT3">
        <f>Control!AT7*ElectrolyzerCapacityMW*1000*2191.5*CapacityFactor/EfficiencykWhPerKg*(1-DegradationRate)^MAX(Control!AT9-1,0)</f>
        <v/>
      </c>
      <c r="AU3">
        <f>Control!AU7*ElectrolyzerCapacityMW*1000*2191.5*CapacityFactor/EfficiencykWhPerKg*(1-DegradationRate)^MAX(Control!AU9-1,0)</f>
        <v/>
      </c>
      <c r="AV3">
        <f>Control!AV7*ElectrolyzerCapacityMW*1000*2191.5*CapacityFactor/EfficiencykWhPerKg*(1-DegradationRate)^MAX(Control!AV9-1,0)</f>
        <v/>
      </c>
      <c r="AW3">
        <f>Control!AW7*ElectrolyzerCapacityMW*1000*2191.5*CapacityFactor/EfficiencykWhPerKg*(1-DegradationRate)^MAX(Control!AW9-1,0)</f>
        <v/>
      </c>
      <c r="AX3">
        <f>Control!AX7*ElectrolyzerCapacityMW*1000*2191.5*CapacityFactor/EfficiencykWhPerKg*(1-DegradationRate)^MAX(Control!AX9-1,0)</f>
        <v/>
      </c>
      <c r="AY3">
        <f>Control!AY7*ElectrolyzerCapacityMW*1000*2191.5*CapacityFactor/EfficiencykWhPerKg*(1-DegradationRate)^MAX(Control!AY9-1,0)</f>
        <v/>
      </c>
      <c r="AZ3">
        <f>Control!AZ7*ElectrolyzerCapacityMW*1000*2191.5*CapacityFactor/EfficiencykWhPerKg*(1-DegradationRate)^MAX(Control!AZ9-1,0)</f>
        <v/>
      </c>
      <c r="BA3">
        <f>Control!BA7*ElectrolyzerCapacityMW*1000*2191.5*CapacityFactor/EfficiencykWhPerKg*(1-DegradationRate)^MAX(Control!BA9-1,0)</f>
        <v/>
      </c>
      <c r="BB3">
        <f>Control!BB7*ElectrolyzerCapacityMW*1000*2191.5*CapacityFactor/EfficiencykWhPerKg*(1-DegradationRate)^MAX(Control!BB9-1,0)</f>
        <v/>
      </c>
      <c r="BC3">
        <f>Control!BC7*ElectrolyzerCapacityMW*1000*2191.5*CapacityFactor/EfficiencykWhPerKg*(1-DegradationRate)^MAX(Control!BC9-1,0)</f>
        <v/>
      </c>
      <c r="BD3">
        <f>Control!BD7*ElectrolyzerCapacityMW*1000*2191.5*CapacityFactor/EfficiencykWhPerKg*(1-DegradationRate)^MAX(Control!BD9-1,0)</f>
        <v/>
      </c>
      <c r="BE3">
        <f>Control!BE7*ElectrolyzerCapacityMW*1000*2191.5*CapacityFactor/EfficiencykWhPerKg*(1-DegradationRate)^MAX(Control!BE9-1,0)</f>
        <v/>
      </c>
      <c r="BF3">
        <f>Control!BF7*ElectrolyzerCapacityMW*1000*2191.5*CapacityFactor/EfficiencykWhPerKg*(1-DegradationRate)^MAX(Control!BF9-1,0)</f>
        <v/>
      </c>
      <c r="BG3">
        <f>Control!BG7*ElectrolyzerCapacityMW*1000*2191.5*CapacityFactor/EfficiencykWhPerKg*(1-DegradationRate)^MAX(Control!BG9-1,0)</f>
        <v/>
      </c>
      <c r="BH3">
        <f>Control!BH7*ElectrolyzerCapacityMW*1000*2191.5*CapacityFactor/EfficiencykWhPerKg*(1-DegradationRate)^MAX(Control!BH9-1,0)</f>
        <v/>
      </c>
      <c r="BI3">
        <f>Control!BI7*ElectrolyzerCapacityMW*1000*2191.5*CapacityFactor/EfficiencykWhPerKg*(1-DegradationRate)^MAX(Control!BI9-1,0)</f>
        <v/>
      </c>
      <c r="BJ3">
        <f>Control!BJ7*ElectrolyzerCapacityMW*1000*2191.5*CapacityFactor/EfficiencykWhPerKg*(1-DegradationRate)^MAX(Control!BJ9-1,0)</f>
        <v/>
      </c>
      <c r="BK3">
        <f>Control!BK7*ElectrolyzerCapacityMW*1000*2191.5*CapacityFactor/EfficiencykWhPerKg*(1-DegradationRate)^MAX(Control!BK9-1,0)</f>
        <v/>
      </c>
      <c r="BL3">
        <f>Control!BL7*ElectrolyzerCapacityMW*1000*2191.5*CapacityFactor/EfficiencykWhPerKg*(1-DegradationRate)^MAX(Control!BL9-1,0)</f>
        <v/>
      </c>
      <c r="BM3">
        <f>Control!BM7*ElectrolyzerCapacityMW*1000*2191.5*CapacityFactor/EfficiencykWhPerKg*(1-DegradationRate)^MAX(Control!BM9-1,0)</f>
        <v/>
      </c>
      <c r="BN3">
        <f>Control!BN7*ElectrolyzerCapacityMW*1000*2191.5*CapacityFactor/EfficiencykWhPerKg*(1-DegradationRate)^MAX(Control!BN9-1,0)</f>
        <v/>
      </c>
      <c r="BO3">
        <f>Control!BO7*ElectrolyzerCapacityMW*1000*2191.5*CapacityFactor/EfficiencykWhPerKg*(1-DegradationRate)^MAX(Control!BO9-1,0)</f>
        <v/>
      </c>
      <c r="BP3">
        <f>Control!BP7*ElectrolyzerCapacityMW*1000*2191.5*CapacityFactor/EfficiencykWhPerKg*(1-DegradationRate)^MAX(Control!BP9-1,0)</f>
        <v/>
      </c>
      <c r="BQ3">
        <f>Control!BQ7*ElectrolyzerCapacityMW*1000*2191.5*CapacityFactor/EfficiencykWhPerKg*(1-DegradationRate)^MAX(Control!BQ9-1,0)</f>
        <v/>
      </c>
      <c r="BR3">
        <f>Control!BR7*ElectrolyzerCapacityMW*1000*2191.5*CapacityFactor/EfficiencykWhPerKg*(1-DegradationRate)^MAX(Control!BR9-1,0)</f>
        <v/>
      </c>
      <c r="BS3">
        <f>Control!BS7*ElectrolyzerCapacityMW*1000*2191.5*CapacityFactor/EfficiencykWhPerKg*(1-DegradationRate)^MAX(Control!BS9-1,0)</f>
        <v/>
      </c>
      <c r="BT3">
        <f>Control!BT7*ElectrolyzerCapacityMW*1000*2191.5*CapacityFactor/EfficiencykWhPerKg*(1-DegradationRate)^MAX(Control!BT9-1,0)</f>
        <v/>
      </c>
      <c r="BU3">
        <f>Control!BU7*ElectrolyzerCapacityMW*1000*2191.5*CapacityFactor/EfficiencykWhPerKg*(1-DegradationRate)^MAX(Control!BU9-1,0)</f>
        <v/>
      </c>
      <c r="BV3">
        <f>Control!BV7*ElectrolyzerCapacityMW*1000*2191.5*CapacityFactor/EfficiencykWhPerKg*(1-DegradationRate)^MAX(Control!BV9-1,0)</f>
        <v/>
      </c>
      <c r="BW3">
        <f>Control!BW7*ElectrolyzerCapacityMW*1000*2191.5*CapacityFactor/EfficiencykWhPerKg*(1-DegradationRate)^MAX(Control!BW9-1,0)</f>
        <v/>
      </c>
      <c r="BX3">
        <f>Control!BX7*ElectrolyzerCapacityMW*1000*2191.5*CapacityFactor/EfficiencykWhPerKg*(1-DegradationRate)^MAX(Control!BX9-1,0)</f>
        <v/>
      </c>
      <c r="BY3">
        <f>Control!BY7*ElectrolyzerCapacityMW*1000*2191.5*CapacityFactor/EfficiencykWhPerKg*(1-DegradationRate)^MAX(Control!BY9-1,0)</f>
        <v/>
      </c>
      <c r="BZ3">
        <f>Control!BZ7*ElectrolyzerCapacityMW*1000*2191.5*CapacityFactor/EfficiencykWhPerKg*(1-DegradationRate)^MAX(Control!BZ9-1,0)</f>
        <v/>
      </c>
      <c r="CA3">
        <f>Control!CA7*ElectrolyzerCapacityMW*1000*2191.5*CapacityFactor/EfficiencykWhPerKg*(1-DegradationRate)^MAX(Control!CA9-1,0)</f>
        <v/>
      </c>
      <c r="CB3">
        <f>Control!CB7*ElectrolyzerCapacityMW*1000*2191.5*CapacityFactor/EfficiencykWhPerKg*(1-DegradationRate)^MAX(Control!CB9-1,0)</f>
        <v/>
      </c>
      <c r="CC3">
        <f>Control!CC7*ElectrolyzerCapacityMW*1000*2191.5*CapacityFactor/EfficiencykWhPerKg*(1-DegradationRate)^MAX(Control!CC9-1,0)</f>
        <v/>
      </c>
      <c r="CD3">
        <f>Control!CD7*ElectrolyzerCapacityMW*1000*2191.5*CapacityFactor/EfficiencykWhPerKg*(1-DegradationRate)^MAX(Control!CD9-1,0)</f>
        <v/>
      </c>
      <c r="CE3">
        <f>Control!CE7*ElectrolyzerCapacityMW*1000*2191.5*CapacityFactor/EfficiencykWhPerKg*(1-DegradationRate)^MAX(Control!CE9-1,0)</f>
        <v/>
      </c>
      <c r="CF3">
        <f>Control!CF7*ElectrolyzerCapacityMW*1000*2191.5*CapacityFactor/EfficiencykWhPerKg*(1-DegradationRate)^MAX(Control!CF9-1,0)</f>
        <v/>
      </c>
      <c r="CG3">
        <f>Control!CG7*ElectrolyzerCapacityMW*1000*2191.5*CapacityFactor/EfficiencykWhPerKg*(1-DegradationRate)^MAX(Control!CG9-1,0)</f>
        <v/>
      </c>
      <c r="CH3">
        <f>Control!CH7*ElectrolyzerCapacityMW*1000*2191.5*CapacityFactor/EfficiencykWhPerKg*(1-DegradationRate)^MAX(Control!CH9-1,0)</f>
        <v/>
      </c>
      <c r="CI3">
        <f>Control!CI7*ElectrolyzerCapacityMW*1000*2191.5*CapacityFactor/EfficiencykWhPerKg*(1-DegradationRate)^MAX(Control!CI9-1,0)</f>
        <v/>
      </c>
      <c r="CJ3">
        <f>Control!CJ7*ElectrolyzerCapacityMW*1000*2191.5*CapacityFactor/EfficiencykWhPerKg*(1-DegradationRate)^MAX(Control!CJ9-1,0)</f>
        <v/>
      </c>
      <c r="CK3">
        <f>Control!CK7*ElectrolyzerCapacityMW*1000*2191.5*CapacityFactor/EfficiencykWhPerKg*(1-DegradationRate)^MAX(Control!CK9-1,0)</f>
        <v/>
      </c>
      <c r="CL3">
        <f>Control!CL7*ElectrolyzerCapacityMW*1000*2191.5*CapacityFactor/EfficiencykWhPerKg*(1-DegradationRate)^MAX(Control!CL9-1,0)</f>
        <v/>
      </c>
      <c r="CM3">
        <f>Control!CM7*ElectrolyzerCapacityMW*1000*2191.5*CapacityFactor/EfficiencykWhPerKg*(1-DegradationRate)^MAX(Control!CM9-1,0)</f>
        <v/>
      </c>
    </row>
    <row r="4">
      <c r="A4" s="3" t="inlineStr">
        <is>
          <t>Revenue</t>
        </is>
      </c>
      <c r="C4" t="inlineStr">
        <is>
          <t>$</t>
        </is>
      </c>
      <c r="D4">
        <f>D3*OfftakePrice</f>
        <v/>
      </c>
      <c r="E4">
        <f>E3*OfftakePrice</f>
        <v/>
      </c>
      <c r="F4">
        <f>F3*OfftakePrice</f>
        <v/>
      </c>
      <c r="G4">
        <f>G3*OfftakePrice</f>
        <v/>
      </c>
      <c r="H4">
        <f>H3*OfftakePrice</f>
        <v/>
      </c>
      <c r="I4">
        <f>I3*OfftakePrice</f>
        <v/>
      </c>
      <c r="J4">
        <f>J3*OfftakePrice</f>
        <v/>
      </c>
      <c r="K4">
        <f>K3*OfftakePrice</f>
        <v/>
      </c>
      <c r="L4">
        <f>L3*OfftakePrice</f>
        <v/>
      </c>
      <c r="M4">
        <f>M3*OfftakePrice</f>
        <v/>
      </c>
      <c r="N4">
        <f>N3*OfftakePrice</f>
        <v/>
      </c>
      <c r="O4">
        <f>O3*OfftakePrice</f>
        <v/>
      </c>
      <c r="P4">
        <f>P3*OfftakePrice</f>
        <v/>
      </c>
      <c r="Q4">
        <f>Q3*OfftakePrice</f>
        <v/>
      </c>
      <c r="R4">
        <f>R3*OfftakePrice</f>
        <v/>
      </c>
      <c r="S4">
        <f>S3*OfftakePrice</f>
        <v/>
      </c>
      <c r="T4">
        <f>T3*OfftakePrice</f>
        <v/>
      </c>
      <c r="U4">
        <f>U3*OfftakePrice</f>
        <v/>
      </c>
      <c r="V4">
        <f>V3*OfftakePrice</f>
        <v/>
      </c>
      <c r="W4">
        <f>W3*OfftakePrice</f>
        <v/>
      </c>
      <c r="X4">
        <f>X3*OfftakePrice</f>
        <v/>
      </c>
      <c r="Y4">
        <f>Y3*OfftakePrice</f>
        <v/>
      </c>
      <c r="Z4">
        <f>Z3*OfftakePrice</f>
        <v/>
      </c>
      <c r="AA4">
        <f>AA3*OfftakePrice</f>
        <v/>
      </c>
      <c r="AB4">
        <f>AB3*OfftakePrice</f>
        <v/>
      </c>
      <c r="AC4">
        <f>AC3*OfftakePrice</f>
        <v/>
      </c>
      <c r="AD4">
        <f>AD3*OfftakePrice</f>
        <v/>
      </c>
      <c r="AE4">
        <f>AE3*OfftakePrice</f>
        <v/>
      </c>
      <c r="AF4">
        <f>AF3*OfftakePrice</f>
        <v/>
      </c>
      <c r="AG4">
        <f>AG3*OfftakePrice</f>
        <v/>
      </c>
      <c r="AH4">
        <f>AH3*OfftakePrice</f>
        <v/>
      </c>
      <c r="AI4">
        <f>AI3*OfftakePrice</f>
        <v/>
      </c>
      <c r="AJ4">
        <f>AJ3*OfftakePrice</f>
        <v/>
      </c>
      <c r="AK4">
        <f>AK3*OfftakePrice</f>
        <v/>
      </c>
      <c r="AL4">
        <f>AL3*OfftakePrice</f>
        <v/>
      </c>
      <c r="AM4">
        <f>AM3*OfftakePrice</f>
        <v/>
      </c>
      <c r="AN4">
        <f>AN3*OfftakePrice</f>
        <v/>
      </c>
      <c r="AO4">
        <f>AO3*OfftakePrice</f>
        <v/>
      </c>
      <c r="AP4">
        <f>AP3*OfftakePrice</f>
        <v/>
      </c>
      <c r="AQ4">
        <f>AQ3*OfftakePrice</f>
        <v/>
      </c>
      <c r="AR4">
        <f>AR3*OfftakePrice</f>
        <v/>
      </c>
      <c r="AS4">
        <f>AS3*OfftakePrice</f>
        <v/>
      </c>
      <c r="AT4">
        <f>AT3*OfftakePrice</f>
        <v/>
      </c>
      <c r="AU4">
        <f>AU3*OfftakePrice</f>
        <v/>
      </c>
      <c r="AV4">
        <f>AV3*OfftakePrice</f>
        <v/>
      </c>
      <c r="AW4">
        <f>AW3*OfftakePrice</f>
        <v/>
      </c>
      <c r="AX4">
        <f>AX3*OfftakePrice</f>
        <v/>
      </c>
      <c r="AY4">
        <f>AY3*OfftakePrice</f>
        <v/>
      </c>
      <c r="AZ4">
        <f>AZ3*OfftakePrice</f>
        <v/>
      </c>
      <c r="BA4">
        <f>BA3*OfftakePrice</f>
        <v/>
      </c>
      <c r="BB4">
        <f>BB3*OfftakePrice</f>
        <v/>
      </c>
      <c r="BC4">
        <f>BC3*OfftakePrice</f>
        <v/>
      </c>
      <c r="BD4">
        <f>BD3*OfftakePrice</f>
        <v/>
      </c>
      <c r="BE4">
        <f>BE3*OfftakePrice</f>
        <v/>
      </c>
      <c r="BF4">
        <f>BF3*OfftakePrice</f>
        <v/>
      </c>
      <c r="BG4">
        <f>BG3*OfftakePrice</f>
        <v/>
      </c>
      <c r="BH4">
        <f>BH3*OfftakePrice</f>
        <v/>
      </c>
      <c r="BI4">
        <f>BI3*OfftakePrice</f>
        <v/>
      </c>
      <c r="BJ4">
        <f>BJ3*OfftakePrice</f>
        <v/>
      </c>
      <c r="BK4">
        <f>BK3*OfftakePrice</f>
        <v/>
      </c>
      <c r="BL4">
        <f>BL3*OfftakePrice</f>
        <v/>
      </c>
      <c r="BM4">
        <f>BM3*OfftakePrice</f>
        <v/>
      </c>
      <c r="BN4">
        <f>BN3*OfftakePrice</f>
        <v/>
      </c>
      <c r="BO4">
        <f>BO3*OfftakePrice</f>
        <v/>
      </c>
      <c r="BP4">
        <f>BP3*OfftakePrice</f>
        <v/>
      </c>
      <c r="BQ4">
        <f>BQ3*OfftakePrice</f>
        <v/>
      </c>
      <c r="BR4">
        <f>BR3*OfftakePrice</f>
        <v/>
      </c>
      <c r="BS4">
        <f>BS3*OfftakePrice</f>
        <v/>
      </c>
      <c r="BT4">
        <f>BT3*OfftakePrice</f>
        <v/>
      </c>
      <c r="BU4">
        <f>BU3*OfftakePrice</f>
        <v/>
      </c>
      <c r="BV4">
        <f>BV3*OfftakePrice</f>
        <v/>
      </c>
      <c r="BW4">
        <f>BW3*OfftakePrice</f>
        <v/>
      </c>
      <c r="BX4">
        <f>BX3*OfftakePrice</f>
        <v/>
      </c>
      <c r="BY4">
        <f>BY3*OfftakePrice</f>
        <v/>
      </c>
      <c r="BZ4">
        <f>BZ3*OfftakePrice</f>
        <v/>
      </c>
      <c r="CA4">
        <f>CA3*OfftakePrice</f>
        <v/>
      </c>
      <c r="CB4">
        <f>CB3*OfftakePrice</f>
        <v/>
      </c>
      <c r="CC4">
        <f>CC3*OfftakePrice</f>
        <v/>
      </c>
      <c r="CD4">
        <f>CD3*OfftakePrice</f>
        <v/>
      </c>
      <c r="CE4">
        <f>CE3*OfftakePrice</f>
        <v/>
      </c>
      <c r="CF4">
        <f>CF3*OfftakePrice</f>
        <v/>
      </c>
      <c r="CG4">
        <f>CG3*OfftakePrice</f>
        <v/>
      </c>
      <c r="CH4">
        <f>CH3*OfftakePrice</f>
        <v/>
      </c>
      <c r="CI4">
        <f>CI3*OfftakePrice</f>
        <v/>
      </c>
      <c r="CJ4">
        <f>CJ3*OfftakePrice</f>
        <v/>
      </c>
      <c r="CK4">
        <f>CK3*OfftakePrice</f>
        <v/>
      </c>
      <c r="CL4">
        <f>CL3*OfftakePrice</f>
        <v/>
      </c>
      <c r="CM4">
        <f>CM3*OfftakePrice</f>
        <v/>
      </c>
    </row>
    <row r="5">
      <c r="A5" s="3" t="inlineStr">
        <is>
          <t>Fixed Opex</t>
        </is>
      </c>
      <c r="C5" t="inlineStr">
        <is>
          <t>$</t>
        </is>
      </c>
      <c r="D5">
        <f>Control!D7*FixedOpexAnnual/4</f>
        <v/>
      </c>
      <c r="E5">
        <f>Control!E7*FixedOpexAnnual/4</f>
        <v/>
      </c>
      <c r="F5">
        <f>Control!F7*FixedOpexAnnual/4</f>
        <v/>
      </c>
      <c r="G5">
        <f>Control!G7*FixedOpexAnnual/4</f>
        <v/>
      </c>
      <c r="H5">
        <f>Control!H7*FixedOpexAnnual/4</f>
        <v/>
      </c>
      <c r="I5">
        <f>Control!I7*FixedOpexAnnual/4</f>
        <v/>
      </c>
      <c r="J5">
        <f>Control!J7*FixedOpexAnnual/4</f>
        <v/>
      </c>
      <c r="K5">
        <f>Control!K7*FixedOpexAnnual/4</f>
        <v/>
      </c>
      <c r="L5">
        <f>Control!L7*FixedOpexAnnual/4</f>
        <v/>
      </c>
      <c r="M5">
        <f>Control!M7*FixedOpexAnnual/4</f>
        <v/>
      </c>
      <c r="N5">
        <f>Control!N7*FixedOpexAnnual/4</f>
        <v/>
      </c>
      <c r="O5">
        <f>Control!O7*FixedOpexAnnual/4</f>
        <v/>
      </c>
      <c r="P5">
        <f>Control!P7*FixedOpexAnnual/4</f>
        <v/>
      </c>
      <c r="Q5">
        <f>Control!Q7*FixedOpexAnnual/4</f>
        <v/>
      </c>
      <c r="R5">
        <f>Control!R7*FixedOpexAnnual/4</f>
        <v/>
      </c>
      <c r="S5">
        <f>Control!S7*FixedOpexAnnual/4</f>
        <v/>
      </c>
      <c r="T5">
        <f>Control!T7*FixedOpexAnnual/4</f>
        <v/>
      </c>
      <c r="U5">
        <f>Control!U7*FixedOpexAnnual/4</f>
        <v/>
      </c>
      <c r="V5">
        <f>Control!V7*FixedOpexAnnual/4</f>
        <v/>
      </c>
      <c r="W5">
        <f>Control!W7*FixedOpexAnnual/4</f>
        <v/>
      </c>
      <c r="X5">
        <f>Control!X7*FixedOpexAnnual/4</f>
        <v/>
      </c>
      <c r="Y5">
        <f>Control!Y7*FixedOpexAnnual/4</f>
        <v/>
      </c>
      <c r="Z5">
        <f>Control!Z7*FixedOpexAnnual/4</f>
        <v/>
      </c>
      <c r="AA5">
        <f>Control!AA7*FixedOpexAnnual/4</f>
        <v/>
      </c>
      <c r="AB5">
        <f>Control!AB7*FixedOpexAnnual/4</f>
        <v/>
      </c>
      <c r="AC5">
        <f>Control!AC7*FixedOpexAnnual/4</f>
        <v/>
      </c>
      <c r="AD5">
        <f>Control!AD7*FixedOpexAnnual/4</f>
        <v/>
      </c>
      <c r="AE5">
        <f>Control!AE7*FixedOpexAnnual/4</f>
        <v/>
      </c>
      <c r="AF5">
        <f>Control!AF7*FixedOpexAnnual/4</f>
        <v/>
      </c>
      <c r="AG5">
        <f>Control!AG7*FixedOpexAnnual/4</f>
        <v/>
      </c>
      <c r="AH5">
        <f>Control!AH7*FixedOpexAnnual/4</f>
        <v/>
      </c>
      <c r="AI5">
        <f>Control!AI7*FixedOpexAnnual/4</f>
        <v/>
      </c>
      <c r="AJ5">
        <f>Control!AJ7*FixedOpexAnnual/4</f>
        <v/>
      </c>
      <c r="AK5">
        <f>Control!AK7*FixedOpexAnnual/4</f>
        <v/>
      </c>
      <c r="AL5">
        <f>Control!AL7*FixedOpexAnnual/4</f>
        <v/>
      </c>
      <c r="AM5">
        <f>Control!AM7*FixedOpexAnnual/4</f>
        <v/>
      </c>
      <c r="AN5">
        <f>Control!AN7*FixedOpexAnnual/4</f>
        <v/>
      </c>
      <c r="AO5">
        <f>Control!AO7*FixedOpexAnnual/4</f>
        <v/>
      </c>
      <c r="AP5">
        <f>Control!AP7*FixedOpexAnnual/4</f>
        <v/>
      </c>
      <c r="AQ5">
        <f>Control!AQ7*FixedOpexAnnual/4</f>
        <v/>
      </c>
      <c r="AR5">
        <f>Control!AR7*FixedOpexAnnual/4</f>
        <v/>
      </c>
      <c r="AS5">
        <f>Control!AS7*FixedOpexAnnual/4</f>
        <v/>
      </c>
      <c r="AT5">
        <f>Control!AT7*FixedOpexAnnual/4</f>
        <v/>
      </c>
      <c r="AU5">
        <f>Control!AU7*FixedOpexAnnual/4</f>
        <v/>
      </c>
      <c r="AV5">
        <f>Control!AV7*FixedOpexAnnual/4</f>
        <v/>
      </c>
      <c r="AW5">
        <f>Control!AW7*FixedOpexAnnual/4</f>
        <v/>
      </c>
      <c r="AX5">
        <f>Control!AX7*FixedOpexAnnual/4</f>
        <v/>
      </c>
      <c r="AY5">
        <f>Control!AY7*FixedOpexAnnual/4</f>
        <v/>
      </c>
      <c r="AZ5">
        <f>Control!AZ7*FixedOpexAnnual/4</f>
        <v/>
      </c>
      <c r="BA5">
        <f>Control!BA7*FixedOpexAnnual/4</f>
        <v/>
      </c>
      <c r="BB5">
        <f>Control!BB7*FixedOpexAnnual/4</f>
        <v/>
      </c>
      <c r="BC5">
        <f>Control!BC7*FixedOpexAnnual/4</f>
        <v/>
      </c>
      <c r="BD5">
        <f>Control!BD7*FixedOpexAnnual/4</f>
        <v/>
      </c>
      <c r="BE5">
        <f>Control!BE7*FixedOpexAnnual/4</f>
        <v/>
      </c>
      <c r="BF5">
        <f>Control!BF7*FixedOpexAnnual/4</f>
        <v/>
      </c>
      <c r="BG5">
        <f>Control!BG7*FixedOpexAnnual/4</f>
        <v/>
      </c>
      <c r="BH5">
        <f>Control!BH7*FixedOpexAnnual/4</f>
        <v/>
      </c>
      <c r="BI5">
        <f>Control!BI7*FixedOpexAnnual/4</f>
        <v/>
      </c>
      <c r="BJ5">
        <f>Control!BJ7*FixedOpexAnnual/4</f>
        <v/>
      </c>
      <c r="BK5">
        <f>Control!BK7*FixedOpexAnnual/4</f>
        <v/>
      </c>
      <c r="BL5">
        <f>Control!BL7*FixedOpexAnnual/4</f>
        <v/>
      </c>
      <c r="BM5">
        <f>Control!BM7*FixedOpexAnnual/4</f>
        <v/>
      </c>
      <c r="BN5">
        <f>Control!BN7*FixedOpexAnnual/4</f>
        <v/>
      </c>
      <c r="BO5">
        <f>Control!BO7*FixedOpexAnnual/4</f>
        <v/>
      </c>
      <c r="BP5">
        <f>Control!BP7*FixedOpexAnnual/4</f>
        <v/>
      </c>
      <c r="BQ5">
        <f>Control!BQ7*FixedOpexAnnual/4</f>
        <v/>
      </c>
      <c r="BR5">
        <f>Control!BR7*FixedOpexAnnual/4</f>
        <v/>
      </c>
      <c r="BS5">
        <f>Control!BS7*FixedOpexAnnual/4</f>
        <v/>
      </c>
      <c r="BT5">
        <f>Control!BT7*FixedOpexAnnual/4</f>
        <v/>
      </c>
      <c r="BU5">
        <f>Control!BU7*FixedOpexAnnual/4</f>
        <v/>
      </c>
      <c r="BV5">
        <f>Control!BV7*FixedOpexAnnual/4</f>
        <v/>
      </c>
      <c r="BW5">
        <f>Control!BW7*FixedOpexAnnual/4</f>
        <v/>
      </c>
      <c r="BX5">
        <f>Control!BX7*FixedOpexAnnual/4</f>
        <v/>
      </c>
      <c r="BY5">
        <f>Control!BY7*FixedOpexAnnual/4</f>
        <v/>
      </c>
      <c r="BZ5">
        <f>Control!BZ7*FixedOpexAnnual/4</f>
        <v/>
      </c>
      <c r="CA5">
        <f>Control!CA7*FixedOpexAnnual/4</f>
        <v/>
      </c>
      <c r="CB5">
        <f>Control!CB7*FixedOpexAnnual/4</f>
        <v/>
      </c>
      <c r="CC5">
        <f>Control!CC7*FixedOpexAnnual/4</f>
        <v/>
      </c>
      <c r="CD5">
        <f>Control!CD7*FixedOpexAnnual/4</f>
        <v/>
      </c>
      <c r="CE5">
        <f>Control!CE7*FixedOpexAnnual/4</f>
        <v/>
      </c>
      <c r="CF5">
        <f>Control!CF7*FixedOpexAnnual/4</f>
        <v/>
      </c>
      <c r="CG5">
        <f>Control!CG7*FixedOpexAnnual/4</f>
        <v/>
      </c>
      <c r="CH5">
        <f>Control!CH7*FixedOpexAnnual/4</f>
        <v/>
      </c>
      <c r="CI5">
        <f>Control!CI7*FixedOpexAnnual/4</f>
        <v/>
      </c>
      <c r="CJ5">
        <f>Control!CJ7*FixedOpexAnnual/4</f>
        <v/>
      </c>
      <c r="CK5">
        <f>Control!CK7*FixedOpexAnnual/4</f>
        <v/>
      </c>
      <c r="CL5">
        <f>Control!CL7*FixedOpexAnnual/4</f>
        <v/>
      </c>
      <c r="CM5">
        <f>Control!CM7*FixedOpexAnnual/4</f>
        <v/>
      </c>
    </row>
    <row r="6">
      <c r="A6" s="3" t="inlineStr">
        <is>
          <t>Variable Opex</t>
        </is>
      </c>
      <c r="C6" t="inlineStr">
        <is>
          <t>$</t>
        </is>
      </c>
      <c r="D6">
        <f>D3*VariableOpexPerKg</f>
        <v/>
      </c>
      <c r="E6">
        <f>E3*VariableOpexPerKg</f>
        <v/>
      </c>
      <c r="F6">
        <f>F3*VariableOpexPerKg</f>
        <v/>
      </c>
      <c r="G6">
        <f>G3*VariableOpexPerKg</f>
        <v/>
      </c>
      <c r="H6">
        <f>H3*VariableOpexPerKg</f>
        <v/>
      </c>
      <c r="I6">
        <f>I3*VariableOpexPerKg</f>
        <v/>
      </c>
      <c r="J6">
        <f>J3*VariableOpexPerKg</f>
        <v/>
      </c>
      <c r="K6">
        <f>K3*VariableOpexPerKg</f>
        <v/>
      </c>
      <c r="L6">
        <f>L3*VariableOpexPerKg</f>
        <v/>
      </c>
      <c r="M6">
        <f>M3*VariableOpexPerKg</f>
        <v/>
      </c>
      <c r="N6">
        <f>N3*VariableOpexPerKg</f>
        <v/>
      </c>
      <c r="O6">
        <f>O3*VariableOpexPerKg</f>
        <v/>
      </c>
      <c r="P6">
        <f>P3*VariableOpexPerKg</f>
        <v/>
      </c>
      <c r="Q6">
        <f>Q3*VariableOpexPerKg</f>
        <v/>
      </c>
      <c r="R6">
        <f>R3*VariableOpexPerKg</f>
        <v/>
      </c>
      <c r="S6">
        <f>S3*VariableOpexPerKg</f>
        <v/>
      </c>
      <c r="T6">
        <f>T3*VariableOpexPerKg</f>
        <v/>
      </c>
      <c r="U6">
        <f>U3*VariableOpexPerKg</f>
        <v/>
      </c>
      <c r="V6">
        <f>V3*VariableOpexPerKg</f>
        <v/>
      </c>
      <c r="W6">
        <f>W3*VariableOpexPerKg</f>
        <v/>
      </c>
      <c r="X6">
        <f>X3*VariableOpexPerKg</f>
        <v/>
      </c>
      <c r="Y6">
        <f>Y3*VariableOpexPerKg</f>
        <v/>
      </c>
      <c r="Z6">
        <f>Z3*VariableOpexPerKg</f>
        <v/>
      </c>
      <c r="AA6">
        <f>AA3*VariableOpexPerKg</f>
        <v/>
      </c>
      <c r="AB6">
        <f>AB3*VariableOpexPerKg</f>
        <v/>
      </c>
      <c r="AC6">
        <f>AC3*VariableOpexPerKg</f>
        <v/>
      </c>
      <c r="AD6">
        <f>AD3*VariableOpexPerKg</f>
        <v/>
      </c>
      <c r="AE6">
        <f>AE3*VariableOpexPerKg</f>
        <v/>
      </c>
      <c r="AF6">
        <f>AF3*VariableOpexPerKg</f>
        <v/>
      </c>
      <c r="AG6">
        <f>AG3*VariableOpexPerKg</f>
        <v/>
      </c>
      <c r="AH6">
        <f>AH3*VariableOpexPerKg</f>
        <v/>
      </c>
      <c r="AI6">
        <f>AI3*VariableOpexPerKg</f>
        <v/>
      </c>
      <c r="AJ6">
        <f>AJ3*VariableOpexPerKg</f>
        <v/>
      </c>
      <c r="AK6">
        <f>AK3*VariableOpexPerKg</f>
        <v/>
      </c>
      <c r="AL6">
        <f>AL3*VariableOpexPerKg</f>
        <v/>
      </c>
      <c r="AM6">
        <f>AM3*VariableOpexPerKg</f>
        <v/>
      </c>
      <c r="AN6">
        <f>AN3*VariableOpexPerKg</f>
        <v/>
      </c>
      <c r="AO6">
        <f>AO3*VariableOpexPerKg</f>
        <v/>
      </c>
      <c r="AP6">
        <f>AP3*VariableOpexPerKg</f>
        <v/>
      </c>
      <c r="AQ6">
        <f>AQ3*VariableOpexPerKg</f>
        <v/>
      </c>
      <c r="AR6">
        <f>AR3*VariableOpexPerKg</f>
        <v/>
      </c>
      <c r="AS6">
        <f>AS3*VariableOpexPerKg</f>
        <v/>
      </c>
      <c r="AT6">
        <f>AT3*VariableOpexPerKg</f>
        <v/>
      </c>
      <c r="AU6">
        <f>AU3*VariableOpexPerKg</f>
        <v/>
      </c>
      <c r="AV6">
        <f>AV3*VariableOpexPerKg</f>
        <v/>
      </c>
      <c r="AW6">
        <f>AW3*VariableOpexPerKg</f>
        <v/>
      </c>
      <c r="AX6">
        <f>AX3*VariableOpexPerKg</f>
        <v/>
      </c>
      <c r="AY6">
        <f>AY3*VariableOpexPerKg</f>
        <v/>
      </c>
      <c r="AZ6">
        <f>AZ3*VariableOpexPerKg</f>
        <v/>
      </c>
      <c r="BA6">
        <f>BA3*VariableOpexPerKg</f>
        <v/>
      </c>
      <c r="BB6">
        <f>BB3*VariableOpexPerKg</f>
        <v/>
      </c>
      <c r="BC6">
        <f>BC3*VariableOpexPerKg</f>
        <v/>
      </c>
      <c r="BD6">
        <f>BD3*VariableOpexPerKg</f>
        <v/>
      </c>
      <c r="BE6">
        <f>BE3*VariableOpexPerKg</f>
        <v/>
      </c>
      <c r="BF6">
        <f>BF3*VariableOpexPerKg</f>
        <v/>
      </c>
      <c r="BG6">
        <f>BG3*VariableOpexPerKg</f>
        <v/>
      </c>
      <c r="BH6">
        <f>BH3*VariableOpexPerKg</f>
        <v/>
      </c>
      <c r="BI6">
        <f>BI3*VariableOpexPerKg</f>
        <v/>
      </c>
      <c r="BJ6">
        <f>BJ3*VariableOpexPerKg</f>
        <v/>
      </c>
      <c r="BK6">
        <f>BK3*VariableOpexPerKg</f>
        <v/>
      </c>
      <c r="BL6">
        <f>BL3*VariableOpexPerKg</f>
        <v/>
      </c>
      <c r="BM6">
        <f>BM3*VariableOpexPerKg</f>
        <v/>
      </c>
      <c r="BN6">
        <f>BN3*VariableOpexPerKg</f>
        <v/>
      </c>
      <c r="BO6">
        <f>BO3*VariableOpexPerKg</f>
        <v/>
      </c>
      <c r="BP6">
        <f>BP3*VariableOpexPerKg</f>
        <v/>
      </c>
      <c r="BQ6">
        <f>BQ3*VariableOpexPerKg</f>
        <v/>
      </c>
      <c r="BR6">
        <f>BR3*VariableOpexPerKg</f>
        <v/>
      </c>
      <c r="BS6">
        <f>BS3*VariableOpexPerKg</f>
        <v/>
      </c>
      <c r="BT6">
        <f>BT3*VariableOpexPerKg</f>
        <v/>
      </c>
      <c r="BU6">
        <f>BU3*VariableOpexPerKg</f>
        <v/>
      </c>
      <c r="BV6">
        <f>BV3*VariableOpexPerKg</f>
        <v/>
      </c>
      <c r="BW6">
        <f>BW3*VariableOpexPerKg</f>
        <v/>
      </c>
      <c r="BX6">
        <f>BX3*VariableOpexPerKg</f>
        <v/>
      </c>
      <c r="BY6">
        <f>BY3*VariableOpexPerKg</f>
        <v/>
      </c>
      <c r="BZ6">
        <f>BZ3*VariableOpexPerKg</f>
        <v/>
      </c>
      <c r="CA6">
        <f>CA3*VariableOpexPerKg</f>
        <v/>
      </c>
      <c r="CB6">
        <f>CB3*VariableOpexPerKg</f>
        <v/>
      </c>
      <c r="CC6">
        <f>CC3*VariableOpexPerKg</f>
        <v/>
      </c>
      <c r="CD6">
        <f>CD3*VariableOpexPerKg</f>
        <v/>
      </c>
      <c r="CE6">
        <f>CE3*VariableOpexPerKg</f>
        <v/>
      </c>
      <c r="CF6">
        <f>CF3*VariableOpexPerKg</f>
        <v/>
      </c>
      <c r="CG6">
        <f>CG3*VariableOpexPerKg</f>
        <v/>
      </c>
      <c r="CH6">
        <f>CH3*VariableOpexPerKg</f>
        <v/>
      </c>
      <c r="CI6">
        <f>CI3*VariableOpexPerKg</f>
        <v/>
      </c>
      <c r="CJ6">
        <f>CJ3*VariableOpexPerKg</f>
        <v/>
      </c>
      <c r="CK6">
        <f>CK3*VariableOpexPerKg</f>
        <v/>
      </c>
      <c r="CL6">
        <f>CL3*VariableOpexPerKg</f>
        <v/>
      </c>
      <c r="CM6">
        <f>CM3*VariableOpexPerKg</f>
        <v/>
      </c>
    </row>
    <row r="7">
      <c r="A7" s="3" t="inlineStr">
        <is>
          <t>Power Cost</t>
        </is>
      </c>
      <c r="C7" t="inlineStr">
        <is>
          <t>$</t>
        </is>
      </c>
      <c r="D7">
        <f>D3*EfficiencykWhPerKg/1000*PowerPrice</f>
        <v/>
      </c>
      <c r="E7">
        <f>E3*EfficiencykWhPerKg/1000*PowerPrice</f>
        <v/>
      </c>
      <c r="F7">
        <f>F3*EfficiencykWhPerKg/1000*PowerPrice</f>
        <v/>
      </c>
      <c r="G7">
        <f>G3*EfficiencykWhPerKg/1000*PowerPrice</f>
        <v/>
      </c>
      <c r="H7">
        <f>H3*EfficiencykWhPerKg/1000*PowerPrice</f>
        <v/>
      </c>
      <c r="I7">
        <f>I3*EfficiencykWhPerKg/1000*PowerPrice</f>
        <v/>
      </c>
      <c r="J7">
        <f>J3*EfficiencykWhPerKg/1000*PowerPrice</f>
        <v/>
      </c>
      <c r="K7">
        <f>K3*EfficiencykWhPerKg/1000*PowerPrice</f>
        <v/>
      </c>
      <c r="L7">
        <f>L3*EfficiencykWhPerKg/1000*PowerPrice</f>
        <v/>
      </c>
      <c r="M7">
        <f>M3*EfficiencykWhPerKg/1000*PowerPrice</f>
        <v/>
      </c>
      <c r="N7">
        <f>N3*EfficiencykWhPerKg/1000*PowerPrice</f>
        <v/>
      </c>
      <c r="O7">
        <f>O3*EfficiencykWhPerKg/1000*PowerPrice</f>
        <v/>
      </c>
      <c r="P7">
        <f>P3*EfficiencykWhPerKg/1000*PowerPrice</f>
        <v/>
      </c>
      <c r="Q7">
        <f>Q3*EfficiencykWhPerKg/1000*PowerPrice</f>
        <v/>
      </c>
      <c r="R7">
        <f>R3*EfficiencykWhPerKg/1000*PowerPrice</f>
        <v/>
      </c>
      <c r="S7">
        <f>S3*EfficiencykWhPerKg/1000*PowerPrice</f>
        <v/>
      </c>
      <c r="T7">
        <f>T3*EfficiencykWhPerKg/1000*PowerPrice</f>
        <v/>
      </c>
      <c r="U7">
        <f>U3*EfficiencykWhPerKg/1000*PowerPrice</f>
        <v/>
      </c>
      <c r="V7">
        <f>V3*EfficiencykWhPerKg/1000*PowerPrice</f>
        <v/>
      </c>
      <c r="W7">
        <f>W3*EfficiencykWhPerKg/1000*PowerPrice</f>
        <v/>
      </c>
      <c r="X7">
        <f>X3*EfficiencykWhPerKg/1000*PowerPrice</f>
        <v/>
      </c>
      <c r="Y7">
        <f>Y3*EfficiencykWhPerKg/1000*PowerPrice</f>
        <v/>
      </c>
      <c r="Z7">
        <f>Z3*EfficiencykWhPerKg/1000*PowerPrice</f>
        <v/>
      </c>
      <c r="AA7">
        <f>AA3*EfficiencykWhPerKg/1000*PowerPrice</f>
        <v/>
      </c>
      <c r="AB7">
        <f>AB3*EfficiencykWhPerKg/1000*PowerPrice</f>
        <v/>
      </c>
      <c r="AC7">
        <f>AC3*EfficiencykWhPerKg/1000*PowerPrice</f>
        <v/>
      </c>
      <c r="AD7">
        <f>AD3*EfficiencykWhPerKg/1000*PowerPrice</f>
        <v/>
      </c>
      <c r="AE7">
        <f>AE3*EfficiencykWhPerKg/1000*PowerPrice</f>
        <v/>
      </c>
      <c r="AF7">
        <f>AF3*EfficiencykWhPerKg/1000*PowerPrice</f>
        <v/>
      </c>
      <c r="AG7">
        <f>AG3*EfficiencykWhPerKg/1000*PowerPrice</f>
        <v/>
      </c>
      <c r="AH7">
        <f>AH3*EfficiencykWhPerKg/1000*PowerPrice</f>
        <v/>
      </c>
      <c r="AI7">
        <f>AI3*EfficiencykWhPerKg/1000*PowerPrice</f>
        <v/>
      </c>
      <c r="AJ7">
        <f>AJ3*EfficiencykWhPerKg/1000*PowerPrice</f>
        <v/>
      </c>
      <c r="AK7">
        <f>AK3*EfficiencykWhPerKg/1000*PowerPrice</f>
        <v/>
      </c>
      <c r="AL7">
        <f>AL3*EfficiencykWhPerKg/1000*PowerPrice</f>
        <v/>
      </c>
      <c r="AM7">
        <f>AM3*EfficiencykWhPerKg/1000*PowerPrice</f>
        <v/>
      </c>
      <c r="AN7">
        <f>AN3*EfficiencykWhPerKg/1000*PowerPrice</f>
        <v/>
      </c>
      <c r="AO7">
        <f>AO3*EfficiencykWhPerKg/1000*PowerPrice</f>
        <v/>
      </c>
      <c r="AP7">
        <f>AP3*EfficiencykWhPerKg/1000*PowerPrice</f>
        <v/>
      </c>
      <c r="AQ7">
        <f>AQ3*EfficiencykWhPerKg/1000*PowerPrice</f>
        <v/>
      </c>
      <c r="AR7">
        <f>AR3*EfficiencykWhPerKg/1000*PowerPrice</f>
        <v/>
      </c>
      <c r="AS7">
        <f>AS3*EfficiencykWhPerKg/1000*PowerPrice</f>
        <v/>
      </c>
      <c r="AT7">
        <f>AT3*EfficiencykWhPerKg/1000*PowerPrice</f>
        <v/>
      </c>
      <c r="AU7">
        <f>AU3*EfficiencykWhPerKg/1000*PowerPrice</f>
        <v/>
      </c>
      <c r="AV7">
        <f>AV3*EfficiencykWhPerKg/1000*PowerPrice</f>
        <v/>
      </c>
      <c r="AW7">
        <f>AW3*EfficiencykWhPerKg/1000*PowerPrice</f>
        <v/>
      </c>
      <c r="AX7">
        <f>AX3*EfficiencykWhPerKg/1000*PowerPrice</f>
        <v/>
      </c>
      <c r="AY7">
        <f>AY3*EfficiencykWhPerKg/1000*PowerPrice</f>
        <v/>
      </c>
      <c r="AZ7">
        <f>AZ3*EfficiencykWhPerKg/1000*PowerPrice</f>
        <v/>
      </c>
      <c r="BA7">
        <f>BA3*EfficiencykWhPerKg/1000*PowerPrice</f>
        <v/>
      </c>
      <c r="BB7">
        <f>BB3*EfficiencykWhPerKg/1000*PowerPrice</f>
        <v/>
      </c>
      <c r="BC7">
        <f>BC3*EfficiencykWhPerKg/1000*PowerPrice</f>
        <v/>
      </c>
      <c r="BD7">
        <f>BD3*EfficiencykWhPerKg/1000*PowerPrice</f>
        <v/>
      </c>
      <c r="BE7">
        <f>BE3*EfficiencykWhPerKg/1000*PowerPrice</f>
        <v/>
      </c>
      <c r="BF7">
        <f>BF3*EfficiencykWhPerKg/1000*PowerPrice</f>
        <v/>
      </c>
      <c r="BG7">
        <f>BG3*EfficiencykWhPerKg/1000*PowerPrice</f>
        <v/>
      </c>
      <c r="BH7">
        <f>BH3*EfficiencykWhPerKg/1000*PowerPrice</f>
        <v/>
      </c>
      <c r="BI7">
        <f>BI3*EfficiencykWhPerKg/1000*PowerPrice</f>
        <v/>
      </c>
      <c r="BJ7">
        <f>BJ3*EfficiencykWhPerKg/1000*PowerPrice</f>
        <v/>
      </c>
      <c r="BK7">
        <f>BK3*EfficiencykWhPerKg/1000*PowerPrice</f>
        <v/>
      </c>
      <c r="BL7">
        <f>BL3*EfficiencykWhPerKg/1000*PowerPrice</f>
        <v/>
      </c>
      <c r="BM7">
        <f>BM3*EfficiencykWhPerKg/1000*PowerPrice</f>
        <v/>
      </c>
      <c r="BN7">
        <f>BN3*EfficiencykWhPerKg/1000*PowerPrice</f>
        <v/>
      </c>
      <c r="BO7">
        <f>BO3*EfficiencykWhPerKg/1000*PowerPrice</f>
        <v/>
      </c>
      <c r="BP7">
        <f>BP3*EfficiencykWhPerKg/1000*PowerPrice</f>
        <v/>
      </c>
      <c r="BQ7">
        <f>BQ3*EfficiencykWhPerKg/1000*PowerPrice</f>
        <v/>
      </c>
      <c r="BR7">
        <f>BR3*EfficiencykWhPerKg/1000*PowerPrice</f>
        <v/>
      </c>
      <c r="BS7">
        <f>BS3*EfficiencykWhPerKg/1000*PowerPrice</f>
        <v/>
      </c>
      <c r="BT7">
        <f>BT3*EfficiencykWhPerKg/1000*PowerPrice</f>
        <v/>
      </c>
      <c r="BU7">
        <f>BU3*EfficiencykWhPerKg/1000*PowerPrice</f>
        <v/>
      </c>
      <c r="BV7">
        <f>BV3*EfficiencykWhPerKg/1000*PowerPrice</f>
        <v/>
      </c>
      <c r="BW7">
        <f>BW3*EfficiencykWhPerKg/1000*PowerPrice</f>
        <v/>
      </c>
      <c r="BX7">
        <f>BX3*EfficiencykWhPerKg/1000*PowerPrice</f>
        <v/>
      </c>
      <c r="BY7">
        <f>BY3*EfficiencykWhPerKg/1000*PowerPrice</f>
        <v/>
      </c>
      <c r="BZ7">
        <f>BZ3*EfficiencykWhPerKg/1000*PowerPrice</f>
        <v/>
      </c>
      <c r="CA7">
        <f>CA3*EfficiencykWhPerKg/1000*PowerPrice</f>
        <v/>
      </c>
      <c r="CB7">
        <f>CB3*EfficiencykWhPerKg/1000*PowerPrice</f>
        <v/>
      </c>
      <c r="CC7">
        <f>CC3*EfficiencykWhPerKg/1000*PowerPrice</f>
        <v/>
      </c>
      <c r="CD7">
        <f>CD3*EfficiencykWhPerKg/1000*PowerPrice</f>
        <v/>
      </c>
      <c r="CE7">
        <f>CE3*EfficiencykWhPerKg/1000*PowerPrice</f>
        <v/>
      </c>
      <c r="CF7">
        <f>CF3*EfficiencykWhPerKg/1000*PowerPrice</f>
        <v/>
      </c>
      <c r="CG7">
        <f>CG3*EfficiencykWhPerKg/1000*PowerPrice</f>
        <v/>
      </c>
      <c r="CH7">
        <f>CH3*EfficiencykWhPerKg/1000*PowerPrice</f>
        <v/>
      </c>
      <c r="CI7">
        <f>CI3*EfficiencykWhPerKg/1000*PowerPrice</f>
        <v/>
      </c>
      <c r="CJ7">
        <f>CJ3*EfficiencykWhPerKg/1000*PowerPrice</f>
        <v/>
      </c>
      <c r="CK7">
        <f>CK3*EfficiencykWhPerKg/1000*PowerPrice</f>
        <v/>
      </c>
      <c r="CL7">
        <f>CL3*EfficiencykWhPerKg/1000*PowerPrice</f>
        <v/>
      </c>
      <c r="CM7">
        <f>CM3*EfficiencykWhPerKg/1000*PowerPrice</f>
        <v/>
      </c>
    </row>
    <row r="8">
      <c r="A8" s="3" t="inlineStr">
        <is>
          <t>Water Cost</t>
        </is>
      </c>
      <c r="C8" t="inlineStr">
        <is>
          <t>$</t>
        </is>
      </c>
      <c r="D8">
        <f>D3*WaterCostPerKg</f>
        <v/>
      </c>
      <c r="E8">
        <f>E3*WaterCostPerKg</f>
        <v/>
      </c>
      <c r="F8">
        <f>F3*WaterCostPerKg</f>
        <v/>
      </c>
      <c r="G8">
        <f>G3*WaterCostPerKg</f>
        <v/>
      </c>
      <c r="H8">
        <f>H3*WaterCostPerKg</f>
        <v/>
      </c>
      <c r="I8">
        <f>I3*WaterCostPerKg</f>
        <v/>
      </c>
      <c r="J8">
        <f>J3*WaterCostPerKg</f>
        <v/>
      </c>
      <c r="K8">
        <f>K3*WaterCostPerKg</f>
        <v/>
      </c>
      <c r="L8">
        <f>L3*WaterCostPerKg</f>
        <v/>
      </c>
      <c r="M8">
        <f>M3*WaterCostPerKg</f>
        <v/>
      </c>
      <c r="N8">
        <f>N3*WaterCostPerKg</f>
        <v/>
      </c>
      <c r="O8">
        <f>O3*WaterCostPerKg</f>
        <v/>
      </c>
      <c r="P8">
        <f>P3*WaterCostPerKg</f>
        <v/>
      </c>
      <c r="Q8">
        <f>Q3*WaterCostPerKg</f>
        <v/>
      </c>
      <c r="R8">
        <f>R3*WaterCostPerKg</f>
        <v/>
      </c>
      <c r="S8">
        <f>S3*WaterCostPerKg</f>
        <v/>
      </c>
      <c r="T8">
        <f>T3*WaterCostPerKg</f>
        <v/>
      </c>
      <c r="U8">
        <f>U3*WaterCostPerKg</f>
        <v/>
      </c>
      <c r="V8">
        <f>V3*WaterCostPerKg</f>
        <v/>
      </c>
      <c r="W8">
        <f>W3*WaterCostPerKg</f>
        <v/>
      </c>
      <c r="X8">
        <f>X3*WaterCostPerKg</f>
        <v/>
      </c>
      <c r="Y8">
        <f>Y3*WaterCostPerKg</f>
        <v/>
      </c>
      <c r="Z8">
        <f>Z3*WaterCostPerKg</f>
        <v/>
      </c>
      <c r="AA8">
        <f>AA3*WaterCostPerKg</f>
        <v/>
      </c>
      <c r="AB8">
        <f>AB3*WaterCostPerKg</f>
        <v/>
      </c>
      <c r="AC8">
        <f>AC3*WaterCostPerKg</f>
        <v/>
      </c>
      <c r="AD8">
        <f>AD3*WaterCostPerKg</f>
        <v/>
      </c>
      <c r="AE8">
        <f>AE3*WaterCostPerKg</f>
        <v/>
      </c>
      <c r="AF8">
        <f>AF3*WaterCostPerKg</f>
        <v/>
      </c>
      <c r="AG8">
        <f>AG3*WaterCostPerKg</f>
        <v/>
      </c>
      <c r="AH8">
        <f>AH3*WaterCostPerKg</f>
        <v/>
      </c>
      <c r="AI8">
        <f>AI3*WaterCostPerKg</f>
        <v/>
      </c>
      <c r="AJ8">
        <f>AJ3*WaterCostPerKg</f>
        <v/>
      </c>
      <c r="AK8">
        <f>AK3*WaterCostPerKg</f>
        <v/>
      </c>
      <c r="AL8">
        <f>AL3*WaterCostPerKg</f>
        <v/>
      </c>
      <c r="AM8">
        <f>AM3*WaterCostPerKg</f>
        <v/>
      </c>
      <c r="AN8">
        <f>AN3*WaterCostPerKg</f>
        <v/>
      </c>
      <c r="AO8">
        <f>AO3*WaterCostPerKg</f>
        <v/>
      </c>
      <c r="AP8">
        <f>AP3*WaterCostPerKg</f>
        <v/>
      </c>
      <c r="AQ8">
        <f>AQ3*WaterCostPerKg</f>
        <v/>
      </c>
      <c r="AR8">
        <f>AR3*WaterCostPerKg</f>
        <v/>
      </c>
      <c r="AS8">
        <f>AS3*WaterCostPerKg</f>
        <v/>
      </c>
      <c r="AT8">
        <f>AT3*WaterCostPerKg</f>
        <v/>
      </c>
      <c r="AU8">
        <f>AU3*WaterCostPerKg</f>
        <v/>
      </c>
      <c r="AV8">
        <f>AV3*WaterCostPerKg</f>
        <v/>
      </c>
      <c r="AW8">
        <f>AW3*WaterCostPerKg</f>
        <v/>
      </c>
      <c r="AX8">
        <f>AX3*WaterCostPerKg</f>
        <v/>
      </c>
      <c r="AY8">
        <f>AY3*WaterCostPerKg</f>
        <v/>
      </c>
      <c r="AZ8">
        <f>AZ3*WaterCostPerKg</f>
        <v/>
      </c>
      <c r="BA8">
        <f>BA3*WaterCostPerKg</f>
        <v/>
      </c>
      <c r="BB8">
        <f>BB3*WaterCostPerKg</f>
        <v/>
      </c>
      <c r="BC8">
        <f>BC3*WaterCostPerKg</f>
        <v/>
      </c>
      <c r="BD8">
        <f>BD3*WaterCostPerKg</f>
        <v/>
      </c>
      <c r="BE8">
        <f>BE3*WaterCostPerKg</f>
        <v/>
      </c>
      <c r="BF8">
        <f>BF3*WaterCostPerKg</f>
        <v/>
      </c>
      <c r="BG8">
        <f>BG3*WaterCostPerKg</f>
        <v/>
      </c>
      <c r="BH8">
        <f>BH3*WaterCostPerKg</f>
        <v/>
      </c>
      <c r="BI8">
        <f>BI3*WaterCostPerKg</f>
        <v/>
      </c>
      <c r="BJ8">
        <f>BJ3*WaterCostPerKg</f>
        <v/>
      </c>
      <c r="BK8">
        <f>BK3*WaterCostPerKg</f>
        <v/>
      </c>
      <c r="BL8">
        <f>BL3*WaterCostPerKg</f>
        <v/>
      </c>
      <c r="BM8">
        <f>BM3*WaterCostPerKg</f>
        <v/>
      </c>
      <c r="BN8">
        <f>BN3*WaterCostPerKg</f>
        <v/>
      </c>
      <c r="BO8">
        <f>BO3*WaterCostPerKg</f>
        <v/>
      </c>
      <c r="BP8">
        <f>BP3*WaterCostPerKg</f>
        <v/>
      </c>
      <c r="BQ8">
        <f>BQ3*WaterCostPerKg</f>
        <v/>
      </c>
      <c r="BR8">
        <f>BR3*WaterCostPerKg</f>
        <v/>
      </c>
      <c r="BS8">
        <f>BS3*WaterCostPerKg</f>
        <v/>
      </c>
      <c r="BT8">
        <f>BT3*WaterCostPerKg</f>
        <v/>
      </c>
      <c r="BU8">
        <f>BU3*WaterCostPerKg</f>
        <v/>
      </c>
      <c r="BV8">
        <f>BV3*WaterCostPerKg</f>
        <v/>
      </c>
      <c r="BW8">
        <f>BW3*WaterCostPerKg</f>
        <v/>
      </c>
      <c r="BX8">
        <f>BX3*WaterCostPerKg</f>
        <v/>
      </c>
      <c r="BY8">
        <f>BY3*WaterCostPerKg</f>
        <v/>
      </c>
      <c r="BZ8">
        <f>BZ3*WaterCostPerKg</f>
        <v/>
      </c>
      <c r="CA8">
        <f>CA3*WaterCostPerKg</f>
        <v/>
      </c>
      <c r="CB8">
        <f>CB3*WaterCostPerKg</f>
        <v/>
      </c>
      <c r="CC8">
        <f>CC3*WaterCostPerKg</f>
        <v/>
      </c>
      <c r="CD8">
        <f>CD3*WaterCostPerKg</f>
        <v/>
      </c>
      <c r="CE8">
        <f>CE3*WaterCostPerKg</f>
        <v/>
      </c>
      <c r="CF8">
        <f>CF3*WaterCostPerKg</f>
        <v/>
      </c>
      <c r="CG8">
        <f>CG3*WaterCostPerKg</f>
        <v/>
      </c>
      <c r="CH8">
        <f>CH3*WaterCostPerKg</f>
        <v/>
      </c>
      <c r="CI8">
        <f>CI3*WaterCostPerKg</f>
        <v/>
      </c>
      <c r="CJ8">
        <f>CJ3*WaterCostPerKg</f>
        <v/>
      </c>
      <c r="CK8">
        <f>CK3*WaterCostPerKg</f>
        <v/>
      </c>
      <c r="CL8">
        <f>CL3*WaterCostPerKg</f>
        <v/>
      </c>
      <c r="CM8">
        <f>CM3*WaterCostPerKg</f>
        <v/>
      </c>
    </row>
    <row r="9">
      <c r="A9" s="3" t="inlineStr">
        <is>
          <t>Stack Replacement Capex</t>
        </is>
      </c>
      <c r="C9" t="inlineStr">
        <is>
          <t>$</t>
        </is>
      </c>
      <c r="D9">
        <f>IF(AND(Control!D7=1,Control!D9&gt;0,MOD(Control!D9,StackReplacementIntervalYrs)=0,Control!D5=4),StackReplacementCost,0)</f>
        <v/>
      </c>
      <c r="E9">
        <f>IF(AND(Control!E7=1,Control!E9&gt;0,MOD(Control!E9,StackReplacementIntervalYrs)=0,Control!E5=4),StackReplacementCost,0)</f>
        <v/>
      </c>
      <c r="F9">
        <f>IF(AND(Control!F7=1,Control!F9&gt;0,MOD(Control!F9,StackReplacementIntervalYrs)=0,Control!F5=4),StackReplacementCost,0)</f>
        <v/>
      </c>
      <c r="G9">
        <f>IF(AND(Control!G7=1,Control!G9&gt;0,MOD(Control!G9,StackReplacementIntervalYrs)=0,Control!G5=4),StackReplacementCost,0)</f>
        <v/>
      </c>
      <c r="H9">
        <f>IF(AND(Control!H7=1,Control!H9&gt;0,MOD(Control!H9,StackReplacementIntervalYrs)=0,Control!H5=4),StackReplacementCost,0)</f>
        <v/>
      </c>
      <c r="I9">
        <f>IF(AND(Control!I7=1,Control!I9&gt;0,MOD(Control!I9,StackReplacementIntervalYrs)=0,Control!I5=4),StackReplacementCost,0)</f>
        <v/>
      </c>
      <c r="J9">
        <f>IF(AND(Control!J7=1,Control!J9&gt;0,MOD(Control!J9,StackReplacementIntervalYrs)=0,Control!J5=4),StackReplacementCost,0)</f>
        <v/>
      </c>
      <c r="K9">
        <f>IF(AND(Control!K7=1,Control!K9&gt;0,MOD(Control!K9,StackReplacementIntervalYrs)=0,Control!K5=4),StackReplacementCost,0)</f>
        <v/>
      </c>
      <c r="L9">
        <f>IF(AND(Control!L7=1,Control!L9&gt;0,MOD(Control!L9,StackReplacementIntervalYrs)=0,Control!L5=4),StackReplacementCost,0)</f>
        <v/>
      </c>
      <c r="M9">
        <f>IF(AND(Control!M7=1,Control!M9&gt;0,MOD(Control!M9,StackReplacementIntervalYrs)=0,Control!M5=4),StackReplacementCost,0)</f>
        <v/>
      </c>
      <c r="N9">
        <f>IF(AND(Control!N7=1,Control!N9&gt;0,MOD(Control!N9,StackReplacementIntervalYrs)=0,Control!N5=4),StackReplacementCost,0)</f>
        <v/>
      </c>
      <c r="O9">
        <f>IF(AND(Control!O7=1,Control!O9&gt;0,MOD(Control!O9,StackReplacementIntervalYrs)=0,Control!O5=4),StackReplacementCost,0)</f>
        <v/>
      </c>
      <c r="P9">
        <f>IF(AND(Control!P7=1,Control!P9&gt;0,MOD(Control!P9,StackReplacementIntervalYrs)=0,Control!P5=4),StackReplacementCost,0)</f>
        <v/>
      </c>
      <c r="Q9">
        <f>IF(AND(Control!Q7=1,Control!Q9&gt;0,MOD(Control!Q9,StackReplacementIntervalYrs)=0,Control!Q5=4),StackReplacementCost,0)</f>
        <v/>
      </c>
      <c r="R9">
        <f>IF(AND(Control!R7=1,Control!R9&gt;0,MOD(Control!R9,StackReplacementIntervalYrs)=0,Control!R5=4),StackReplacementCost,0)</f>
        <v/>
      </c>
      <c r="S9">
        <f>IF(AND(Control!S7=1,Control!S9&gt;0,MOD(Control!S9,StackReplacementIntervalYrs)=0,Control!S5=4),StackReplacementCost,0)</f>
        <v/>
      </c>
      <c r="T9">
        <f>IF(AND(Control!T7=1,Control!T9&gt;0,MOD(Control!T9,StackReplacementIntervalYrs)=0,Control!T5=4),StackReplacementCost,0)</f>
        <v/>
      </c>
      <c r="U9">
        <f>IF(AND(Control!U7=1,Control!U9&gt;0,MOD(Control!U9,StackReplacementIntervalYrs)=0,Control!U5=4),StackReplacementCost,0)</f>
        <v/>
      </c>
      <c r="V9">
        <f>IF(AND(Control!V7=1,Control!V9&gt;0,MOD(Control!V9,StackReplacementIntervalYrs)=0,Control!V5=4),StackReplacementCost,0)</f>
        <v/>
      </c>
      <c r="W9">
        <f>IF(AND(Control!W7=1,Control!W9&gt;0,MOD(Control!W9,StackReplacementIntervalYrs)=0,Control!W5=4),StackReplacementCost,0)</f>
        <v/>
      </c>
      <c r="X9">
        <f>IF(AND(Control!X7=1,Control!X9&gt;0,MOD(Control!X9,StackReplacementIntervalYrs)=0,Control!X5=4),StackReplacementCost,0)</f>
        <v/>
      </c>
      <c r="Y9">
        <f>IF(AND(Control!Y7=1,Control!Y9&gt;0,MOD(Control!Y9,StackReplacementIntervalYrs)=0,Control!Y5=4),StackReplacementCost,0)</f>
        <v/>
      </c>
      <c r="Z9">
        <f>IF(AND(Control!Z7=1,Control!Z9&gt;0,MOD(Control!Z9,StackReplacementIntervalYrs)=0,Control!Z5=4),StackReplacementCost,0)</f>
        <v/>
      </c>
      <c r="AA9">
        <f>IF(AND(Control!AA7=1,Control!AA9&gt;0,MOD(Control!AA9,StackReplacementIntervalYrs)=0,Control!AA5=4),StackReplacementCost,0)</f>
        <v/>
      </c>
      <c r="AB9">
        <f>IF(AND(Control!AB7=1,Control!AB9&gt;0,MOD(Control!AB9,StackReplacementIntervalYrs)=0,Control!AB5=4),StackReplacementCost,0)</f>
        <v/>
      </c>
      <c r="AC9">
        <f>IF(AND(Control!AC7=1,Control!AC9&gt;0,MOD(Control!AC9,StackReplacementIntervalYrs)=0,Control!AC5=4),StackReplacementCost,0)</f>
        <v/>
      </c>
      <c r="AD9">
        <f>IF(AND(Control!AD7=1,Control!AD9&gt;0,MOD(Control!AD9,StackReplacementIntervalYrs)=0,Control!AD5=4),StackReplacementCost,0)</f>
        <v/>
      </c>
      <c r="AE9">
        <f>IF(AND(Control!AE7=1,Control!AE9&gt;0,MOD(Control!AE9,StackReplacementIntervalYrs)=0,Control!AE5=4),StackReplacementCost,0)</f>
        <v/>
      </c>
      <c r="AF9">
        <f>IF(AND(Control!AF7=1,Control!AF9&gt;0,MOD(Control!AF9,StackReplacementIntervalYrs)=0,Control!AF5=4),StackReplacementCost,0)</f>
        <v/>
      </c>
      <c r="AG9">
        <f>IF(AND(Control!AG7=1,Control!AG9&gt;0,MOD(Control!AG9,StackReplacementIntervalYrs)=0,Control!AG5=4),StackReplacementCost,0)</f>
        <v/>
      </c>
      <c r="AH9">
        <f>IF(AND(Control!AH7=1,Control!AH9&gt;0,MOD(Control!AH9,StackReplacementIntervalYrs)=0,Control!AH5=4),StackReplacementCost,0)</f>
        <v/>
      </c>
      <c r="AI9">
        <f>IF(AND(Control!AI7=1,Control!AI9&gt;0,MOD(Control!AI9,StackReplacementIntervalYrs)=0,Control!AI5=4),StackReplacementCost,0)</f>
        <v/>
      </c>
      <c r="AJ9">
        <f>IF(AND(Control!AJ7=1,Control!AJ9&gt;0,MOD(Control!AJ9,StackReplacementIntervalYrs)=0,Control!AJ5=4),StackReplacementCost,0)</f>
        <v/>
      </c>
      <c r="AK9">
        <f>IF(AND(Control!AK7=1,Control!AK9&gt;0,MOD(Control!AK9,StackReplacementIntervalYrs)=0,Control!AK5=4),StackReplacementCost,0)</f>
        <v/>
      </c>
      <c r="AL9">
        <f>IF(AND(Control!AL7=1,Control!AL9&gt;0,MOD(Control!AL9,StackReplacementIntervalYrs)=0,Control!AL5=4),StackReplacementCost,0)</f>
        <v/>
      </c>
      <c r="AM9">
        <f>IF(AND(Control!AM7=1,Control!AM9&gt;0,MOD(Control!AM9,StackReplacementIntervalYrs)=0,Control!AM5=4),StackReplacementCost,0)</f>
        <v/>
      </c>
      <c r="AN9">
        <f>IF(AND(Control!AN7=1,Control!AN9&gt;0,MOD(Control!AN9,StackReplacementIntervalYrs)=0,Control!AN5=4),StackReplacementCost,0)</f>
        <v/>
      </c>
      <c r="AO9">
        <f>IF(AND(Control!AO7=1,Control!AO9&gt;0,MOD(Control!AO9,StackReplacementIntervalYrs)=0,Control!AO5=4),StackReplacementCost,0)</f>
        <v/>
      </c>
      <c r="AP9">
        <f>IF(AND(Control!AP7=1,Control!AP9&gt;0,MOD(Control!AP9,StackReplacementIntervalYrs)=0,Control!AP5=4),StackReplacementCost,0)</f>
        <v/>
      </c>
      <c r="AQ9">
        <f>IF(AND(Control!AQ7=1,Control!AQ9&gt;0,MOD(Control!AQ9,StackReplacementIntervalYrs)=0,Control!AQ5=4),StackReplacementCost,0)</f>
        <v/>
      </c>
      <c r="AR9">
        <f>IF(AND(Control!AR7=1,Control!AR9&gt;0,MOD(Control!AR9,StackReplacementIntervalYrs)=0,Control!AR5=4),StackReplacementCost,0)</f>
        <v/>
      </c>
      <c r="AS9">
        <f>IF(AND(Control!AS7=1,Control!AS9&gt;0,MOD(Control!AS9,StackReplacementIntervalYrs)=0,Control!AS5=4),StackReplacementCost,0)</f>
        <v/>
      </c>
      <c r="AT9">
        <f>IF(AND(Control!AT7=1,Control!AT9&gt;0,MOD(Control!AT9,StackReplacementIntervalYrs)=0,Control!AT5=4),StackReplacementCost,0)</f>
        <v/>
      </c>
      <c r="AU9">
        <f>IF(AND(Control!AU7=1,Control!AU9&gt;0,MOD(Control!AU9,StackReplacementIntervalYrs)=0,Control!AU5=4),StackReplacementCost,0)</f>
        <v/>
      </c>
      <c r="AV9">
        <f>IF(AND(Control!AV7=1,Control!AV9&gt;0,MOD(Control!AV9,StackReplacementIntervalYrs)=0,Control!AV5=4),StackReplacementCost,0)</f>
        <v/>
      </c>
      <c r="AW9">
        <f>IF(AND(Control!AW7=1,Control!AW9&gt;0,MOD(Control!AW9,StackReplacementIntervalYrs)=0,Control!AW5=4),StackReplacementCost,0)</f>
        <v/>
      </c>
      <c r="AX9">
        <f>IF(AND(Control!AX7=1,Control!AX9&gt;0,MOD(Control!AX9,StackReplacementIntervalYrs)=0,Control!AX5=4),StackReplacementCost,0)</f>
        <v/>
      </c>
      <c r="AY9">
        <f>IF(AND(Control!AY7=1,Control!AY9&gt;0,MOD(Control!AY9,StackReplacementIntervalYrs)=0,Control!AY5=4),StackReplacementCost,0)</f>
        <v/>
      </c>
      <c r="AZ9">
        <f>IF(AND(Control!AZ7=1,Control!AZ9&gt;0,MOD(Control!AZ9,StackReplacementIntervalYrs)=0,Control!AZ5=4),StackReplacementCost,0)</f>
        <v/>
      </c>
      <c r="BA9">
        <f>IF(AND(Control!BA7=1,Control!BA9&gt;0,MOD(Control!BA9,StackReplacementIntervalYrs)=0,Control!BA5=4),StackReplacementCost,0)</f>
        <v/>
      </c>
      <c r="BB9">
        <f>IF(AND(Control!BB7=1,Control!BB9&gt;0,MOD(Control!BB9,StackReplacementIntervalYrs)=0,Control!BB5=4),StackReplacementCost,0)</f>
        <v/>
      </c>
      <c r="BC9">
        <f>IF(AND(Control!BC7=1,Control!BC9&gt;0,MOD(Control!BC9,StackReplacementIntervalYrs)=0,Control!BC5=4),StackReplacementCost,0)</f>
        <v/>
      </c>
      <c r="BD9">
        <f>IF(AND(Control!BD7=1,Control!BD9&gt;0,MOD(Control!BD9,StackReplacementIntervalYrs)=0,Control!BD5=4),StackReplacementCost,0)</f>
        <v/>
      </c>
      <c r="BE9">
        <f>IF(AND(Control!BE7=1,Control!BE9&gt;0,MOD(Control!BE9,StackReplacementIntervalYrs)=0,Control!BE5=4),StackReplacementCost,0)</f>
        <v/>
      </c>
      <c r="BF9">
        <f>IF(AND(Control!BF7=1,Control!BF9&gt;0,MOD(Control!BF9,StackReplacementIntervalYrs)=0,Control!BF5=4),StackReplacementCost,0)</f>
        <v/>
      </c>
      <c r="BG9">
        <f>IF(AND(Control!BG7=1,Control!BG9&gt;0,MOD(Control!BG9,StackReplacementIntervalYrs)=0,Control!BG5=4),StackReplacementCost,0)</f>
        <v/>
      </c>
      <c r="BH9">
        <f>IF(AND(Control!BH7=1,Control!BH9&gt;0,MOD(Control!BH9,StackReplacementIntervalYrs)=0,Control!BH5=4),StackReplacementCost,0)</f>
        <v/>
      </c>
      <c r="BI9">
        <f>IF(AND(Control!BI7=1,Control!BI9&gt;0,MOD(Control!BI9,StackReplacementIntervalYrs)=0,Control!BI5=4),StackReplacementCost,0)</f>
        <v/>
      </c>
      <c r="BJ9">
        <f>IF(AND(Control!BJ7=1,Control!BJ9&gt;0,MOD(Control!BJ9,StackReplacementIntervalYrs)=0,Control!BJ5=4),StackReplacementCost,0)</f>
        <v/>
      </c>
      <c r="BK9">
        <f>IF(AND(Control!BK7=1,Control!BK9&gt;0,MOD(Control!BK9,StackReplacementIntervalYrs)=0,Control!BK5=4),StackReplacementCost,0)</f>
        <v/>
      </c>
      <c r="BL9">
        <f>IF(AND(Control!BL7=1,Control!BL9&gt;0,MOD(Control!BL9,StackReplacementIntervalYrs)=0,Control!BL5=4),StackReplacementCost,0)</f>
        <v/>
      </c>
      <c r="BM9">
        <f>IF(AND(Control!BM7=1,Control!BM9&gt;0,MOD(Control!BM9,StackReplacementIntervalYrs)=0,Control!BM5=4),StackReplacementCost,0)</f>
        <v/>
      </c>
      <c r="BN9">
        <f>IF(AND(Control!BN7=1,Control!BN9&gt;0,MOD(Control!BN9,StackReplacementIntervalYrs)=0,Control!BN5=4),StackReplacementCost,0)</f>
        <v/>
      </c>
      <c r="BO9">
        <f>IF(AND(Control!BO7=1,Control!BO9&gt;0,MOD(Control!BO9,StackReplacementIntervalYrs)=0,Control!BO5=4),StackReplacementCost,0)</f>
        <v/>
      </c>
      <c r="BP9">
        <f>IF(AND(Control!BP7=1,Control!BP9&gt;0,MOD(Control!BP9,StackReplacementIntervalYrs)=0,Control!BP5=4),StackReplacementCost,0)</f>
        <v/>
      </c>
      <c r="BQ9">
        <f>IF(AND(Control!BQ7=1,Control!BQ9&gt;0,MOD(Control!BQ9,StackReplacementIntervalYrs)=0,Control!BQ5=4),StackReplacementCost,0)</f>
        <v/>
      </c>
      <c r="BR9">
        <f>IF(AND(Control!BR7=1,Control!BR9&gt;0,MOD(Control!BR9,StackReplacementIntervalYrs)=0,Control!BR5=4),StackReplacementCost,0)</f>
        <v/>
      </c>
      <c r="BS9">
        <f>IF(AND(Control!BS7=1,Control!BS9&gt;0,MOD(Control!BS9,StackReplacementIntervalYrs)=0,Control!BS5=4),StackReplacementCost,0)</f>
        <v/>
      </c>
      <c r="BT9">
        <f>IF(AND(Control!BT7=1,Control!BT9&gt;0,MOD(Control!BT9,StackReplacementIntervalYrs)=0,Control!BT5=4),StackReplacementCost,0)</f>
        <v/>
      </c>
      <c r="BU9">
        <f>IF(AND(Control!BU7=1,Control!BU9&gt;0,MOD(Control!BU9,StackReplacementIntervalYrs)=0,Control!BU5=4),StackReplacementCost,0)</f>
        <v/>
      </c>
      <c r="BV9">
        <f>IF(AND(Control!BV7=1,Control!BV9&gt;0,MOD(Control!BV9,StackReplacementIntervalYrs)=0,Control!BV5=4),StackReplacementCost,0)</f>
        <v/>
      </c>
      <c r="BW9">
        <f>IF(AND(Control!BW7=1,Control!BW9&gt;0,MOD(Control!BW9,StackReplacementIntervalYrs)=0,Control!BW5=4),StackReplacementCost,0)</f>
        <v/>
      </c>
      <c r="BX9">
        <f>IF(AND(Control!BX7=1,Control!BX9&gt;0,MOD(Control!BX9,StackReplacementIntervalYrs)=0,Control!BX5=4),StackReplacementCost,0)</f>
        <v/>
      </c>
      <c r="BY9">
        <f>IF(AND(Control!BY7=1,Control!BY9&gt;0,MOD(Control!BY9,StackReplacementIntervalYrs)=0,Control!BY5=4),StackReplacementCost,0)</f>
        <v/>
      </c>
      <c r="BZ9">
        <f>IF(AND(Control!BZ7=1,Control!BZ9&gt;0,MOD(Control!BZ9,StackReplacementIntervalYrs)=0,Control!BZ5=4),StackReplacementCost,0)</f>
        <v/>
      </c>
      <c r="CA9">
        <f>IF(AND(Control!CA7=1,Control!CA9&gt;0,MOD(Control!CA9,StackReplacementIntervalYrs)=0,Control!CA5=4),StackReplacementCost,0)</f>
        <v/>
      </c>
      <c r="CB9">
        <f>IF(AND(Control!CB7=1,Control!CB9&gt;0,MOD(Control!CB9,StackReplacementIntervalYrs)=0,Control!CB5=4),StackReplacementCost,0)</f>
        <v/>
      </c>
      <c r="CC9">
        <f>IF(AND(Control!CC7=1,Control!CC9&gt;0,MOD(Control!CC9,StackReplacementIntervalYrs)=0,Control!CC5=4),StackReplacementCost,0)</f>
        <v/>
      </c>
      <c r="CD9">
        <f>IF(AND(Control!CD7=1,Control!CD9&gt;0,MOD(Control!CD9,StackReplacementIntervalYrs)=0,Control!CD5=4),StackReplacementCost,0)</f>
        <v/>
      </c>
      <c r="CE9">
        <f>IF(AND(Control!CE7=1,Control!CE9&gt;0,MOD(Control!CE9,StackReplacementIntervalYrs)=0,Control!CE5=4),StackReplacementCost,0)</f>
        <v/>
      </c>
      <c r="CF9">
        <f>IF(AND(Control!CF7=1,Control!CF9&gt;0,MOD(Control!CF9,StackReplacementIntervalYrs)=0,Control!CF5=4),StackReplacementCost,0)</f>
        <v/>
      </c>
      <c r="CG9">
        <f>IF(AND(Control!CG7=1,Control!CG9&gt;0,MOD(Control!CG9,StackReplacementIntervalYrs)=0,Control!CG5=4),StackReplacementCost,0)</f>
        <v/>
      </c>
      <c r="CH9">
        <f>IF(AND(Control!CH7=1,Control!CH9&gt;0,MOD(Control!CH9,StackReplacementIntervalYrs)=0,Control!CH5=4),StackReplacementCost,0)</f>
        <v/>
      </c>
      <c r="CI9">
        <f>IF(AND(Control!CI7=1,Control!CI9&gt;0,MOD(Control!CI9,StackReplacementIntervalYrs)=0,Control!CI5=4),StackReplacementCost,0)</f>
        <v/>
      </c>
      <c r="CJ9">
        <f>IF(AND(Control!CJ7=1,Control!CJ9&gt;0,MOD(Control!CJ9,StackReplacementIntervalYrs)=0,Control!CJ5=4),StackReplacementCost,0)</f>
        <v/>
      </c>
      <c r="CK9">
        <f>IF(AND(Control!CK7=1,Control!CK9&gt;0,MOD(Control!CK9,StackReplacementIntervalYrs)=0,Control!CK5=4),StackReplacementCost,0)</f>
        <v/>
      </c>
      <c r="CL9">
        <f>IF(AND(Control!CL7=1,Control!CL9&gt;0,MOD(Control!CL9,StackReplacementIntervalYrs)=0,Control!CL5=4),StackReplacementCost,0)</f>
        <v/>
      </c>
      <c r="CM9">
        <f>IF(AND(Control!CM7=1,Control!CM9&gt;0,MOD(Control!CM9,StackReplacementIntervalYrs)=0,Control!CM5=4),StackReplacementCost,0)</f>
        <v/>
      </c>
    </row>
    <row r="10">
      <c r="A10" s="3" t="inlineStr">
        <is>
          <t>EBITDA</t>
        </is>
      </c>
      <c r="C10" t="inlineStr">
        <is>
          <t>$</t>
        </is>
      </c>
      <c r="D10">
        <f>D4-D5-D6-D7-D8</f>
        <v/>
      </c>
      <c r="E10">
        <f>E4-E5-E6-E7-E8</f>
        <v/>
      </c>
      <c r="F10">
        <f>F4-F5-F6-F7-F8</f>
        <v/>
      </c>
      <c r="G10">
        <f>G4-G5-G6-G7-G8</f>
        <v/>
      </c>
      <c r="H10">
        <f>H4-H5-H6-H7-H8</f>
        <v/>
      </c>
      <c r="I10">
        <f>I4-I5-I6-I7-I8</f>
        <v/>
      </c>
      <c r="J10">
        <f>J4-J5-J6-J7-J8</f>
        <v/>
      </c>
      <c r="K10">
        <f>K4-K5-K6-K7-K8</f>
        <v/>
      </c>
      <c r="L10">
        <f>L4-L5-L6-L7-L8</f>
        <v/>
      </c>
      <c r="M10">
        <f>M4-M5-M6-M7-M8</f>
        <v/>
      </c>
      <c r="N10">
        <f>N4-N5-N6-N7-N8</f>
        <v/>
      </c>
      <c r="O10">
        <f>O4-O5-O6-O7-O8</f>
        <v/>
      </c>
      <c r="P10">
        <f>P4-P5-P6-P7-P8</f>
        <v/>
      </c>
      <c r="Q10">
        <f>Q4-Q5-Q6-Q7-Q8</f>
        <v/>
      </c>
      <c r="R10">
        <f>R4-R5-R6-R7-R8</f>
        <v/>
      </c>
      <c r="S10">
        <f>S4-S5-S6-S7-S8</f>
        <v/>
      </c>
      <c r="T10">
        <f>T4-T5-T6-T7-T8</f>
        <v/>
      </c>
      <c r="U10">
        <f>U4-U5-U6-U7-U8</f>
        <v/>
      </c>
      <c r="V10">
        <f>V4-V5-V6-V7-V8</f>
        <v/>
      </c>
      <c r="W10">
        <f>W4-W5-W6-W7-W8</f>
        <v/>
      </c>
      <c r="X10">
        <f>X4-X5-X6-X7-X8</f>
        <v/>
      </c>
      <c r="Y10">
        <f>Y4-Y5-Y6-Y7-Y8</f>
        <v/>
      </c>
      <c r="Z10">
        <f>Z4-Z5-Z6-Z7-Z8</f>
        <v/>
      </c>
      <c r="AA10">
        <f>AA4-AA5-AA6-AA7-AA8</f>
        <v/>
      </c>
      <c r="AB10">
        <f>AB4-AB5-AB6-AB7-AB8</f>
        <v/>
      </c>
      <c r="AC10">
        <f>AC4-AC5-AC6-AC7-AC8</f>
        <v/>
      </c>
      <c r="AD10">
        <f>AD4-AD5-AD6-AD7-AD8</f>
        <v/>
      </c>
      <c r="AE10">
        <f>AE4-AE5-AE6-AE7-AE8</f>
        <v/>
      </c>
      <c r="AF10">
        <f>AF4-AF5-AF6-AF7-AF8</f>
        <v/>
      </c>
      <c r="AG10">
        <f>AG4-AG5-AG6-AG7-AG8</f>
        <v/>
      </c>
      <c r="AH10">
        <f>AH4-AH5-AH6-AH7-AH8</f>
        <v/>
      </c>
      <c r="AI10">
        <f>AI4-AI5-AI6-AI7-AI8</f>
        <v/>
      </c>
      <c r="AJ10">
        <f>AJ4-AJ5-AJ6-AJ7-AJ8</f>
        <v/>
      </c>
      <c r="AK10">
        <f>AK4-AK5-AK6-AK7-AK8</f>
        <v/>
      </c>
      <c r="AL10">
        <f>AL4-AL5-AL6-AL7-AL8</f>
        <v/>
      </c>
      <c r="AM10">
        <f>AM4-AM5-AM6-AM7-AM8</f>
        <v/>
      </c>
      <c r="AN10">
        <f>AN4-AN5-AN6-AN7-AN8</f>
        <v/>
      </c>
      <c r="AO10">
        <f>AO4-AO5-AO6-AO7-AO8</f>
        <v/>
      </c>
      <c r="AP10">
        <f>AP4-AP5-AP6-AP7-AP8</f>
        <v/>
      </c>
      <c r="AQ10">
        <f>AQ4-AQ5-AQ6-AQ7-AQ8</f>
        <v/>
      </c>
      <c r="AR10">
        <f>AR4-AR5-AR6-AR7-AR8</f>
        <v/>
      </c>
      <c r="AS10">
        <f>AS4-AS5-AS6-AS7-AS8</f>
        <v/>
      </c>
      <c r="AT10">
        <f>AT4-AT5-AT6-AT7-AT8</f>
        <v/>
      </c>
      <c r="AU10">
        <f>AU4-AU5-AU6-AU7-AU8</f>
        <v/>
      </c>
      <c r="AV10">
        <f>AV4-AV5-AV6-AV7-AV8</f>
        <v/>
      </c>
      <c r="AW10">
        <f>AW4-AW5-AW6-AW7-AW8</f>
        <v/>
      </c>
      <c r="AX10">
        <f>AX4-AX5-AX6-AX7-AX8</f>
        <v/>
      </c>
      <c r="AY10">
        <f>AY4-AY5-AY6-AY7-AY8</f>
        <v/>
      </c>
      <c r="AZ10">
        <f>AZ4-AZ5-AZ6-AZ7-AZ8</f>
        <v/>
      </c>
      <c r="BA10">
        <f>BA4-BA5-BA6-BA7-BA8</f>
        <v/>
      </c>
      <c r="BB10">
        <f>BB4-BB5-BB6-BB7-BB8</f>
        <v/>
      </c>
      <c r="BC10">
        <f>BC4-BC5-BC6-BC7-BC8</f>
        <v/>
      </c>
      <c r="BD10">
        <f>BD4-BD5-BD6-BD7-BD8</f>
        <v/>
      </c>
      <c r="BE10">
        <f>BE4-BE5-BE6-BE7-BE8</f>
        <v/>
      </c>
      <c r="BF10">
        <f>BF4-BF5-BF6-BF7-BF8</f>
        <v/>
      </c>
      <c r="BG10">
        <f>BG4-BG5-BG6-BG7-BG8</f>
        <v/>
      </c>
      <c r="BH10">
        <f>BH4-BH5-BH6-BH7-BH8</f>
        <v/>
      </c>
      <c r="BI10">
        <f>BI4-BI5-BI6-BI7-BI8</f>
        <v/>
      </c>
      <c r="BJ10">
        <f>BJ4-BJ5-BJ6-BJ7-BJ8</f>
        <v/>
      </c>
      <c r="BK10">
        <f>BK4-BK5-BK6-BK7-BK8</f>
        <v/>
      </c>
      <c r="BL10">
        <f>BL4-BL5-BL6-BL7-BL8</f>
        <v/>
      </c>
      <c r="BM10">
        <f>BM4-BM5-BM6-BM7-BM8</f>
        <v/>
      </c>
      <c r="BN10">
        <f>BN4-BN5-BN6-BN7-BN8</f>
        <v/>
      </c>
      <c r="BO10">
        <f>BO4-BO5-BO6-BO7-BO8</f>
        <v/>
      </c>
      <c r="BP10">
        <f>BP4-BP5-BP6-BP7-BP8</f>
        <v/>
      </c>
      <c r="BQ10">
        <f>BQ4-BQ5-BQ6-BQ7-BQ8</f>
        <v/>
      </c>
      <c r="BR10">
        <f>BR4-BR5-BR6-BR7-BR8</f>
        <v/>
      </c>
      <c r="BS10">
        <f>BS4-BS5-BS6-BS7-BS8</f>
        <v/>
      </c>
      <c r="BT10">
        <f>BT4-BT5-BT6-BT7-BT8</f>
        <v/>
      </c>
      <c r="BU10">
        <f>BU4-BU5-BU6-BU7-BU8</f>
        <v/>
      </c>
      <c r="BV10">
        <f>BV4-BV5-BV6-BV7-BV8</f>
        <v/>
      </c>
      <c r="BW10">
        <f>BW4-BW5-BW6-BW7-BW8</f>
        <v/>
      </c>
      <c r="BX10">
        <f>BX4-BX5-BX6-BX7-BX8</f>
        <v/>
      </c>
      <c r="BY10">
        <f>BY4-BY5-BY6-BY7-BY8</f>
        <v/>
      </c>
      <c r="BZ10">
        <f>BZ4-BZ5-BZ6-BZ7-BZ8</f>
        <v/>
      </c>
      <c r="CA10">
        <f>CA4-CA5-CA6-CA7-CA8</f>
        <v/>
      </c>
      <c r="CB10">
        <f>CB4-CB5-CB6-CB7-CB8</f>
        <v/>
      </c>
      <c r="CC10">
        <f>CC4-CC5-CC6-CC7-CC8</f>
        <v/>
      </c>
      <c r="CD10">
        <f>CD4-CD5-CD6-CD7-CD8</f>
        <v/>
      </c>
      <c r="CE10">
        <f>CE4-CE5-CE6-CE7-CE8</f>
        <v/>
      </c>
      <c r="CF10">
        <f>CF4-CF5-CF6-CF7-CF8</f>
        <v/>
      </c>
      <c r="CG10">
        <f>CG4-CG5-CG6-CG7-CG8</f>
        <v/>
      </c>
      <c r="CH10">
        <f>CH4-CH5-CH6-CH7-CH8</f>
        <v/>
      </c>
      <c r="CI10">
        <f>CI4-CI5-CI6-CI7-CI8</f>
        <v/>
      </c>
      <c r="CJ10">
        <f>CJ4-CJ5-CJ6-CJ7-CJ8</f>
        <v/>
      </c>
      <c r="CK10">
        <f>CK4-CK5-CK6-CK7-CK8</f>
        <v/>
      </c>
      <c r="CL10">
        <f>CL4-CL5-CL6-CL7-CL8</f>
        <v/>
      </c>
      <c r="CM10">
        <f>CM4-CM5-CM6-CM7-CM8</f>
        <v/>
      </c>
    </row>
    <row r="11">
      <c r="A11" s="3" t="inlineStr">
        <is>
          <t>CFADS</t>
        </is>
      </c>
      <c r="C11" t="inlineStr">
        <is>
          <t>$</t>
        </is>
      </c>
      <c r="D11">
        <f>D10-D9</f>
        <v/>
      </c>
      <c r="E11">
        <f>E10-E9</f>
        <v/>
      </c>
      <c r="F11">
        <f>F10-F9</f>
        <v/>
      </c>
      <c r="G11">
        <f>G10-G9</f>
        <v/>
      </c>
      <c r="H11">
        <f>H10-H9</f>
        <v/>
      </c>
      <c r="I11">
        <f>I10-I9</f>
        <v/>
      </c>
      <c r="J11">
        <f>J10-J9</f>
        <v/>
      </c>
      <c r="K11">
        <f>K10-K9</f>
        <v/>
      </c>
      <c r="L11">
        <f>L10-L9</f>
        <v/>
      </c>
      <c r="M11">
        <f>M10-M9</f>
        <v/>
      </c>
      <c r="N11">
        <f>N10-N9</f>
        <v/>
      </c>
      <c r="O11">
        <f>O10-O9</f>
        <v/>
      </c>
      <c r="P11">
        <f>P10-P9</f>
        <v/>
      </c>
      <c r="Q11">
        <f>Q10-Q9</f>
        <v/>
      </c>
      <c r="R11">
        <f>R10-R9</f>
        <v/>
      </c>
      <c r="S11">
        <f>S10-S9</f>
        <v/>
      </c>
      <c r="T11">
        <f>T10-T9</f>
        <v/>
      </c>
      <c r="U11">
        <f>U10-U9</f>
        <v/>
      </c>
      <c r="V11">
        <f>V10-V9</f>
        <v/>
      </c>
      <c r="W11">
        <f>W10-W9</f>
        <v/>
      </c>
      <c r="X11">
        <f>X10-X9</f>
        <v/>
      </c>
      <c r="Y11">
        <f>Y10-Y9</f>
        <v/>
      </c>
      <c r="Z11">
        <f>Z10-Z9</f>
        <v/>
      </c>
      <c r="AA11">
        <f>AA10-AA9</f>
        <v/>
      </c>
      <c r="AB11">
        <f>AB10-AB9</f>
        <v/>
      </c>
      <c r="AC11">
        <f>AC10-AC9</f>
        <v/>
      </c>
      <c r="AD11">
        <f>AD10-AD9</f>
        <v/>
      </c>
      <c r="AE11">
        <f>AE10-AE9</f>
        <v/>
      </c>
      <c r="AF11">
        <f>AF10-AF9</f>
        <v/>
      </c>
      <c r="AG11">
        <f>AG10-AG9</f>
        <v/>
      </c>
      <c r="AH11">
        <f>AH10-AH9</f>
        <v/>
      </c>
      <c r="AI11">
        <f>AI10-AI9</f>
        <v/>
      </c>
      <c r="AJ11">
        <f>AJ10-AJ9</f>
        <v/>
      </c>
      <c r="AK11">
        <f>AK10-AK9</f>
        <v/>
      </c>
      <c r="AL11">
        <f>AL10-AL9</f>
        <v/>
      </c>
      <c r="AM11">
        <f>AM10-AM9</f>
        <v/>
      </c>
      <c r="AN11">
        <f>AN10-AN9</f>
        <v/>
      </c>
      <c r="AO11">
        <f>AO10-AO9</f>
        <v/>
      </c>
      <c r="AP11">
        <f>AP10-AP9</f>
        <v/>
      </c>
      <c r="AQ11">
        <f>AQ10-AQ9</f>
        <v/>
      </c>
      <c r="AR11">
        <f>AR10-AR9</f>
        <v/>
      </c>
      <c r="AS11">
        <f>AS10-AS9</f>
        <v/>
      </c>
      <c r="AT11">
        <f>AT10-AT9</f>
        <v/>
      </c>
      <c r="AU11">
        <f>AU10-AU9</f>
        <v/>
      </c>
      <c r="AV11">
        <f>AV10-AV9</f>
        <v/>
      </c>
      <c r="AW11">
        <f>AW10-AW9</f>
        <v/>
      </c>
      <c r="AX11">
        <f>AX10-AX9</f>
        <v/>
      </c>
      <c r="AY11">
        <f>AY10-AY9</f>
        <v/>
      </c>
      <c r="AZ11">
        <f>AZ10-AZ9</f>
        <v/>
      </c>
      <c r="BA11">
        <f>BA10-BA9</f>
        <v/>
      </c>
      <c r="BB11">
        <f>BB10-BB9</f>
        <v/>
      </c>
      <c r="BC11">
        <f>BC10-BC9</f>
        <v/>
      </c>
      <c r="BD11">
        <f>BD10-BD9</f>
        <v/>
      </c>
      <c r="BE11">
        <f>BE10-BE9</f>
        <v/>
      </c>
      <c r="BF11">
        <f>BF10-BF9</f>
        <v/>
      </c>
      <c r="BG11">
        <f>BG10-BG9</f>
        <v/>
      </c>
      <c r="BH11">
        <f>BH10-BH9</f>
        <v/>
      </c>
      <c r="BI11">
        <f>BI10-BI9</f>
        <v/>
      </c>
      <c r="BJ11">
        <f>BJ10-BJ9</f>
        <v/>
      </c>
      <c r="BK11">
        <f>BK10-BK9</f>
        <v/>
      </c>
      <c r="BL11">
        <f>BL10-BL9</f>
        <v/>
      </c>
      <c r="BM11">
        <f>BM10-BM9</f>
        <v/>
      </c>
      <c r="BN11">
        <f>BN10-BN9</f>
        <v/>
      </c>
      <c r="BO11">
        <f>BO10-BO9</f>
        <v/>
      </c>
      <c r="BP11">
        <f>BP10-BP9</f>
        <v/>
      </c>
      <c r="BQ11">
        <f>BQ10-BQ9</f>
        <v/>
      </c>
      <c r="BR11">
        <f>BR10-BR9</f>
        <v/>
      </c>
      <c r="BS11">
        <f>BS10-BS9</f>
        <v/>
      </c>
      <c r="BT11">
        <f>BT10-BT9</f>
        <v/>
      </c>
      <c r="BU11">
        <f>BU10-BU9</f>
        <v/>
      </c>
      <c r="BV11">
        <f>BV10-BV9</f>
        <v/>
      </c>
      <c r="BW11">
        <f>BW10-BW9</f>
        <v/>
      </c>
      <c r="BX11">
        <f>BX10-BX9</f>
        <v/>
      </c>
      <c r="BY11">
        <f>BY10-BY9</f>
        <v/>
      </c>
      <c r="BZ11">
        <f>BZ10-BZ9</f>
        <v/>
      </c>
      <c r="CA11">
        <f>CA10-CA9</f>
        <v/>
      </c>
      <c r="CB11">
        <f>CB10-CB9</f>
        <v/>
      </c>
      <c r="CC11">
        <f>CC10-CC9</f>
        <v/>
      </c>
      <c r="CD11">
        <f>CD10-CD9</f>
        <v/>
      </c>
      <c r="CE11">
        <f>CE10-CE9</f>
        <v/>
      </c>
      <c r="CF11">
        <f>CF10-CF9</f>
        <v/>
      </c>
      <c r="CG11">
        <f>CG10-CG9</f>
        <v/>
      </c>
      <c r="CH11">
        <f>CH10-CH9</f>
        <v/>
      </c>
      <c r="CI11">
        <f>CI10-CI9</f>
        <v/>
      </c>
      <c r="CJ11">
        <f>CJ10-CJ9</f>
        <v/>
      </c>
      <c r="CK11">
        <f>CK10-CK9</f>
        <v/>
      </c>
      <c r="CL11">
        <f>CL10-CL9</f>
        <v/>
      </c>
      <c r="CM11">
        <f>CM10-CM9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DEBT SIZING &amp; DSCR SCULPTING</t>
        </is>
      </c>
    </row>
    <row r="4">
      <c r="A4" s="3" t="inlineStr">
        <is>
          <t>Opening Balance</t>
        </is>
      </c>
      <c r="C4" t="inlineStr">
        <is>
          <t>$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>
        <f>ClosingBalanceAtCOD*GearingFactor</f>
        <v/>
      </c>
      <c r="M4">
        <f>L9</f>
        <v/>
      </c>
      <c r="N4">
        <f>M9</f>
        <v/>
      </c>
      <c r="O4">
        <f>N9</f>
        <v/>
      </c>
      <c r="P4">
        <f>O9</f>
        <v/>
      </c>
      <c r="Q4">
        <f>P9</f>
        <v/>
      </c>
      <c r="R4">
        <f>Q9</f>
        <v/>
      </c>
      <c r="S4">
        <f>R9</f>
        <v/>
      </c>
      <c r="T4">
        <f>S9</f>
        <v/>
      </c>
      <c r="U4">
        <f>T9</f>
        <v/>
      </c>
      <c r="V4">
        <f>U9</f>
        <v/>
      </c>
      <c r="W4">
        <f>V9</f>
        <v/>
      </c>
      <c r="X4">
        <f>W9</f>
        <v/>
      </c>
      <c r="Y4">
        <f>X9</f>
        <v/>
      </c>
      <c r="Z4">
        <f>Y9</f>
        <v/>
      </c>
      <c r="AA4">
        <f>Z9</f>
        <v/>
      </c>
      <c r="AB4">
        <f>AA9</f>
        <v/>
      </c>
      <c r="AC4">
        <f>AB9</f>
        <v/>
      </c>
      <c r="AD4">
        <f>AC9</f>
        <v/>
      </c>
      <c r="AE4">
        <f>AD9</f>
        <v/>
      </c>
      <c r="AF4">
        <f>AE9</f>
        <v/>
      </c>
      <c r="AG4">
        <f>AF9</f>
        <v/>
      </c>
      <c r="AH4">
        <f>AG9</f>
        <v/>
      </c>
      <c r="AI4">
        <f>AH9</f>
        <v/>
      </c>
      <c r="AJ4">
        <f>AI9</f>
        <v/>
      </c>
      <c r="AK4">
        <f>AJ9</f>
        <v/>
      </c>
      <c r="AL4">
        <f>AK9</f>
        <v/>
      </c>
      <c r="AM4">
        <f>AL9</f>
        <v/>
      </c>
      <c r="AN4">
        <f>AM9</f>
        <v/>
      </c>
      <c r="AO4">
        <f>AN9</f>
        <v/>
      </c>
      <c r="AP4">
        <f>AO9</f>
        <v/>
      </c>
      <c r="AQ4">
        <f>AP9</f>
        <v/>
      </c>
      <c r="AR4">
        <f>AQ9</f>
        <v/>
      </c>
      <c r="AS4">
        <f>AR9</f>
        <v/>
      </c>
      <c r="AT4">
        <f>AS9</f>
        <v/>
      </c>
      <c r="AU4">
        <f>AT9</f>
        <v/>
      </c>
      <c r="AV4">
        <f>AU9</f>
        <v/>
      </c>
      <c r="AW4">
        <f>AV9</f>
        <v/>
      </c>
      <c r="AX4">
        <f>AW9</f>
        <v/>
      </c>
      <c r="AY4">
        <f>AX9</f>
        <v/>
      </c>
      <c r="AZ4">
        <f>AY9</f>
        <v/>
      </c>
      <c r="BA4">
        <f>AZ9</f>
        <v/>
      </c>
      <c r="BB4">
        <f>BA9</f>
        <v/>
      </c>
      <c r="BC4">
        <f>BB9</f>
        <v/>
      </c>
      <c r="BD4">
        <f>BC9</f>
        <v/>
      </c>
      <c r="BE4">
        <f>BD9</f>
        <v/>
      </c>
      <c r="BF4">
        <f>BE9</f>
        <v/>
      </c>
      <c r="BG4">
        <f>BF9</f>
        <v/>
      </c>
      <c r="BH4">
        <f>BG9</f>
        <v/>
      </c>
      <c r="BI4">
        <f>BH9</f>
        <v/>
      </c>
      <c r="BJ4">
        <f>BI9</f>
        <v/>
      </c>
      <c r="BK4">
        <f>BJ9</f>
        <v/>
      </c>
      <c r="BL4">
        <f>BK9</f>
        <v/>
      </c>
      <c r="BM4">
        <f>BL9</f>
        <v/>
      </c>
      <c r="BN4">
        <f>BM9</f>
        <v/>
      </c>
      <c r="BO4">
        <f>BN9</f>
        <v/>
      </c>
      <c r="BP4">
        <f>BO9</f>
        <v/>
      </c>
      <c r="BQ4">
        <f>BP9</f>
        <v/>
      </c>
      <c r="BR4">
        <f>BQ9</f>
        <v/>
      </c>
      <c r="BS4">
        <f>BR9</f>
        <v/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s="3" t="inlineStr">
        <is>
          <t>Interest_t = r x Opening</t>
        </is>
      </c>
      <c r="C5" t="inlineStr">
        <is>
          <t>$</t>
        </is>
      </c>
      <c r="D5">
        <f>Control!D10*D4</f>
        <v/>
      </c>
      <c r="E5">
        <f>Control!E10*E4</f>
        <v/>
      </c>
      <c r="F5">
        <f>Control!F10*F4</f>
        <v/>
      </c>
      <c r="G5">
        <f>Control!G10*G4</f>
        <v/>
      </c>
      <c r="H5">
        <f>Control!H10*H4</f>
        <v/>
      </c>
      <c r="I5">
        <f>Control!I10*I4</f>
        <v/>
      </c>
      <c r="J5">
        <f>Control!J10*J4</f>
        <v/>
      </c>
      <c r="K5">
        <f>Control!K10*K4</f>
        <v/>
      </c>
      <c r="L5">
        <f>Control!L10*L4</f>
        <v/>
      </c>
      <c r="M5">
        <f>Control!M10*M4</f>
        <v/>
      </c>
      <c r="N5">
        <f>Control!N10*N4</f>
        <v/>
      </c>
      <c r="O5">
        <f>Control!O10*O4</f>
        <v/>
      </c>
      <c r="P5">
        <f>Control!P10*P4</f>
        <v/>
      </c>
      <c r="Q5">
        <f>Control!Q10*Q4</f>
        <v/>
      </c>
      <c r="R5">
        <f>Control!R10*R4</f>
        <v/>
      </c>
      <c r="S5">
        <f>Control!S10*S4</f>
        <v/>
      </c>
      <c r="T5">
        <f>Control!T10*T4</f>
        <v/>
      </c>
      <c r="U5">
        <f>Control!U10*U4</f>
        <v/>
      </c>
      <c r="V5">
        <f>Control!V10*V4</f>
        <v/>
      </c>
      <c r="W5">
        <f>Control!W10*W4</f>
        <v/>
      </c>
      <c r="X5">
        <f>Control!X10*X4</f>
        <v/>
      </c>
      <c r="Y5">
        <f>Control!Y10*Y4</f>
        <v/>
      </c>
      <c r="Z5">
        <f>Control!Z10*Z4</f>
        <v/>
      </c>
      <c r="AA5">
        <f>Control!AA10*AA4</f>
        <v/>
      </c>
      <c r="AB5">
        <f>Control!AB10*AB4</f>
        <v/>
      </c>
      <c r="AC5">
        <f>Control!AC10*AC4</f>
        <v/>
      </c>
      <c r="AD5">
        <f>Control!AD10*AD4</f>
        <v/>
      </c>
      <c r="AE5">
        <f>Control!AE10*AE4</f>
        <v/>
      </c>
      <c r="AF5">
        <f>Control!AF10*AF4</f>
        <v/>
      </c>
      <c r="AG5">
        <f>Control!AG10*AG4</f>
        <v/>
      </c>
      <c r="AH5">
        <f>Control!AH10*AH4</f>
        <v/>
      </c>
      <c r="AI5">
        <f>Control!AI10*AI4</f>
        <v/>
      </c>
      <c r="AJ5">
        <f>Control!AJ10*AJ4</f>
        <v/>
      </c>
      <c r="AK5">
        <f>Control!AK10*AK4</f>
        <v/>
      </c>
      <c r="AL5">
        <f>Control!AL10*AL4</f>
        <v/>
      </c>
      <c r="AM5">
        <f>Control!AM10*AM4</f>
        <v/>
      </c>
      <c r="AN5">
        <f>Control!AN10*AN4</f>
        <v/>
      </c>
      <c r="AO5">
        <f>Control!AO10*AO4</f>
        <v/>
      </c>
      <c r="AP5">
        <f>Control!AP10*AP4</f>
        <v/>
      </c>
      <c r="AQ5">
        <f>Control!AQ10*AQ4</f>
        <v/>
      </c>
      <c r="AR5">
        <f>Control!AR10*AR4</f>
        <v/>
      </c>
      <c r="AS5">
        <f>Control!AS10*AS4</f>
        <v/>
      </c>
      <c r="AT5">
        <f>Control!AT10*AT4</f>
        <v/>
      </c>
      <c r="AU5">
        <f>Control!AU10*AU4</f>
        <v/>
      </c>
      <c r="AV5">
        <f>Control!AV10*AV4</f>
        <v/>
      </c>
      <c r="AW5">
        <f>Control!AW10*AW4</f>
        <v/>
      </c>
      <c r="AX5">
        <f>Control!AX10*AX4</f>
        <v/>
      </c>
      <c r="AY5">
        <f>Control!AY10*AY4</f>
        <v/>
      </c>
      <c r="AZ5">
        <f>Control!AZ10*AZ4</f>
        <v/>
      </c>
      <c r="BA5">
        <f>Control!BA10*BA4</f>
        <v/>
      </c>
      <c r="BB5">
        <f>Control!BB10*BB4</f>
        <v/>
      </c>
      <c r="BC5">
        <f>Control!BC10*BC4</f>
        <v/>
      </c>
      <c r="BD5">
        <f>Control!BD10*BD4</f>
        <v/>
      </c>
      <c r="BE5">
        <f>Control!BE10*BE4</f>
        <v/>
      </c>
      <c r="BF5">
        <f>Control!BF10*BF4</f>
        <v/>
      </c>
      <c r="BG5">
        <f>Control!BG10*BG4</f>
        <v/>
      </c>
      <c r="BH5">
        <f>Control!BH10*BH4</f>
        <v/>
      </c>
      <c r="BI5">
        <f>Control!BI10*BI4</f>
        <v/>
      </c>
      <c r="BJ5">
        <f>Control!BJ10*BJ4</f>
        <v/>
      </c>
      <c r="BK5">
        <f>Control!BK10*BK4</f>
        <v/>
      </c>
      <c r="BL5">
        <f>Control!BL10*BL4</f>
        <v/>
      </c>
      <c r="BM5">
        <f>Control!BM10*BM4</f>
        <v/>
      </c>
      <c r="BN5">
        <f>Control!BN10*BN4</f>
        <v/>
      </c>
      <c r="BO5">
        <f>Control!BO10*BO4</f>
        <v/>
      </c>
      <c r="BP5">
        <f>Control!BP10*BP4</f>
        <v/>
      </c>
      <c r="BQ5">
        <f>Control!BQ10*BQ4</f>
        <v/>
      </c>
      <c r="BR5">
        <f>Control!BR10*BR4</f>
        <v/>
      </c>
      <c r="BS5">
        <f>Control!BS10*BS4</f>
        <v/>
      </c>
      <c r="BT5">
        <f>Control!BT10*BT4</f>
        <v/>
      </c>
      <c r="BU5">
        <f>Control!BU10*BU4</f>
        <v/>
      </c>
      <c r="BV5">
        <f>Control!BV10*BV4</f>
        <v/>
      </c>
      <c r="BW5">
        <f>Control!BW10*BW4</f>
        <v/>
      </c>
      <c r="BX5">
        <f>Control!BX10*BX4</f>
        <v/>
      </c>
      <c r="BY5">
        <f>Control!BY10*BY4</f>
        <v/>
      </c>
      <c r="BZ5">
        <f>Control!BZ10*BZ4</f>
        <v/>
      </c>
      <c r="CA5">
        <f>Control!CA10*CA4</f>
        <v/>
      </c>
      <c r="CB5">
        <f>Control!CB10*CB4</f>
        <v/>
      </c>
      <c r="CC5">
        <f>Control!CC10*CC4</f>
        <v/>
      </c>
      <c r="CD5">
        <f>Control!CD10*CD4</f>
        <v/>
      </c>
      <c r="CE5">
        <f>Control!CE10*CE4</f>
        <v/>
      </c>
      <c r="CF5">
        <f>Control!CF10*CF4</f>
        <v/>
      </c>
      <c r="CG5">
        <f>Control!CG10*CG4</f>
        <v/>
      </c>
      <c r="CH5">
        <f>Control!CH10*CH4</f>
        <v/>
      </c>
      <c r="CI5">
        <f>Control!CI10*CI4</f>
        <v/>
      </c>
      <c r="CJ5">
        <f>Control!CJ10*CJ4</f>
        <v/>
      </c>
      <c r="CK5">
        <f>Control!CK10*CK4</f>
        <v/>
      </c>
      <c r="CL5">
        <f>Control!CL10*CL4</f>
        <v/>
      </c>
      <c r="CM5">
        <f>Control!CM10*CM4</f>
        <v/>
      </c>
    </row>
    <row r="6">
      <c r="A6" s="3" t="inlineStr">
        <is>
          <t>CFADS (link)</t>
        </is>
      </c>
      <c r="C6" t="inlineStr">
        <is>
          <t>$</t>
        </is>
      </c>
      <c r="D6">
        <f>'Ops_CFADS'!D11</f>
        <v/>
      </c>
      <c r="E6">
        <f>'Ops_CFADS'!E11</f>
        <v/>
      </c>
      <c r="F6">
        <f>'Ops_CFADS'!F11</f>
        <v/>
      </c>
      <c r="G6">
        <f>'Ops_CFADS'!G11</f>
        <v/>
      </c>
      <c r="H6">
        <f>'Ops_CFADS'!H11</f>
        <v/>
      </c>
      <c r="I6">
        <f>'Ops_CFADS'!I11</f>
        <v/>
      </c>
      <c r="J6">
        <f>'Ops_CFADS'!J11</f>
        <v/>
      </c>
      <c r="K6">
        <f>'Ops_CFADS'!K11</f>
        <v/>
      </c>
      <c r="L6">
        <f>'Ops_CFADS'!L11</f>
        <v/>
      </c>
      <c r="M6">
        <f>'Ops_CFADS'!M11</f>
        <v/>
      </c>
      <c r="N6">
        <f>'Ops_CFADS'!N11</f>
        <v/>
      </c>
      <c r="O6">
        <f>'Ops_CFADS'!O11</f>
        <v/>
      </c>
      <c r="P6">
        <f>'Ops_CFADS'!P11</f>
        <v/>
      </c>
      <c r="Q6">
        <f>'Ops_CFADS'!Q11</f>
        <v/>
      </c>
      <c r="R6">
        <f>'Ops_CFADS'!R11</f>
        <v/>
      </c>
      <c r="S6">
        <f>'Ops_CFADS'!S11</f>
        <v/>
      </c>
      <c r="T6">
        <f>'Ops_CFADS'!T11</f>
        <v/>
      </c>
      <c r="U6">
        <f>'Ops_CFADS'!U11</f>
        <v/>
      </c>
      <c r="V6">
        <f>'Ops_CFADS'!V11</f>
        <v/>
      </c>
      <c r="W6">
        <f>'Ops_CFADS'!W11</f>
        <v/>
      </c>
      <c r="X6">
        <f>'Ops_CFADS'!X11</f>
        <v/>
      </c>
      <c r="Y6">
        <f>'Ops_CFADS'!Y11</f>
        <v/>
      </c>
      <c r="Z6">
        <f>'Ops_CFADS'!Z11</f>
        <v/>
      </c>
      <c r="AA6">
        <f>'Ops_CFADS'!AA11</f>
        <v/>
      </c>
      <c r="AB6">
        <f>'Ops_CFADS'!AB11</f>
        <v/>
      </c>
      <c r="AC6">
        <f>'Ops_CFADS'!AC11</f>
        <v/>
      </c>
      <c r="AD6">
        <f>'Ops_CFADS'!AD11</f>
        <v/>
      </c>
      <c r="AE6">
        <f>'Ops_CFADS'!AE11</f>
        <v/>
      </c>
      <c r="AF6">
        <f>'Ops_CFADS'!AF11</f>
        <v/>
      </c>
      <c r="AG6">
        <f>'Ops_CFADS'!AG11</f>
        <v/>
      </c>
      <c r="AH6">
        <f>'Ops_CFADS'!AH11</f>
        <v/>
      </c>
      <c r="AI6">
        <f>'Ops_CFADS'!AI11</f>
        <v/>
      </c>
      <c r="AJ6">
        <f>'Ops_CFADS'!AJ11</f>
        <v/>
      </c>
      <c r="AK6">
        <f>'Ops_CFADS'!AK11</f>
        <v/>
      </c>
      <c r="AL6">
        <f>'Ops_CFADS'!AL11</f>
        <v/>
      </c>
      <c r="AM6">
        <f>'Ops_CFADS'!AM11</f>
        <v/>
      </c>
      <c r="AN6">
        <f>'Ops_CFADS'!AN11</f>
        <v/>
      </c>
      <c r="AO6">
        <f>'Ops_CFADS'!AO11</f>
        <v/>
      </c>
      <c r="AP6">
        <f>'Ops_CFADS'!AP11</f>
        <v/>
      </c>
      <c r="AQ6">
        <f>'Ops_CFADS'!AQ11</f>
        <v/>
      </c>
      <c r="AR6">
        <f>'Ops_CFADS'!AR11</f>
        <v/>
      </c>
      <c r="AS6">
        <f>'Ops_CFADS'!AS11</f>
        <v/>
      </c>
      <c r="AT6">
        <f>'Ops_CFADS'!AT11</f>
        <v/>
      </c>
      <c r="AU6">
        <f>'Ops_CFADS'!AU11</f>
        <v/>
      </c>
      <c r="AV6">
        <f>'Ops_CFADS'!AV11</f>
        <v/>
      </c>
      <c r="AW6">
        <f>'Ops_CFADS'!AW11</f>
        <v/>
      </c>
      <c r="AX6">
        <f>'Ops_CFADS'!AX11</f>
        <v/>
      </c>
      <c r="AY6">
        <f>'Ops_CFADS'!AY11</f>
        <v/>
      </c>
      <c r="AZ6">
        <f>'Ops_CFADS'!AZ11</f>
        <v/>
      </c>
      <c r="BA6">
        <f>'Ops_CFADS'!BA11</f>
        <v/>
      </c>
      <c r="BB6">
        <f>'Ops_CFADS'!BB11</f>
        <v/>
      </c>
      <c r="BC6">
        <f>'Ops_CFADS'!BC11</f>
        <v/>
      </c>
      <c r="BD6">
        <f>'Ops_CFADS'!BD11</f>
        <v/>
      </c>
      <c r="BE6">
        <f>'Ops_CFADS'!BE11</f>
        <v/>
      </c>
      <c r="BF6">
        <f>'Ops_CFADS'!BF11</f>
        <v/>
      </c>
      <c r="BG6">
        <f>'Ops_CFADS'!BG11</f>
        <v/>
      </c>
      <c r="BH6">
        <f>'Ops_CFADS'!BH11</f>
        <v/>
      </c>
      <c r="BI6">
        <f>'Ops_CFADS'!BI11</f>
        <v/>
      </c>
      <c r="BJ6">
        <f>'Ops_CFADS'!BJ11</f>
        <v/>
      </c>
      <c r="BK6">
        <f>'Ops_CFADS'!BK11</f>
        <v/>
      </c>
      <c r="BL6">
        <f>'Ops_CFADS'!BL11</f>
        <v/>
      </c>
      <c r="BM6">
        <f>'Ops_CFADS'!BM11</f>
        <v/>
      </c>
      <c r="BN6">
        <f>'Ops_CFADS'!BN11</f>
        <v/>
      </c>
      <c r="BO6">
        <f>'Ops_CFADS'!BO11</f>
        <v/>
      </c>
      <c r="BP6">
        <f>'Ops_CFADS'!BP11</f>
        <v/>
      </c>
      <c r="BQ6">
        <f>'Ops_CFADS'!BQ11</f>
        <v/>
      </c>
      <c r="BR6">
        <f>'Ops_CFADS'!BR11</f>
        <v/>
      </c>
      <c r="BS6">
        <f>'Ops_CFADS'!BS11</f>
        <v/>
      </c>
      <c r="BT6">
        <f>'Ops_CFADS'!BT11</f>
        <v/>
      </c>
      <c r="BU6">
        <f>'Ops_CFADS'!BU11</f>
        <v/>
      </c>
      <c r="BV6">
        <f>'Ops_CFADS'!BV11</f>
        <v/>
      </c>
      <c r="BW6">
        <f>'Ops_CFADS'!BW11</f>
        <v/>
      </c>
      <c r="BX6">
        <f>'Ops_CFADS'!BX11</f>
        <v/>
      </c>
      <c r="BY6">
        <f>'Ops_CFADS'!BY11</f>
        <v/>
      </c>
      <c r="BZ6">
        <f>'Ops_CFADS'!BZ11</f>
        <v/>
      </c>
      <c r="CA6">
        <f>'Ops_CFADS'!CA11</f>
        <v/>
      </c>
      <c r="CB6">
        <f>'Ops_CFADS'!CB11</f>
        <v/>
      </c>
      <c r="CC6">
        <f>'Ops_CFADS'!CC11</f>
        <v/>
      </c>
      <c r="CD6">
        <f>'Ops_CFADS'!CD11</f>
        <v/>
      </c>
      <c r="CE6">
        <f>'Ops_CFADS'!CE11</f>
        <v/>
      </c>
      <c r="CF6">
        <f>'Ops_CFADS'!CF11</f>
        <v/>
      </c>
      <c r="CG6">
        <f>'Ops_CFADS'!CG11</f>
        <v/>
      </c>
      <c r="CH6">
        <f>'Ops_CFADS'!CH11</f>
        <v/>
      </c>
      <c r="CI6">
        <f>'Ops_CFADS'!CI11</f>
        <v/>
      </c>
      <c r="CJ6">
        <f>'Ops_CFADS'!CJ11</f>
        <v/>
      </c>
      <c r="CK6">
        <f>'Ops_CFADS'!CK11</f>
        <v/>
      </c>
      <c r="CL6">
        <f>'Ops_CFADS'!CL11</f>
        <v/>
      </c>
      <c r="CM6">
        <f>'Ops_CFADS'!CM11</f>
        <v/>
      </c>
    </row>
    <row r="7">
      <c r="A7" s="3" t="inlineStr">
        <is>
          <t>Principal_t (sculpted)</t>
        </is>
      </c>
      <c r="C7" t="inlineStr">
        <is>
          <t>$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>
        <f>IF(L4=0,0,MIN(L4,MAX(0,L6/TargetDSCR_Input-L5)))</f>
        <v/>
      </c>
      <c r="M7">
        <f>IF(M4=0,0,MIN(M4,MAX(0,M6/TargetDSCR_Input-M5)))</f>
        <v/>
      </c>
      <c r="N7">
        <f>IF(N4=0,0,MIN(N4,MAX(0,N6/TargetDSCR_Input-N5)))</f>
        <v/>
      </c>
      <c r="O7">
        <f>IF(O4=0,0,MIN(O4,MAX(0,O6/TargetDSCR_Input-O5)))</f>
        <v/>
      </c>
      <c r="P7">
        <f>IF(P4=0,0,MIN(P4,MAX(0,P6/TargetDSCR_Input-P5)))</f>
        <v/>
      </c>
      <c r="Q7">
        <f>IF(Q4=0,0,MIN(Q4,MAX(0,Q6/TargetDSCR_Input-Q5)))</f>
        <v/>
      </c>
      <c r="R7">
        <f>IF(R4=0,0,MIN(R4,MAX(0,R6/TargetDSCR_Input-R5)))</f>
        <v/>
      </c>
      <c r="S7">
        <f>IF(S4=0,0,MIN(S4,MAX(0,S6/TargetDSCR_Input-S5)))</f>
        <v/>
      </c>
      <c r="T7">
        <f>IF(T4=0,0,MIN(T4,MAX(0,T6/TargetDSCR_Input-T5)))</f>
        <v/>
      </c>
      <c r="U7">
        <f>IF(U4=0,0,MIN(U4,MAX(0,U6/TargetDSCR_Input-U5)))</f>
        <v/>
      </c>
      <c r="V7">
        <f>IF(V4=0,0,MIN(V4,MAX(0,V6/TargetDSCR_Input-V5)))</f>
        <v/>
      </c>
      <c r="W7">
        <f>IF(W4=0,0,MIN(W4,MAX(0,W6/TargetDSCR_Input-W5)))</f>
        <v/>
      </c>
      <c r="X7">
        <f>IF(X4=0,0,MIN(X4,MAX(0,X6/TargetDSCR_Input-X5)))</f>
        <v/>
      </c>
      <c r="Y7">
        <f>IF(Y4=0,0,MIN(Y4,MAX(0,Y6/TargetDSCR_Input-Y5)))</f>
        <v/>
      </c>
      <c r="Z7">
        <f>IF(Z4=0,0,MIN(Z4,MAX(0,Z6/TargetDSCR_Input-Z5)))</f>
        <v/>
      </c>
      <c r="AA7">
        <f>IF(AA4=0,0,MIN(AA4,MAX(0,AA6/TargetDSCR_Input-AA5)))</f>
        <v/>
      </c>
      <c r="AB7">
        <f>IF(AB4=0,0,MIN(AB4,MAX(0,AB6/TargetDSCR_Input-AB5)))</f>
        <v/>
      </c>
      <c r="AC7">
        <f>IF(AC4=0,0,MIN(AC4,MAX(0,AC6/TargetDSCR_Input-AC5)))</f>
        <v/>
      </c>
      <c r="AD7">
        <f>IF(AD4=0,0,MIN(AD4,MAX(0,AD6/TargetDSCR_Input-AD5)))</f>
        <v/>
      </c>
      <c r="AE7">
        <f>IF(AE4=0,0,MIN(AE4,MAX(0,AE6/TargetDSCR_Input-AE5)))</f>
        <v/>
      </c>
      <c r="AF7">
        <f>IF(AF4=0,0,MIN(AF4,MAX(0,AF6/TargetDSCR_Input-AF5)))</f>
        <v/>
      </c>
      <c r="AG7">
        <f>IF(AG4=0,0,MIN(AG4,MAX(0,AG6/TargetDSCR_Input-AG5)))</f>
        <v/>
      </c>
      <c r="AH7">
        <f>IF(AH4=0,0,MIN(AH4,MAX(0,AH6/TargetDSCR_Input-AH5)))</f>
        <v/>
      </c>
      <c r="AI7">
        <f>IF(AI4=0,0,MIN(AI4,MAX(0,AI6/TargetDSCR_Input-AI5)))</f>
        <v/>
      </c>
      <c r="AJ7">
        <f>IF(AJ4=0,0,MIN(AJ4,MAX(0,AJ6/TargetDSCR_Input-AJ5)))</f>
        <v/>
      </c>
      <c r="AK7">
        <f>IF(AK4=0,0,MIN(AK4,MAX(0,AK6/TargetDSCR_Input-AK5)))</f>
        <v/>
      </c>
      <c r="AL7">
        <f>IF(AL4=0,0,MIN(AL4,MAX(0,AL6/TargetDSCR_Input-AL5)))</f>
        <v/>
      </c>
      <c r="AM7">
        <f>IF(AM4=0,0,MIN(AM4,MAX(0,AM6/TargetDSCR_Input-AM5)))</f>
        <v/>
      </c>
      <c r="AN7">
        <f>IF(AN4=0,0,MIN(AN4,MAX(0,AN6/TargetDSCR_Input-AN5)))</f>
        <v/>
      </c>
      <c r="AO7">
        <f>IF(AO4=0,0,MIN(AO4,MAX(0,AO6/TargetDSCR_Input-AO5)))</f>
        <v/>
      </c>
      <c r="AP7">
        <f>IF(AP4=0,0,MIN(AP4,MAX(0,AP6/TargetDSCR_Input-AP5)))</f>
        <v/>
      </c>
      <c r="AQ7">
        <f>IF(AQ4=0,0,MIN(AQ4,MAX(0,AQ6/TargetDSCR_Input-AQ5)))</f>
        <v/>
      </c>
      <c r="AR7">
        <f>IF(AR4=0,0,MIN(AR4,MAX(0,AR6/TargetDSCR_Input-AR5)))</f>
        <v/>
      </c>
      <c r="AS7">
        <f>IF(AS4=0,0,MIN(AS4,MAX(0,AS6/TargetDSCR_Input-AS5)))</f>
        <v/>
      </c>
      <c r="AT7">
        <f>IF(AT4=0,0,MIN(AT4,MAX(0,AT6/TargetDSCR_Input-AT5)))</f>
        <v/>
      </c>
      <c r="AU7">
        <f>IF(AU4=0,0,MIN(AU4,MAX(0,AU6/TargetDSCR_Input-AU5)))</f>
        <v/>
      </c>
      <c r="AV7">
        <f>IF(AV4=0,0,MIN(AV4,MAX(0,AV6/TargetDSCR_Input-AV5)))</f>
        <v/>
      </c>
      <c r="AW7">
        <f>IF(AW4=0,0,MIN(AW4,MAX(0,AW6/TargetDSCR_Input-AW5)))</f>
        <v/>
      </c>
      <c r="AX7">
        <f>IF(AX4=0,0,MIN(AX4,MAX(0,AX6/TargetDSCR_Input-AX5)))</f>
        <v/>
      </c>
      <c r="AY7">
        <f>IF(AY4=0,0,MIN(AY4,MAX(0,AY6/TargetDSCR_Input-AY5)))</f>
        <v/>
      </c>
      <c r="AZ7">
        <f>IF(AZ4=0,0,MIN(AZ4,MAX(0,AZ6/TargetDSCR_Input-AZ5)))</f>
        <v/>
      </c>
      <c r="BA7">
        <f>IF(BA4=0,0,MIN(BA4,MAX(0,BA6/TargetDSCR_Input-BA5)))</f>
        <v/>
      </c>
      <c r="BB7">
        <f>IF(BB4=0,0,MIN(BB4,MAX(0,BB6/TargetDSCR_Input-BB5)))</f>
        <v/>
      </c>
      <c r="BC7">
        <f>IF(BC4=0,0,MIN(BC4,MAX(0,BC6/TargetDSCR_Input-BC5)))</f>
        <v/>
      </c>
      <c r="BD7">
        <f>IF(BD4=0,0,MIN(BD4,MAX(0,BD6/TargetDSCR_Input-BD5)))</f>
        <v/>
      </c>
      <c r="BE7">
        <f>IF(BE4=0,0,MIN(BE4,MAX(0,BE6/TargetDSCR_Input-BE5)))</f>
        <v/>
      </c>
      <c r="BF7">
        <f>IF(BF4=0,0,MIN(BF4,MAX(0,BF6/TargetDSCR_Input-BF5)))</f>
        <v/>
      </c>
      <c r="BG7">
        <f>IF(BG4=0,0,MIN(BG4,MAX(0,BG6/TargetDSCR_Input-BG5)))</f>
        <v/>
      </c>
      <c r="BH7">
        <f>IF(BH4=0,0,MIN(BH4,MAX(0,BH6/TargetDSCR_Input-BH5)))</f>
        <v/>
      </c>
      <c r="BI7">
        <f>IF(BI4=0,0,MIN(BI4,MAX(0,BI6/TargetDSCR_Input-BI5)))</f>
        <v/>
      </c>
      <c r="BJ7">
        <f>IF(BJ4=0,0,MIN(BJ4,MAX(0,BJ6/TargetDSCR_Input-BJ5)))</f>
        <v/>
      </c>
      <c r="BK7">
        <f>IF(BK4=0,0,MIN(BK4,MAX(0,BK6/TargetDSCR_Input-BK5)))</f>
        <v/>
      </c>
      <c r="BL7">
        <f>IF(BL4=0,0,MIN(BL4,MAX(0,BL6/TargetDSCR_Input-BL5)))</f>
        <v/>
      </c>
      <c r="BM7">
        <f>IF(BM4=0,0,MIN(BM4,MAX(0,BM6/TargetDSCR_Input-BM5)))</f>
        <v/>
      </c>
      <c r="BN7">
        <f>IF(BN4=0,0,MIN(BN4,MAX(0,BN6/TargetDSCR_Input-BN5)))</f>
        <v/>
      </c>
      <c r="BO7">
        <f>IF(BO4=0,0,MIN(BO4,MAX(0,BO6/TargetDSCR_Input-BO5)))</f>
        <v/>
      </c>
      <c r="BP7">
        <f>IF(BP4=0,0,MIN(BP4,MAX(0,BP6/TargetDSCR_Input-BP5)))</f>
        <v/>
      </c>
      <c r="BQ7">
        <f>IF(BQ4=0,0,MIN(BQ4,MAX(0,BQ6/TargetDSCR_Input-BQ5)))</f>
        <v/>
      </c>
      <c r="BR7">
        <f>IF(BR4=0,0,MIN(BR4,MAX(0,BR6/TargetDSCR_Input-BR5)))</f>
        <v/>
      </c>
      <c r="BS7">
        <f>IF(BS4=0,0,MIN(BS4,MAX(0,BS6/TargetDSCR_Input-BS5)))</f>
        <v/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s="3" t="inlineStr">
        <is>
          <t>Actual DSCR</t>
        </is>
      </c>
      <c r="C8" t="inlineStr">
        <is>
          <t>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>
        <f>IF((L5+L7)=0,"",L6/(L5+L7))</f>
        <v/>
      </c>
      <c r="M8">
        <f>IF((M5+M7)=0,"",M6/(M5+M7))</f>
        <v/>
      </c>
      <c r="N8">
        <f>IF((N5+N7)=0,"",N6/(N5+N7))</f>
        <v/>
      </c>
      <c r="O8">
        <f>IF((O5+O7)=0,"",O6/(O5+O7))</f>
        <v/>
      </c>
      <c r="P8">
        <f>IF((P5+P7)=0,"",P6/(P5+P7))</f>
        <v/>
      </c>
      <c r="Q8">
        <f>IF((Q5+Q7)=0,"",Q6/(Q5+Q7))</f>
        <v/>
      </c>
      <c r="R8">
        <f>IF((R5+R7)=0,"",R6/(R5+R7))</f>
        <v/>
      </c>
      <c r="S8">
        <f>IF((S5+S7)=0,"",S6/(S5+S7))</f>
        <v/>
      </c>
      <c r="T8">
        <f>IF((T5+T7)=0,"",T6/(T5+T7))</f>
        <v/>
      </c>
      <c r="U8">
        <f>IF((U5+U7)=0,"",U6/(U5+U7))</f>
        <v/>
      </c>
      <c r="V8">
        <f>IF((V5+V7)=0,"",V6/(V5+V7))</f>
        <v/>
      </c>
      <c r="W8">
        <f>IF((W5+W7)=0,"",W6/(W5+W7))</f>
        <v/>
      </c>
      <c r="X8">
        <f>IF((X5+X7)=0,"",X6/(X5+X7))</f>
        <v/>
      </c>
      <c r="Y8">
        <f>IF((Y5+Y7)=0,"",Y6/(Y5+Y7))</f>
        <v/>
      </c>
      <c r="Z8">
        <f>IF((Z5+Z7)=0,"",Z6/(Z5+Z7))</f>
        <v/>
      </c>
      <c r="AA8">
        <f>IF((AA5+AA7)=0,"",AA6/(AA5+AA7))</f>
        <v/>
      </c>
      <c r="AB8">
        <f>IF((AB5+AB7)=0,"",AB6/(AB5+AB7))</f>
        <v/>
      </c>
      <c r="AC8">
        <f>IF((AC5+AC7)=0,"",AC6/(AC5+AC7))</f>
        <v/>
      </c>
      <c r="AD8">
        <f>IF((AD5+AD7)=0,"",AD6/(AD5+AD7))</f>
        <v/>
      </c>
      <c r="AE8">
        <f>IF((AE5+AE7)=0,"",AE6/(AE5+AE7))</f>
        <v/>
      </c>
      <c r="AF8">
        <f>IF((AF5+AF7)=0,"",AF6/(AF5+AF7))</f>
        <v/>
      </c>
      <c r="AG8">
        <f>IF((AG5+AG7)=0,"",AG6/(AG5+AG7))</f>
        <v/>
      </c>
      <c r="AH8">
        <f>IF((AH5+AH7)=0,"",AH6/(AH5+AH7))</f>
        <v/>
      </c>
      <c r="AI8">
        <f>IF((AI5+AI7)=0,"",AI6/(AI5+AI7))</f>
        <v/>
      </c>
      <c r="AJ8">
        <f>IF((AJ5+AJ7)=0,"",AJ6/(AJ5+AJ7))</f>
        <v/>
      </c>
      <c r="AK8">
        <f>IF((AK5+AK7)=0,"",AK6/(AK5+AK7))</f>
        <v/>
      </c>
      <c r="AL8">
        <f>IF((AL5+AL7)=0,"",AL6/(AL5+AL7))</f>
        <v/>
      </c>
      <c r="AM8">
        <f>IF((AM5+AM7)=0,"",AM6/(AM5+AM7))</f>
        <v/>
      </c>
      <c r="AN8">
        <f>IF((AN5+AN7)=0,"",AN6/(AN5+AN7))</f>
        <v/>
      </c>
      <c r="AO8">
        <f>IF((AO5+AO7)=0,"",AO6/(AO5+AO7))</f>
        <v/>
      </c>
      <c r="AP8">
        <f>IF((AP5+AP7)=0,"",AP6/(AP5+AP7))</f>
        <v/>
      </c>
      <c r="AQ8">
        <f>IF((AQ5+AQ7)=0,"",AQ6/(AQ5+AQ7))</f>
        <v/>
      </c>
      <c r="AR8">
        <f>IF((AR5+AR7)=0,"",AR6/(AR5+AR7))</f>
        <v/>
      </c>
      <c r="AS8">
        <f>IF((AS5+AS7)=0,"",AS6/(AS5+AS7))</f>
        <v/>
      </c>
      <c r="AT8">
        <f>IF((AT5+AT7)=0,"",AT6/(AT5+AT7))</f>
        <v/>
      </c>
      <c r="AU8">
        <f>IF((AU5+AU7)=0,"",AU6/(AU5+AU7))</f>
        <v/>
      </c>
      <c r="AV8">
        <f>IF((AV5+AV7)=0,"",AV6/(AV5+AV7))</f>
        <v/>
      </c>
      <c r="AW8">
        <f>IF((AW5+AW7)=0,"",AW6/(AW5+AW7))</f>
        <v/>
      </c>
      <c r="AX8">
        <f>IF((AX5+AX7)=0,"",AX6/(AX5+AX7))</f>
        <v/>
      </c>
      <c r="AY8">
        <f>IF((AY5+AY7)=0,"",AY6/(AY5+AY7))</f>
        <v/>
      </c>
      <c r="AZ8">
        <f>IF((AZ5+AZ7)=0,"",AZ6/(AZ5+AZ7))</f>
        <v/>
      </c>
      <c r="BA8">
        <f>IF((BA5+BA7)=0,"",BA6/(BA5+BA7))</f>
        <v/>
      </c>
      <c r="BB8">
        <f>IF((BB5+BB7)=0,"",BB6/(BB5+BB7))</f>
        <v/>
      </c>
      <c r="BC8">
        <f>IF((BC5+BC7)=0,"",BC6/(BC5+BC7))</f>
        <v/>
      </c>
      <c r="BD8">
        <f>IF((BD5+BD7)=0,"",BD6/(BD5+BD7))</f>
        <v/>
      </c>
      <c r="BE8">
        <f>IF((BE5+BE7)=0,"",BE6/(BE5+BE7))</f>
        <v/>
      </c>
      <c r="BF8">
        <f>IF((BF5+BF7)=0,"",BF6/(BF5+BF7))</f>
        <v/>
      </c>
      <c r="BG8">
        <f>IF((BG5+BG7)=0,"",BG6/(BG5+BG7))</f>
        <v/>
      </c>
      <c r="BH8">
        <f>IF((BH5+BH7)=0,"",BH6/(BH5+BH7))</f>
        <v/>
      </c>
      <c r="BI8">
        <f>IF((BI5+BI7)=0,"",BI6/(BI5+BI7))</f>
        <v/>
      </c>
      <c r="BJ8">
        <f>IF((BJ5+BJ7)=0,"",BJ6/(BJ5+BJ7))</f>
        <v/>
      </c>
      <c r="BK8">
        <f>IF((BK5+BK7)=0,"",BK6/(BK5+BK7))</f>
        <v/>
      </c>
      <c r="BL8">
        <f>IF((BL5+BL7)=0,"",BL6/(BL5+BL7))</f>
        <v/>
      </c>
      <c r="BM8">
        <f>IF((BM5+BM7)=0,"",BM6/(BM5+BM7))</f>
        <v/>
      </c>
      <c r="BN8">
        <f>IF((BN5+BN7)=0,"",BN6/(BN5+BN7))</f>
        <v/>
      </c>
      <c r="BO8">
        <f>IF((BO5+BO7)=0,"",BO6/(BO5+BO7))</f>
        <v/>
      </c>
      <c r="BP8">
        <f>IF((BP5+BP7)=0,"",BP6/(BP5+BP7))</f>
        <v/>
      </c>
      <c r="BQ8">
        <f>IF((BQ5+BQ7)=0,"",BQ6/(BQ5+BQ7))</f>
        <v/>
      </c>
      <c r="BR8">
        <f>IF((BR5+BR7)=0,"",BR6/(BR5+BR7))</f>
        <v/>
      </c>
      <c r="BS8">
        <f>IF((BS5+BS7)=0,"",BS6/(BS5+BS7))</f>
        <v/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</row>
    <row r="9">
      <c r="A9" s="3" t="inlineStr">
        <is>
          <t>Closing Balance</t>
        </is>
      </c>
      <c r="C9" t="inlineStr">
        <is>
          <t>$</t>
        </is>
      </c>
      <c r="D9">
        <f>D4</f>
        <v/>
      </c>
      <c r="E9">
        <f>E4</f>
        <v/>
      </c>
      <c r="F9">
        <f>F4</f>
        <v/>
      </c>
      <c r="G9">
        <f>G4</f>
        <v/>
      </c>
      <c r="H9">
        <f>H4</f>
        <v/>
      </c>
      <c r="I9">
        <f>I4</f>
        <v/>
      </c>
      <c r="J9">
        <f>J4</f>
        <v/>
      </c>
      <c r="K9">
        <f>K4</f>
        <v/>
      </c>
      <c r="L9">
        <f>L4-L7</f>
        <v/>
      </c>
      <c r="M9">
        <f>M4-M7</f>
        <v/>
      </c>
      <c r="N9">
        <f>N4-N7</f>
        <v/>
      </c>
      <c r="O9">
        <f>O4-O7</f>
        <v/>
      </c>
      <c r="P9">
        <f>P4-P7</f>
        <v/>
      </c>
      <c r="Q9">
        <f>Q4-Q7</f>
        <v/>
      </c>
      <c r="R9">
        <f>R4-R7</f>
        <v/>
      </c>
      <c r="S9">
        <f>S4-S7</f>
        <v/>
      </c>
      <c r="T9">
        <f>T4-T7</f>
        <v/>
      </c>
      <c r="U9">
        <f>U4-U7</f>
        <v/>
      </c>
      <c r="V9">
        <f>V4-V7</f>
        <v/>
      </c>
      <c r="W9">
        <f>W4-W7</f>
        <v/>
      </c>
      <c r="X9">
        <f>X4-X7</f>
        <v/>
      </c>
      <c r="Y9">
        <f>Y4-Y7</f>
        <v/>
      </c>
      <c r="Z9">
        <f>Z4-Z7</f>
        <v/>
      </c>
      <c r="AA9">
        <f>AA4-AA7</f>
        <v/>
      </c>
      <c r="AB9">
        <f>AB4-AB7</f>
        <v/>
      </c>
      <c r="AC9">
        <f>AC4-AC7</f>
        <v/>
      </c>
      <c r="AD9">
        <f>AD4-AD7</f>
        <v/>
      </c>
      <c r="AE9">
        <f>AE4-AE7</f>
        <v/>
      </c>
      <c r="AF9">
        <f>AF4-AF7</f>
        <v/>
      </c>
      <c r="AG9">
        <f>AG4-AG7</f>
        <v/>
      </c>
      <c r="AH9">
        <f>AH4-AH7</f>
        <v/>
      </c>
      <c r="AI9">
        <f>AI4-AI7</f>
        <v/>
      </c>
      <c r="AJ9">
        <f>AJ4-AJ7</f>
        <v/>
      </c>
      <c r="AK9">
        <f>AK4-AK7</f>
        <v/>
      </c>
      <c r="AL9">
        <f>AL4-AL7</f>
        <v/>
      </c>
      <c r="AM9">
        <f>AM4-AM7</f>
        <v/>
      </c>
      <c r="AN9">
        <f>AN4-AN7</f>
        <v/>
      </c>
      <c r="AO9">
        <f>AO4-AO7</f>
        <v/>
      </c>
      <c r="AP9">
        <f>AP4-AP7</f>
        <v/>
      </c>
      <c r="AQ9">
        <f>AQ4-AQ7</f>
        <v/>
      </c>
      <c r="AR9">
        <f>AR4-AR7</f>
        <v/>
      </c>
      <c r="AS9">
        <f>AS4-AS7</f>
        <v/>
      </c>
      <c r="AT9">
        <f>AT4-AT7</f>
        <v/>
      </c>
      <c r="AU9">
        <f>AU4-AU7</f>
        <v/>
      </c>
      <c r="AV9">
        <f>AV4-AV7</f>
        <v/>
      </c>
      <c r="AW9">
        <f>AW4-AW7</f>
        <v/>
      </c>
      <c r="AX9">
        <f>AX4-AX7</f>
        <v/>
      </c>
      <c r="AY9">
        <f>AY4-AY7</f>
        <v/>
      </c>
      <c r="AZ9">
        <f>AZ4-AZ7</f>
        <v/>
      </c>
      <c r="BA9">
        <f>BA4-BA7</f>
        <v/>
      </c>
      <c r="BB9">
        <f>BB4-BB7</f>
        <v/>
      </c>
      <c r="BC9">
        <f>BC4-BC7</f>
        <v/>
      </c>
      <c r="BD9">
        <f>BD4-BD7</f>
        <v/>
      </c>
      <c r="BE9">
        <f>BE4-BE7</f>
        <v/>
      </c>
      <c r="BF9">
        <f>BF4-BF7</f>
        <v/>
      </c>
      <c r="BG9">
        <f>BG4-BG7</f>
        <v/>
      </c>
      <c r="BH9">
        <f>BH4-BH7</f>
        <v/>
      </c>
      <c r="BI9">
        <f>BI4-BI7</f>
        <v/>
      </c>
      <c r="BJ9">
        <f>BJ4-BJ7</f>
        <v/>
      </c>
      <c r="BK9">
        <f>BK4-BK7</f>
        <v/>
      </c>
      <c r="BL9">
        <f>BL4-BL7</f>
        <v/>
      </c>
      <c r="BM9">
        <f>BM4-BM7</f>
        <v/>
      </c>
      <c r="BN9">
        <f>BN4-BN7</f>
        <v/>
      </c>
      <c r="BO9">
        <f>BO4-BO7</f>
        <v/>
      </c>
      <c r="BP9">
        <f>BP4-BP7</f>
        <v/>
      </c>
      <c r="BQ9">
        <f>BQ4-BQ7</f>
        <v/>
      </c>
      <c r="BR9">
        <f>BR4-BR7</f>
        <v/>
      </c>
      <c r="BS9">
        <f>BS4-BS7</f>
        <v/>
      </c>
      <c r="BT9">
        <f>BT4</f>
        <v/>
      </c>
      <c r="BU9">
        <f>BU4</f>
        <v/>
      </c>
      <c r="BV9">
        <f>BV4</f>
        <v/>
      </c>
      <c r="BW9">
        <f>BW4</f>
        <v/>
      </c>
      <c r="BX9">
        <f>BX4</f>
        <v/>
      </c>
      <c r="BY9">
        <f>BY4</f>
        <v/>
      </c>
      <c r="BZ9">
        <f>BZ4</f>
        <v/>
      </c>
      <c r="CA9">
        <f>CA4</f>
        <v/>
      </c>
      <c r="CB9">
        <f>CB4</f>
        <v/>
      </c>
      <c r="CC9">
        <f>CC4</f>
        <v/>
      </c>
      <c r="CD9">
        <f>CD4</f>
        <v/>
      </c>
      <c r="CE9">
        <f>CE4</f>
        <v/>
      </c>
      <c r="CF9">
        <f>CF4</f>
        <v/>
      </c>
      <c r="CG9">
        <f>CG4</f>
        <v/>
      </c>
      <c r="CH9">
        <f>CH4</f>
        <v/>
      </c>
      <c r="CI9">
        <f>CI4</f>
        <v/>
      </c>
      <c r="CJ9">
        <f>CJ4</f>
        <v/>
      </c>
      <c r="CK9">
        <f>CK4</f>
        <v/>
      </c>
      <c r="CL9">
        <f>CL4</f>
        <v/>
      </c>
      <c r="CM9">
        <f>CM4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2" t="inlineStr">
        <is>
          <t>VBA CONTROL (bisection scalars)</t>
        </is>
      </c>
    </row>
    <row r="3">
      <c r="A3" t="inlineStr">
        <is>
          <t>GearingFactor</t>
        </is>
      </c>
      <c r="B3" s="4" t="n">
        <v>1</v>
      </c>
      <c r="D3" t="inlineStr">
        <is>
          <t>Debt quantum multiplier on ClosingBalanceAtCOD -- VBA bisects this</t>
        </is>
      </c>
    </row>
    <row r="4">
      <c r="A4" t="inlineStr">
        <is>
          <t>Tolerance</t>
        </is>
      </c>
      <c r="B4" s="4" t="n">
        <v>1000</v>
      </c>
      <c r="D4" t="inlineStr">
        <is>
          <t>$ tolerance on EndingBalanceResidual for convergence</t>
        </is>
      </c>
    </row>
    <row r="5">
      <c r="A5" t="inlineStr">
        <is>
          <t>MaxIterations</t>
        </is>
      </c>
      <c r="B5" s="4" t="n">
        <v>100</v>
      </c>
      <c r="D5" t="inlineStr">
        <is>
          <t>Bisection iteration cap</t>
        </is>
      </c>
    </row>
    <row r="6">
      <c r="A6" t="inlineStr">
        <is>
          <t>SizingMethod</t>
        </is>
      </c>
      <c r="B6" s="4" t="inlineStr">
        <is>
          <t>GearingQuantum</t>
        </is>
      </c>
      <c r="D6" t="inlineStr">
        <is>
          <t>GearingQuantum (recommended) or DSCRMultiple</t>
        </is>
      </c>
    </row>
    <row r="7">
      <c r="A7" t="inlineStr">
        <is>
          <t>ConvergenceStatus</t>
        </is>
      </c>
      <c r="B7" s="4" t="inlineStr">
        <is>
          <t>Not run</t>
        </is>
      </c>
      <c r="D7" t="inlineStr">
        <is>
          <t>Written by RunDebtSizing</t>
        </is>
      </c>
    </row>
    <row r="8">
      <c r="A8" t="inlineStr">
        <is>
          <t>IterationsUsed</t>
        </is>
      </c>
      <c r="B8" s="4" t="n">
        <v>0</v>
      </c>
      <c r="D8" t="inlineStr">
        <is>
          <t>Written by RunDebtSizing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FINANCIALS SUMMARY (unaudited, simplified)</t>
        </is>
      </c>
    </row>
    <row r="3">
      <c r="A3" s="3" t="inlineStr">
        <is>
          <t>EBITDA</t>
        </is>
      </c>
      <c r="C3" t="inlineStr">
        <is>
          <t>$</t>
        </is>
      </c>
      <c r="D3">
        <f>'Ops_CFADS'!D10</f>
        <v/>
      </c>
      <c r="E3">
        <f>'Ops_CFADS'!E10</f>
        <v/>
      </c>
      <c r="F3">
        <f>'Ops_CFADS'!F10</f>
        <v/>
      </c>
      <c r="G3">
        <f>'Ops_CFADS'!G10</f>
        <v/>
      </c>
      <c r="H3">
        <f>'Ops_CFADS'!H10</f>
        <v/>
      </c>
      <c r="I3">
        <f>'Ops_CFADS'!I10</f>
        <v/>
      </c>
      <c r="J3">
        <f>'Ops_CFADS'!J10</f>
        <v/>
      </c>
      <c r="K3">
        <f>'Ops_CFADS'!K10</f>
        <v/>
      </c>
      <c r="L3">
        <f>'Ops_CFADS'!L10</f>
        <v/>
      </c>
      <c r="M3">
        <f>'Ops_CFADS'!M10</f>
        <v/>
      </c>
      <c r="N3">
        <f>'Ops_CFADS'!N10</f>
        <v/>
      </c>
      <c r="O3">
        <f>'Ops_CFADS'!O10</f>
        <v/>
      </c>
      <c r="P3">
        <f>'Ops_CFADS'!P10</f>
        <v/>
      </c>
      <c r="Q3">
        <f>'Ops_CFADS'!Q10</f>
        <v/>
      </c>
      <c r="R3">
        <f>'Ops_CFADS'!R10</f>
        <v/>
      </c>
      <c r="S3">
        <f>'Ops_CFADS'!S10</f>
        <v/>
      </c>
      <c r="T3">
        <f>'Ops_CFADS'!T10</f>
        <v/>
      </c>
      <c r="U3">
        <f>'Ops_CFADS'!U10</f>
        <v/>
      </c>
      <c r="V3">
        <f>'Ops_CFADS'!V10</f>
        <v/>
      </c>
      <c r="W3">
        <f>'Ops_CFADS'!W10</f>
        <v/>
      </c>
      <c r="X3">
        <f>'Ops_CFADS'!X10</f>
        <v/>
      </c>
      <c r="Y3">
        <f>'Ops_CFADS'!Y10</f>
        <v/>
      </c>
      <c r="Z3">
        <f>'Ops_CFADS'!Z10</f>
        <v/>
      </c>
      <c r="AA3">
        <f>'Ops_CFADS'!AA10</f>
        <v/>
      </c>
      <c r="AB3">
        <f>'Ops_CFADS'!AB10</f>
        <v/>
      </c>
      <c r="AC3">
        <f>'Ops_CFADS'!AC10</f>
        <v/>
      </c>
      <c r="AD3">
        <f>'Ops_CFADS'!AD10</f>
        <v/>
      </c>
      <c r="AE3">
        <f>'Ops_CFADS'!AE10</f>
        <v/>
      </c>
      <c r="AF3">
        <f>'Ops_CFADS'!AF10</f>
        <v/>
      </c>
      <c r="AG3">
        <f>'Ops_CFADS'!AG10</f>
        <v/>
      </c>
      <c r="AH3">
        <f>'Ops_CFADS'!AH10</f>
        <v/>
      </c>
      <c r="AI3">
        <f>'Ops_CFADS'!AI10</f>
        <v/>
      </c>
      <c r="AJ3">
        <f>'Ops_CFADS'!AJ10</f>
        <v/>
      </c>
      <c r="AK3">
        <f>'Ops_CFADS'!AK10</f>
        <v/>
      </c>
      <c r="AL3">
        <f>'Ops_CFADS'!AL10</f>
        <v/>
      </c>
      <c r="AM3">
        <f>'Ops_CFADS'!AM10</f>
        <v/>
      </c>
      <c r="AN3">
        <f>'Ops_CFADS'!AN10</f>
        <v/>
      </c>
      <c r="AO3">
        <f>'Ops_CFADS'!AO10</f>
        <v/>
      </c>
      <c r="AP3">
        <f>'Ops_CFADS'!AP10</f>
        <v/>
      </c>
      <c r="AQ3">
        <f>'Ops_CFADS'!AQ10</f>
        <v/>
      </c>
      <c r="AR3">
        <f>'Ops_CFADS'!AR10</f>
        <v/>
      </c>
      <c r="AS3">
        <f>'Ops_CFADS'!AS10</f>
        <v/>
      </c>
      <c r="AT3">
        <f>'Ops_CFADS'!AT10</f>
        <v/>
      </c>
      <c r="AU3">
        <f>'Ops_CFADS'!AU10</f>
        <v/>
      </c>
      <c r="AV3">
        <f>'Ops_CFADS'!AV10</f>
        <v/>
      </c>
      <c r="AW3">
        <f>'Ops_CFADS'!AW10</f>
        <v/>
      </c>
      <c r="AX3">
        <f>'Ops_CFADS'!AX10</f>
        <v/>
      </c>
      <c r="AY3">
        <f>'Ops_CFADS'!AY10</f>
        <v/>
      </c>
      <c r="AZ3">
        <f>'Ops_CFADS'!AZ10</f>
        <v/>
      </c>
      <c r="BA3">
        <f>'Ops_CFADS'!BA10</f>
        <v/>
      </c>
      <c r="BB3">
        <f>'Ops_CFADS'!BB10</f>
        <v/>
      </c>
      <c r="BC3">
        <f>'Ops_CFADS'!BC10</f>
        <v/>
      </c>
      <c r="BD3">
        <f>'Ops_CFADS'!BD10</f>
        <v/>
      </c>
      <c r="BE3">
        <f>'Ops_CFADS'!BE10</f>
        <v/>
      </c>
      <c r="BF3">
        <f>'Ops_CFADS'!BF10</f>
        <v/>
      </c>
      <c r="BG3">
        <f>'Ops_CFADS'!BG10</f>
        <v/>
      </c>
      <c r="BH3">
        <f>'Ops_CFADS'!BH10</f>
        <v/>
      </c>
      <c r="BI3">
        <f>'Ops_CFADS'!BI10</f>
        <v/>
      </c>
      <c r="BJ3">
        <f>'Ops_CFADS'!BJ10</f>
        <v/>
      </c>
      <c r="BK3">
        <f>'Ops_CFADS'!BK10</f>
        <v/>
      </c>
      <c r="BL3">
        <f>'Ops_CFADS'!BL10</f>
        <v/>
      </c>
      <c r="BM3">
        <f>'Ops_CFADS'!BM10</f>
        <v/>
      </c>
      <c r="BN3">
        <f>'Ops_CFADS'!BN10</f>
        <v/>
      </c>
      <c r="BO3">
        <f>'Ops_CFADS'!BO10</f>
        <v/>
      </c>
      <c r="BP3">
        <f>'Ops_CFADS'!BP10</f>
        <v/>
      </c>
      <c r="BQ3">
        <f>'Ops_CFADS'!BQ10</f>
        <v/>
      </c>
      <c r="BR3">
        <f>'Ops_CFADS'!BR10</f>
        <v/>
      </c>
      <c r="BS3">
        <f>'Ops_CFADS'!BS10</f>
        <v/>
      </c>
      <c r="BT3">
        <f>'Ops_CFADS'!BT10</f>
        <v/>
      </c>
      <c r="BU3">
        <f>'Ops_CFADS'!BU10</f>
        <v/>
      </c>
      <c r="BV3">
        <f>'Ops_CFADS'!BV10</f>
        <v/>
      </c>
      <c r="BW3">
        <f>'Ops_CFADS'!BW10</f>
        <v/>
      </c>
      <c r="BX3">
        <f>'Ops_CFADS'!BX10</f>
        <v/>
      </c>
      <c r="BY3">
        <f>'Ops_CFADS'!BY10</f>
        <v/>
      </c>
      <c r="BZ3">
        <f>'Ops_CFADS'!BZ10</f>
        <v/>
      </c>
      <c r="CA3">
        <f>'Ops_CFADS'!CA10</f>
        <v/>
      </c>
      <c r="CB3">
        <f>'Ops_CFADS'!CB10</f>
        <v/>
      </c>
      <c r="CC3">
        <f>'Ops_CFADS'!CC10</f>
        <v/>
      </c>
      <c r="CD3">
        <f>'Ops_CFADS'!CD10</f>
        <v/>
      </c>
      <c r="CE3">
        <f>'Ops_CFADS'!CE10</f>
        <v/>
      </c>
      <c r="CF3">
        <f>'Ops_CFADS'!CF10</f>
        <v/>
      </c>
      <c r="CG3">
        <f>'Ops_CFADS'!CG10</f>
        <v/>
      </c>
      <c r="CH3">
        <f>'Ops_CFADS'!CH10</f>
        <v/>
      </c>
      <c r="CI3">
        <f>'Ops_CFADS'!CI10</f>
        <v/>
      </c>
      <c r="CJ3">
        <f>'Ops_CFADS'!CJ10</f>
        <v/>
      </c>
      <c r="CK3">
        <f>'Ops_CFADS'!CK10</f>
        <v/>
      </c>
      <c r="CL3">
        <f>'Ops_CFADS'!CL10</f>
        <v/>
      </c>
      <c r="CM3">
        <f>'Ops_CFADS'!CM10</f>
        <v/>
      </c>
    </row>
    <row r="4">
      <c r="A4" s="3" t="inlineStr">
        <is>
          <t>Interest Expense</t>
        </is>
      </c>
      <c r="C4" t="inlineStr">
        <is>
          <t>$</t>
        </is>
      </c>
      <c r="D4">
        <f>'Debt_Sizing_DSCR'!D5</f>
        <v/>
      </c>
      <c r="E4">
        <f>'Debt_Sizing_DSCR'!E5</f>
        <v/>
      </c>
      <c r="F4">
        <f>'Debt_Sizing_DSCR'!F5</f>
        <v/>
      </c>
      <c r="G4">
        <f>'Debt_Sizing_DSCR'!G5</f>
        <v/>
      </c>
      <c r="H4">
        <f>'Debt_Sizing_DSCR'!H5</f>
        <v/>
      </c>
      <c r="I4">
        <f>'Debt_Sizing_DSCR'!I5</f>
        <v/>
      </c>
      <c r="J4">
        <f>'Debt_Sizing_DSCR'!J5</f>
        <v/>
      </c>
      <c r="K4">
        <f>'Debt_Sizing_DSCR'!K5</f>
        <v/>
      </c>
      <c r="L4">
        <f>'Debt_Sizing_DSCR'!L5</f>
        <v/>
      </c>
      <c r="M4">
        <f>'Debt_Sizing_DSCR'!M5</f>
        <v/>
      </c>
      <c r="N4">
        <f>'Debt_Sizing_DSCR'!N5</f>
        <v/>
      </c>
      <c r="O4">
        <f>'Debt_Sizing_DSCR'!O5</f>
        <v/>
      </c>
      <c r="P4">
        <f>'Debt_Sizing_DSCR'!P5</f>
        <v/>
      </c>
      <c r="Q4">
        <f>'Debt_Sizing_DSCR'!Q5</f>
        <v/>
      </c>
      <c r="R4">
        <f>'Debt_Sizing_DSCR'!R5</f>
        <v/>
      </c>
      <c r="S4">
        <f>'Debt_Sizing_DSCR'!S5</f>
        <v/>
      </c>
      <c r="T4">
        <f>'Debt_Sizing_DSCR'!T5</f>
        <v/>
      </c>
      <c r="U4">
        <f>'Debt_Sizing_DSCR'!U5</f>
        <v/>
      </c>
      <c r="V4">
        <f>'Debt_Sizing_DSCR'!V5</f>
        <v/>
      </c>
      <c r="W4">
        <f>'Debt_Sizing_DSCR'!W5</f>
        <v/>
      </c>
      <c r="X4">
        <f>'Debt_Sizing_DSCR'!X5</f>
        <v/>
      </c>
      <c r="Y4">
        <f>'Debt_Sizing_DSCR'!Y5</f>
        <v/>
      </c>
      <c r="Z4">
        <f>'Debt_Sizing_DSCR'!Z5</f>
        <v/>
      </c>
      <c r="AA4">
        <f>'Debt_Sizing_DSCR'!AA5</f>
        <v/>
      </c>
      <c r="AB4">
        <f>'Debt_Sizing_DSCR'!AB5</f>
        <v/>
      </c>
      <c r="AC4">
        <f>'Debt_Sizing_DSCR'!AC5</f>
        <v/>
      </c>
      <c r="AD4">
        <f>'Debt_Sizing_DSCR'!AD5</f>
        <v/>
      </c>
      <c r="AE4">
        <f>'Debt_Sizing_DSCR'!AE5</f>
        <v/>
      </c>
      <c r="AF4">
        <f>'Debt_Sizing_DSCR'!AF5</f>
        <v/>
      </c>
      <c r="AG4">
        <f>'Debt_Sizing_DSCR'!AG5</f>
        <v/>
      </c>
      <c r="AH4">
        <f>'Debt_Sizing_DSCR'!AH5</f>
        <v/>
      </c>
      <c r="AI4">
        <f>'Debt_Sizing_DSCR'!AI5</f>
        <v/>
      </c>
      <c r="AJ4">
        <f>'Debt_Sizing_DSCR'!AJ5</f>
        <v/>
      </c>
      <c r="AK4">
        <f>'Debt_Sizing_DSCR'!AK5</f>
        <v/>
      </c>
      <c r="AL4">
        <f>'Debt_Sizing_DSCR'!AL5</f>
        <v/>
      </c>
      <c r="AM4">
        <f>'Debt_Sizing_DSCR'!AM5</f>
        <v/>
      </c>
      <c r="AN4">
        <f>'Debt_Sizing_DSCR'!AN5</f>
        <v/>
      </c>
      <c r="AO4">
        <f>'Debt_Sizing_DSCR'!AO5</f>
        <v/>
      </c>
      <c r="AP4">
        <f>'Debt_Sizing_DSCR'!AP5</f>
        <v/>
      </c>
      <c r="AQ4">
        <f>'Debt_Sizing_DSCR'!AQ5</f>
        <v/>
      </c>
      <c r="AR4">
        <f>'Debt_Sizing_DSCR'!AR5</f>
        <v/>
      </c>
      <c r="AS4">
        <f>'Debt_Sizing_DSCR'!AS5</f>
        <v/>
      </c>
      <c r="AT4">
        <f>'Debt_Sizing_DSCR'!AT5</f>
        <v/>
      </c>
      <c r="AU4">
        <f>'Debt_Sizing_DSCR'!AU5</f>
        <v/>
      </c>
      <c r="AV4">
        <f>'Debt_Sizing_DSCR'!AV5</f>
        <v/>
      </c>
      <c r="AW4">
        <f>'Debt_Sizing_DSCR'!AW5</f>
        <v/>
      </c>
      <c r="AX4">
        <f>'Debt_Sizing_DSCR'!AX5</f>
        <v/>
      </c>
      <c r="AY4">
        <f>'Debt_Sizing_DSCR'!AY5</f>
        <v/>
      </c>
      <c r="AZ4">
        <f>'Debt_Sizing_DSCR'!AZ5</f>
        <v/>
      </c>
      <c r="BA4">
        <f>'Debt_Sizing_DSCR'!BA5</f>
        <v/>
      </c>
      <c r="BB4">
        <f>'Debt_Sizing_DSCR'!BB5</f>
        <v/>
      </c>
      <c r="BC4">
        <f>'Debt_Sizing_DSCR'!BC5</f>
        <v/>
      </c>
      <c r="BD4">
        <f>'Debt_Sizing_DSCR'!BD5</f>
        <v/>
      </c>
      <c r="BE4">
        <f>'Debt_Sizing_DSCR'!BE5</f>
        <v/>
      </c>
      <c r="BF4">
        <f>'Debt_Sizing_DSCR'!BF5</f>
        <v/>
      </c>
      <c r="BG4">
        <f>'Debt_Sizing_DSCR'!BG5</f>
        <v/>
      </c>
      <c r="BH4">
        <f>'Debt_Sizing_DSCR'!BH5</f>
        <v/>
      </c>
      <c r="BI4">
        <f>'Debt_Sizing_DSCR'!BI5</f>
        <v/>
      </c>
      <c r="BJ4">
        <f>'Debt_Sizing_DSCR'!BJ5</f>
        <v/>
      </c>
      <c r="BK4">
        <f>'Debt_Sizing_DSCR'!BK5</f>
        <v/>
      </c>
      <c r="BL4">
        <f>'Debt_Sizing_DSCR'!BL5</f>
        <v/>
      </c>
      <c r="BM4">
        <f>'Debt_Sizing_DSCR'!BM5</f>
        <v/>
      </c>
      <c r="BN4">
        <f>'Debt_Sizing_DSCR'!BN5</f>
        <v/>
      </c>
      <c r="BO4">
        <f>'Debt_Sizing_DSCR'!BO5</f>
        <v/>
      </c>
      <c r="BP4">
        <f>'Debt_Sizing_DSCR'!BP5</f>
        <v/>
      </c>
      <c r="BQ4">
        <f>'Debt_Sizing_DSCR'!BQ5</f>
        <v/>
      </c>
      <c r="BR4">
        <f>'Debt_Sizing_DSCR'!BR5</f>
        <v/>
      </c>
      <c r="BS4">
        <f>'Debt_Sizing_DSCR'!BS5</f>
        <v/>
      </c>
      <c r="BT4">
        <f>'Debt_Sizing_DSCR'!BT5</f>
        <v/>
      </c>
      <c r="BU4">
        <f>'Debt_Sizing_DSCR'!BU5</f>
        <v/>
      </c>
      <c r="BV4">
        <f>'Debt_Sizing_DSCR'!BV5</f>
        <v/>
      </c>
      <c r="BW4">
        <f>'Debt_Sizing_DSCR'!BW5</f>
        <v/>
      </c>
      <c r="BX4">
        <f>'Debt_Sizing_DSCR'!BX5</f>
        <v/>
      </c>
      <c r="BY4">
        <f>'Debt_Sizing_DSCR'!BY5</f>
        <v/>
      </c>
      <c r="BZ4">
        <f>'Debt_Sizing_DSCR'!BZ5</f>
        <v/>
      </c>
      <c r="CA4">
        <f>'Debt_Sizing_DSCR'!CA5</f>
        <v/>
      </c>
      <c r="CB4">
        <f>'Debt_Sizing_DSCR'!CB5</f>
        <v/>
      </c>
      <c r="CC4">
        <f>'Debt_Sizing_DSCR'!CC5</f>
        <v/>
      </c>
      <c r="CD4">
        <f>'Debt_Sizing_DSCR'!CD5</f>
        <v/>
      </c>
      <c r="CE4">
        <f>'Debt_Sizing_DSCR'!CE5</f>
        <v/>
      </c>
      <c r="CF4">
        <f>'Debt_Sizing_DSCR'!CF5</f>
        <v/>
      </c>
      <c r="CG4">
        <f>'Debt_Sizing_DSCR'!CG5</f>
        <v/>
      </c>
      <c r="CH4">
        <f>'Debt_Sizing_DSCR'!CH5</f>
        <v/>
      </c>
      <c r="CI4">
        <f>'Debt_Sizing_DSCR'!CI5</f>
        <v/>
      </c>
      <c r="CJ4">
        <f>'Debt_Sizing_DSCR'!CJ5</f>
        <v/>
      </c>
      <c r="CK4">
        <f>'Debt_Sizing_DSCR'!CK5</f>
        <v/>
      </c>
      <c r="CL4">
        <f>'Debt_Sizing_DSCR'!CL5</f>
        <v/>
      </c>
      <c r="CM4">
        <f>'Debt_Sizing_DSCR'!CM5</f>
        <v/>
      </c>
    </row>
    <row r="5">
      <c r="A5" s="3" t="inlineStr">
        <is>
          <t>Principal Repayment</t>
        </is>
      </c>
      <c r="C5" t="inlineStr">
        <is>
          <t>$</t>
        </is>
      </c>
      <c r="D5">
        <f>'Debt_Sizing_DSCR'!D7</f>
        <v/>
      </c>
      <c r="E5">
        <f>'Debt_Sizing_DSCR'!E7</f>
        <v/>
      </c>
      <c r="F5">
        <f>'Debt_Sizing_DSCR'!F7</f>
        <v/>
      </c>
      <c r="G5">
        <f>'Debt_Sizing_DSCR'!G7</f>
        <v/>
      </c>
      <c r="H5">
        <f>'Debt_Sizing_DSCR'!H7</f>
        <v/>
      </c>
      <c r="I5">
        <f>'Debt_Sizing_DSCR'!I7</f>
        <v/>
      </c>
      <c r="J5">
        <f>'Debt_Sizing_DSCR'!J7</f>
        <v/>
      </c>
      <c r="K5">
        <f>'Debt_Sizing_DSCR'!K7</f>
        <v/>
      </c>
      <c r="L5">
        <f>'Debt_Sizing_DSCR'!L7</f>
        <v/>
      </c>
      <c r="M5">
        <f>'Debt_Sizing_DSCR'!M7</f>
        <v/>
      </c>
      <c r="N5">
        <f>'Debt_Sizing_DSCR'!N7</f>
        <v/>
      </c>
      <c r="O5">
        <f>'Debt_Sizing_DSCR'!O7</f>
        <v/>
      </c>
      <c r="P5">
        <f>'Debt_Sizing_DSCR'!P7</f>
        <v/>
      </c>
      <c r="Q5">
        <f>'Debt_Sizing_DSCR'!Q7</f>
        <v/>
      </c>
      <c r="R5">
        <f>'Debt_Sizing_DSCR'!R7</f>
        <v/>
      </c>
      <c r="S5">
        <f>'Debt_Sizing_DSCR'!S7</f>
        <v/>
      </c>
      <c r="T5">
        <f>'Debt_Sizing_DSCR'!T7</f>
        <v/>
      </c>
      <c r="U5">
        <f>'Debt_Sizing_DSCR'!U7</f>
        <v/>
      </c>
      <c r="V5">
        <f>'Debt_Sizing_DSCR'!V7</f>
        <v/>
      </c>
      <c r="W5">
        <f>'Debt_Sizing_DSCR'!W7</f>
        <v/>
      </c>
      <c r="X5">
        <f>'Debt_Sizing_DSCR'!X7</f>
        <v/>
      </c>
      <c r="Y5">
        <f>'Debt_Sizing_DSCR'!Y7</f>
        <v/>
      </c>
      <c r="Z5">
        <f>'Debt_Sizing_DSCR'!Z7</f>
        <v/>
      </c>
      <c r="AA5">
        <f>'Debt_Sizing_DSCR'!AA7</f>
        <v/>
      </c>
      <c r="AB5">
        <f>'Debt_Sizing_DSCR'!AB7</f>
        <v/>
      </c>
      <c r="AC5">
        <f>'Debt_Sizing_DSCR'!AC7</f>
        <v/>
      </c>
      <c r="AD5">
        <f>'Debt_Sizing_DSCR'!AD7</f>
        <v/>
      </c>
      <c r="AE5">
        <f>'Debt_Sizing_DSCR'!AE7</f>
        <v/>
      </c>
      <c r="AF5">
        <f>'Debt_Sizing_DSCR'!AF7</f>
        <v/>
      </c>
      <c r="AG5">
        <f>'Debt_Sizing_DSCR'!AG7</f>
        <v/>
      </c>
      <c r="AH5">
        <f>'Debt_Sizing_DSCR'!AH7</f>
        <v/>
      </c>
      <c r="AI5">
        <f>'Debt_Sizing_DSCR'!AI7</f>
        <v/>
      </c>
      <c r="AJ5">
        <f>'Debt_Sizing_DSCR'!AJ7</f>
        <v/>
      </c>
      <c r="AK5">
        <f>'Debt_Sizing_DSCR'!AK7</f>
        <v/>
      </c>
      <c r="AL5">
        <f>'Debt_Sizing_DSCR'!AL7</f>
        <v/>
      </c>
      <c r="AM5">
        <f>'Debt_Sizing_DSCR'!AM7</f>
        <v/>
      </c>
      <c r="AN5">
        <f>'Debt_Sizing_DSCR'!AN7</f>
        <v/>
      </c>
      <c r="AO5">
        <f>'Debt_Sizing_DSCR'!AO7</f>
        <v/>
      </c>
      <c r="AP5">
        <f>'Debt_Sizing_DSCR'!AP7</f>
        <v/>
      </c>
      <c r="AQ5">
        <f>'Debt_Sizing_DSCR'!AQ7</f>
        <v/>
      </c>
      <c r="AR5">
        <f>'Debt_Sizing_DSCR'!AR7</f>
        <v/>
      </c>
      <c r="AS5">
        <f>'Debt_Sizing_DSCR'!AS7</f>
        <v/>
      </c>
      <c r="AT5">
        <f>'Debt_Sizing_DSCR'!AT7</f>
        <v/>
      </c>
      <c r="AU5">
        <f>'Debt_Sizing_DSCR'!AU7</f>
        <v/>
      </c>
      <c r="AV5">
        <f>'Debt_Sizing_DSCR'!AV7</f>
        <v/>
      </c>
      <c r="AW5">
        <f>'Debt_Sizing_DSCR'!AW7</f>
        <v/>
      </c>
      <c r="AX5">
        <f>'Debt_Sizing_DSCR'!AX7</f>
        <v/>
      </c>
      <c r="AY5">
        <f>'Debt_Sizing_DSCR'!AY7</f>
        <v/>
      </c>
      <c r="AZ5">
        <f>'Debt_Sizing_DSCR'!AZ7</f>
        <v/>
      </c>
      <c r="BA5">
        <f>'Debt_Sizing_DSCR'!BA7</f>
        <v/>
      </c>
      <c r="BB5">
        <f>'Debt_Sizing_DSCR'!BB7</f>
        <v/>
      </c>
      <c r="BC5">
        <f>'Debt_Sizing_DSCR'!BC7</f>
        <v/>
      </c>
      <c r="BD5">
        <f>'Debt_Sizing_DSCR'!BD7</f>
        <v/>
      </c>
      <c r="BE5">
        <f>'Debt_Sizing_DSCR'!BE7</f>
        <v/>
      </c>
      <c r="BF5">
        <f>'Debt_Sizing_DSCR'!BF7</f>
        <v/>
      </c>
      <c r="BG5">
        <f>'Debt_Sizing_DSCR'!BG7</f>
        <v/>
      </c>
      <c r="BH5">
        <f>'Debt_Sizing_DSCR'!BH7</f>
        <v/>
      </c>
      <c r="BI5">
        <f>'Debt_Sizing_DSCR'!BI7</f>
        <v/>
      </c>
      <c r="BJ5">
        <f>'Debt_Sizing_DSCR'!BJ7</f>
        <v/>
      </c>
      <c r="BK5">
        <f>'Debt_Sizing_DSCR'!BK7</f>
        <v/>
      </c>
      <c r="BL5">
        <f>'Debt_Sizing_DSCR'!BL7</f>
        <v/>
      </c>
      <c r="BM5">
        <f>'Debt_Sizing_DSCR'!BM7</f>
        <v/>
      </c>
      <c r="BN5">
        <f>'Debt_Sizing_DSCR'!BN7</f>
        <v/>
      </c>
      <c r="BO5">
        <f>'Debt_Sizing_DSCR'!BO7</f>
        <v/>
      </c>
      <c r="BP5">
        <f>'Debt_Sizing_DSCR'!BP7</f>
        <v/>
      </c>
      <c r="BQ5">
        <f>'Debt_Sizing_DSCR'!BQ7</f>
        <v/>
      </c>
      <c r="BR5">
        <f>'Debt_Sizing_DSCR'!BR7</f>
        <v/>
      </c>
      <c r="BS5">
        <f>'Debt_Sizing_DSCR'!BS7</f>
        <v/>
      </c>
      <c r="BT5">
        <f>'Debt_Sizing_DSCR'!BT7</f>
        <v/>
      </c>
      <c r="BU5">
        <f>'Debt_Sizing_DSCR'!BU7</f>
        <v/>
      </c>
      <c r="BV5">
        <f>'Debt_Sizing_DSCR'!BV7</f>
        <v/>
      </c>
      <c r="BW5">
        <f>'Debt_Sizing_DSCR'!BW7</f>
        <v/>
      </c>
      <c r="BX5">
        <f>'Debt_Sizing_DSCR'!BX7</f>
        <v/>
      </c>
      <c r="BY5">
        <f>'Debt_Sizing_DSCR'!BY7</f>
        <v/>
      </c>
      <c r="BZ5">
        <f>'Debt_Sizing_DSCR'!BZ7</f>
        <v/>
      </c>
      <c r="CA5">
        <f>'Debt_Sizing_DSCR'!CA7</f>
        <v/>
      </c>
      <c r="CB5">
        <f>'Debt_Sizing_DSCR'!CB7</f>
        <v/>
      </c>
      <c r="CC5">
        <f>'Debt_Sizing_DSCR'!CC7</f>
        <v/>
      </c>
      <c r="CD5">
        <f>'Debt_Sizing_DSCR'!CD7</f>
        <v/>
      </c>
      <c r="CE5">
        <f>'Debt_Sizing_DSCR'!CE7</f>
        <v/>
      </c>
      <c r="CF5">
        <f>'Debt_Sizing_DSCR'!CF7</f>
        <v/>
      </c>
      <c r="CG5">
        <f>'Debt_Sizing_DSCR'!CG7</f>
        <v/>
      </c>
      <c r="CH5">
        <f>'Debt_Sizing_DSCR'!CH7</f>
        <v/>
      </c>
      <c r="CI5">
        <f>'Debt_Sizing_DSCR'!CI7</f>
        <v/>
      </c>
      <c r="CJ5">
        <f>'Debt_Sizing_DSCR'!CJ7</f>
        <v/>
      </c>
      <c r="CK5">
        <f>'Debt_Sizing_DSCR'!CK7</f>
        <v/>
      </c>
      <c r="CL5">
        <f>'Debt_Sizing_DSCR'!CL7</f>
        <v/>
      </c>
      <c r="CM5">
        <f>'Debt_Sizing_DSCR'!CM7</f>
        <v/>
      </c>
    </row>
    <row r="6">
      <c r="A6" s="3" t="inlineStr">
        <is>
          <t>Net Cash Flow to Equity (post-debt)</t>
        </is>
      </c>
      <c r="C6" t="inlineStr">
        <is>
          <t>$</t>
        </is>
      </c>
      <c r="D6">
        <f>D3-D4-D5</f>
        <v/>
      </c>
      <c r="E6">
        <f>E3-E4-E5</f>
        <v/>
      </c>
      <c r="F6">
        <f>F3-F4-F5</f>
        <v/>
      </c>
      <c r="G6">
        <f>G3-G4-G5</f>
        <v/>
      </c>
      <c r="H6">
        <f>H3-H4-H5</f>
        <v/>
      </c>
      <c r="I6">
        <f>I3-I4-I5</f>
        <v/>
      </c>
      <c r="J6">
        <f>J3-J4-J5</f>
        <v/>
      </c>
      <c r="K6">
        <f>K3-K4-K5</f>
        <v/>
      </c>
      <c r="L6">
        <f>L3-L4-L5</f>
        <v/>
      </c>
      <c r="M6">
        <f>M3-M4-M5</f>
        <v/>
      </c>
      <c r="N6">
        <f>N3-N4-N5</f>
        <v/>
      </c>
      <c r="O6">
        <f>O3-O4-O5</f>
        <v/>
      </c>
      <c r="P6">
        <f>P3-P4-P5</f>
        <v/>
      </c>
      <c r="Q6">
        <f>Q3-Q4-Q5</f>
        <v/>
      </c>
      <c r="R6">
        <f>R3-R4-R5</f>
        <v/>
      </c>
      <c r="S6">
        <f>S3-S4-S5</f>
        <v/>
      </c>
      <c r="T6">
        <f>T3-T4-T5</f>
        <v/>
      </c>
      <c r="U6">
        <f>U3-U4-U5</f>
        <v/>
      </c>
      <c r="V6">
        <f>V3-V4-V5</f>
        <v/>
      </c>
      <c r="W6">
        <f>W3-W4-W5</f>
        <v/>
      </c>
      <c r="X6">
        <f>X3-X4-X5</f>
        <v/>
      </c>
      <c r="Y6">
        <f>Y3-Y4-Y5</f>
        <v/>
      </c>
      <c r="Z6">
        <f>Z3-Z4-Z5</f>
        <v/>
      </c>
      <c r="AA6">
        <f>AA3-AA4-AA5</f>
        <v/>
      </c>
      <c r="AB6">
        <f>AB3-AB4-AB5</f>
        <v/>
      </c>
      <c r="AC6">
        <f>AC3-AC4-AC5</f>
        <v/>
      </c>
      <c r="AD6">
        <f>AD3-AD4-AD5</f>
        <v/>
      </c>
      <c r="AE6">
        <f>AE3-AE4-AE5</f>
        <v/>
      </c>
      <c r="AF6">
        <f>AF3-AF4-AF5</f>
        <v/>
      </c>
      <c r="AG6">
        <f>AG3-AG4-AG5</f>
        <v/>
      </c>
      <c r="AH6">
        <f>AH3-AH4-AH5</f>
        <v/>
      </c>
      <c r="AI6">
        <f>AI3-AI4-AI5</f>
        <v/>
      </c>
      <c r="AJ6">
        <f>AJ3-AJ4-AJ5</f>
        <v/>
      </c>
      <c r="AK6">
        <f>AK3-AK4-AK5</f>
        <v/>
      </c>
      <c r="AL6">
        <f>AL3-AL4-AL5</f>
        <v/>
      </c>
      <c r="AM6">
        <f>AM3-AM4-AM5</f>
        <v/>
      </c>
      <c r="AN6">
        <f>AN3-AN4-AN5</f>
        <v/>
      </c>
      <c r="AO6">
        <f>AO3-AO4-AO5</f>
        <v/>
      </c>
      <c r="AP6">
        <f>AP3-AP4-AP5</f>
        <v/>
      </c>
      <c r="AQ6">
        <f>AQ3-AQ4-AQ5</f>
        <v/>
      </c>
      <c r="AR6">
        <f>AR3-AR4-AR5</f>
        <v/>
      </c>
      <c r="AS6">
        <f>AS3-AS4-AS5</f>
        <v/>
      </c>
      <c r="AT6">
        <f>AT3-AT4-AT5</f>
        <v/>
      </c>
      <c r="AU6">
        <f>AU3-AU4-AU5</f>
        <v/>
      </c>
      <c r="AV6">
        <f>AV3-AV4-AV5</f>
        <v/>
      </c>
      <c r="AW6">
        <f>AW3-AW4-AW5</f>
        <v/>
      </c>
      <c r="AX6">
        <f>AX3-AX4-AX5</f>
        <v/>
      </c>
      <c r="AY6">
        <f>AY3-AY4-AY5</f>
        <v/>
      </c>
      <c r="AZ6">
        <f>AZ3-AZ4-AZ5</f>
        <v/>
      </c>
      <c r="BA6">
        <f>BA3-BA4-BA5</f>
        <v/>
      </c>
      <c r="BB6">
        <f>BB3-BB4-BB5</f>
        <v/>
      </c>
      <c r="BC6">
        <f>BC3-BC4-BC5</f>
        <v/>
      </c>
      <c r="BD6">
        <f>BD3-BD4-BD5</f>
        <v/>
      </c>
      <c r="BE6">
        <f>BE3-BE4-BE5</f>
        <v/>
      </c>
      <c r="BF6">
        <f>BF3-BF4-BF5</f>
        <v/>
      </c>
      <c r="BG6">
        <f>BG3-BG4-BG5</f>
        <v/>
      </c>
      <c r="BH6">
        <f>BH3-BH4-BH5</f>
        <v/>
      </c>
      <c r="BI6">
        <f>BI3-BI4-BI5</f>
        <v/>
      </c>
      <c r="BJ6">
        <f>BJ3-BJ4-BJ5</f>
        <v/>
      </c>
      <c r="BK6">
        <f>BK3-BK4-BK5</f>
        <v/>
      </c>
      <c r="BL6">
        <f>BL3-BL4-BL5</f>
        <v/>
      </c>
      <c r="BM6">
        <f>BM3-BM4-BM5</f>
        <v/>
      </c>
      <c r="BN6">
        <f>BN3-BN4-BN5</f>
        <v/>
      </c>
      <c r="BO6">
        <f>BO3-BO4-BO5</f>
        <v/>
      </c>
      <c r="BP6">
        <f>BP3-BP4-BP5</f>
        <v/>
      </c>
      <c r="BQ6">
        <f>BQ3-BQ4-BQ5</f>
        <v/>
      </c>
      <c r="BR6">
        <f>BR3-BR4-BR5</f>
        <v/>
      </c>
      <c r="BS6">
        <f>BS3-BS4-BS5</f>
        <v/>
      </c>
      <c r="BT6">
        <f>BT3-BT4-BT5</f>
        <v/>
      </c>
      <c r="BU6">
        <f>BU3-BU4-BU5</f>
        <v/>
      </c>
      <c r="BV6">
        <f>BV3-BV4-BV5</f>
        <v/>
      </c>
      <c r="BW6">
        <f>BW3-BW4-BW5</f>
        <v/>
      </c>
      <c r="BX6">
        <f>BX3-BX4-BX5</f>
        <v/>
      </c>
      <c r="BY6">
        <f>BY3-BY4-BY5</f>
        <v/>
      </c>
      <c r="BZ6">
        <f>BZ3-BZ4-BZ5</f>
        <v/>
      </c>
      <c r="CA6">
        <f>CA3-CA4-CA5</f>
        <v/>
      </c>
      <c r="CB6">
        <f>CB3-CB4-CB5</f>
        <v/>
      </c>
      <c r="CC6">
        <f>CC3-CC4-CC5</f>
        <v/>
      </c>
      <c r="CD6">
        <f>CD3-CD4-CD5</f>
        <v/>
      </c>
      <c r="CE6">
        <f>CE3-CE4-CE5</f>
        <v/>
      </c>
      <c r="CF6">
        <f>CF3-CF4-CF5</f>
        <v/>
      </c>
      <c r="CG6">
        <f>CG3-CG4-CG5</f>
        <v/>
      </c>
      <c r="CH6">
        <f>CH3-CH4-CH5</f>
        <v/>
      </c>
      <c r="CI6">
        <f>CI3-CI4-CI5</f>
        <v/>
      </c>
      <c r="CJ6">
        <f>CJ3-CJ4-CJ5</f>
        <v/>
      </c>
      <c r="CK6">
        <f>CK3-CK4-CK5</f>
        <v/>
      </c>
      <c r="CL6">
        <f>CL3-CL4-CL5</f>
        <v/>
      </c>
      <c r="CM6">
        <f>CM3-CM4-CM5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M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LCOH (UNLEVERED)</t>
        </is>
      </c>
    </row>
    <row r="3">
      <c r="A3" s="3" t="inlineStr">
        <is>
          <t>Capex_t</t>
        </is>
      </c>
      <c r="C3" t="inlineStr">
        <is>
          <t>$</t>
        </is>
      </c>
      <c r="D3">
        <f>'Capex_Construction'!D3</f>
        <v/>
      </c>
      <c r="E3">
        <f>'Capex_Construction'!E3</f>
        <v/>
      </c>
      <c r="F3">
        <f>'Capex_Construction'!F3</f>
        <v/>
      </c>
      <c r="G3">
        <f>'Capex_Construction'!G3</f>
        <v/>
      </c>
      <c r="H3">
        <f>'Capex_Construction'!H3</f>
        <v/>
      </c>
      <c r="I3">
        <f>'Capex_Construction'!I3</f>
        <v/>
      </c>
      <c r="J3">
        <f>'Capex_Construction'!J3</f>
        <v/>
      </c>
      <c r="K3">
        <f>'Capex_Construction'!K3</f>
        <v/>
      </c>
      <c r="L3">
        <f>'Capex_Construction'!L3</f>
        <v/>
      </c>
      <c r="M3">
        <f>'Capex_Construction'!M3</f>
        <v/>
      </c>
      <c r="N3">
        <f>'Capex_Construction'!N3</f>
        <v/>
      </c>
      <c r="O3">
        <f>'Capex_Construction'!O3</f>
        <v/>
      </c>
      <c r="P3">
        <f>'Capex_Construction'!P3</f>
        <v/>
      </c>
      <c r="Q3">
        <f>'Capex_Construction'!Q3</f>
        <v/>
      </c>
      <c r="R3">
        <f>'Capex_Construction'!R3</f>
        <v/>
      </c>
      <c r="S3">
        <f>'Capex_Construction'!S3</f>
        <v/>
      </c>
      <c r="T3">
        <f>'Capex_Construction'!T3</f>
        <v/>
      </c>
      <c r="U3">
        <f>'Capex_Construction'!U3</f>
        <v/>
      </c>
      <c r="V3">
        <f>'Capex_Construction'!V3</f>
        <v/>
      </c>
      <c r="W3">
        <f>'Capex_Construction'!W3</f>
        <v/>
      </c>
      <c r="X3">
        <f>'Capex_Construction'!X3</f>
        <v/>
      </c>
      <c r="Y3">
        <f>'Capex_Construction'!Y3</f>
        <v/>
      </c>
      <c r="Z3">
        <f>'Capex_Construction'!Z3</f>
        <v/>
      </c>
      <c r="AA3">
        <f>'Capex_Construction'!AA3</f>
        <v/>
      </c>
      <c r="AB3">
        <f>'Capex_Construction'!AB3</f>
        <v/>
      </c>
      <c r="AC3">
        <f>'Capex_Construction'!AC3</f>
        <v/>
      </c>
      <c r="AD3">
        <f>'Capex_Construction'!AD3</f>
        <v/>
      </c>
      <c r="AE3">
        <f>'Capex_Construction'!AE3</f>
        <v/>
      </c>
      <c r="AF3">
        <f>'Capex_Construction'!AF3</f>
        <v/>
      </c>
      <c r="AG3">
        <f>'Capex_Construction'!AG3</f>
        <v/>
      </c>
      <c r="AH3">
        <f>'Capex_Construction'!AH3</f>
        <v/>
      </c>
      <c r="AI3">
        <f>'Capex_Construction'!AI3</f>
        <v/>
      </c>
      <c r="AJ3">
        <f>'Capex_Construction'!AJ3</f>
        <v/>
      </c>
      <c r="AK3">
        <f>'Capex_Construction'!AK3</f>
        <v/>
      </c>
      <c r="AL3">
        <f>'Capex_Construction'!AL3</f>
        <v/>
      </c>
      <c r="AM3">
        <f>'Capex_Construction'!AM3</f>
        <v/>
      </c>
      <c r="AN3">
        <f>'Capex_Construction'!AN3</f>
        <v/>
      </c>
      <c r="AO3">
        <f>'Capex_Construction'!AO3</f>
        <v/>
      </c>
      <c r="AP3">
        <f>'Capex_Construction'!AP3</f>
        <v/>
      </c>
      <c r="AQ3">
        <f>'Capex_Construction'!AQ3</f>
        <v/>
      </c>
      <c r="AR3">
        <f>'Capex_Construction'!AR3</f>
        <v/>
      </c>
      <c r="AS3">
        <f>'Capex_Construction'!AS3</f>
        <v/>
      </c>
      <c r="AT3">
        <f>'Capex_Construction'!AT3</f>
        <v/>
      </c>
      <c r="AU3">
        <f>'Capex_Construction'!AU3</f>
        <v/>
      </c>
      <c r="AV3">
        <f>'Capex_Construction'!AV3</f>
        <v/>
      </c>
      <c r="AW3">
        <f>'Capex_Construction'!AW3</f>
        <v/>
      </c>
      <c r="AX3">
        <f>'Capex_Construction'!AX3</f>
        <v/>
      </c>
      <c r="AY3">
        <f>'Capex_Construction'!AY3</f>
        <v/>
      </c>
      <c r="AZ3">
        <f>'Capex_Construction'!AZ3</f>
        <v/>
      </c>
      <c r="BA3">
        <f>'Capex_Construction'!BA3</f>
        <v/>
      </c>
      <c r="BB3">
        <f>'Capex_Construction'!BB3</f>
        <v/>
      </c>
      <c r="BC3">
        <f>'Capex_Construction'!BC3</f>
        <v/>
      </c>
      <c r="BD3">
        <f>'Capex_Construction'!BD3</f>
        <v/>
      </c>
      <c r="BE3">
        <f>'Capex_Construction'!BE3</f>
        <v/>
      </c>
      <c r="BF3">
        <f>'Capex_Construction'!BF3</f>
        <v/>
      </c>
      <c r="BG3">
        <f>'Capex_Construction'!BG3</f>
        <v/>
      </c>
      <c r="BH3">
        <f>'Capex_Construction'!BH3</f>
        <v/>
      </c>
      <c r="BI3">
        <f>'Capex_Construction'!BI3</f>
        <v/>
      </c>
      <c r="BJ3">
        <f>'Capex_Construction'!BJ3</f>
        <v/>
      </c>
      <c r="BK3">
        <f>'Capex_Construction'!BK3</f>
        <v/>
      </c>
      <c r="BL3">
        <f>'Capex_Construction'!BL3</f>
        <v/>
      </c>
      <c r="BM3">
        <f>'Capex_Construction'!BM3</f>
        <v/>
      </c>
      <c r="BN3">
        <f>'Capex_Construction'!BN3</f>
        <v/>
      </c>
      <c r="BO3">
        <f>'Capex_Construction'!BO3</f>
        <v/>
      </c>
      <c r="BP3">
        <f>'Capex_Construction'!BP3</f>
        <v/>
      </c>
      <c r="BQ3">
        <f>'Capex_Construction'!BQ3</f>
        <v/>
      </c>
      <c r="BR3">
        <f>'Capex_Construction'!BR3</f>
        <v/>
      </c>
      <c r="BS3">
        <f>'Capex_Construction'!BS3</f>
        <v/>
      </c>
      <c r="BT3">
        <f>'Capex_Construction'!BT3</f>
        <v/>
      </c>
      <c r="BU3">
        <f>'Capex_Construction'!BU3</f>
        <v/>
      </c>
      <c r="BV3">
        <f>'Capex_Construction'!BV3</f>
        <v/>
      </c>
      <c r="BW3">
        <f>'Capex_Construction'!BW3</f>
        <v/>
      </c>
      <c r="BX3">
        <f>'Capex_Construction'!BX3</f>
        <v/>
      </c>
      <c r="BY3">
        <f>'Capex_Construction'!BY3</f>
        <v/>
      </c>
      <c r="BZ3">
        <f>'Capex_Construction'!BZ3</f>
        <v/>
      </c>
      <c r="CA3">
        <f>'Capex_Construction'!CA3</f>
        <v/>
      </c>
      <c r="CB3">
        <f>'Capex_Construction'!CB3</f>
        <v/>
      </c>
      <c r="CC3">
        <f>'Capex_Construction'!CC3</f>
        <v/>
      </c>
      <c r="CD3">
        <f>'Capex_Construction'!CD3</f>
        <v/>
      </c>
      <c r="CE3">
        <f>'Capex_Construction'!CE3</f>
        <v/>
      </c>
      <c r="CF3">
        <f>'Capex_Construction'!CF3</f>
        <v/>
      </c>
      <c r="CG3">
        <f>'Capex_Construction'!CG3</f>
        <v/>
      </c>
      <c r="CH3">
        <f>'Capex_Construction'!CH3</f>
        <v/>
      </c>
      <c r="CI3">
        <f>'Capex_Construction'!CI3</f>
        <v/>
      </c>
      <c r="CJ3">
        <f>'Capex_Construction'!CJ3</f>
        <v/>
      </c>
      <c r="CK3">
        <f>'Capex_Construction'!CK3</f>
        <v/>
      </c>
      <c r="CL3">
        <f>'Capex_Construction'!CL3</f>
        <v/>
      </c>
      <c r="CM3">
        <f>'Capex_Construction'!CM3</f>
        <v/>
      </c>
    </row>
    <row r="4">
      <c r="A4" s="3" t="inlineStr">
        <is>
          <t>Opex_t (fixed+var+power+water+stack)</t>
        </is>
      </c>
      <c r="C4" t="inlineStr">
        <is>
          <t>$</t>
        </is>
      </c>
      <c r="D4">
        <f>'Ops_CFADS'!D5+'Ops_CFADS'!D6+'Ops_CFADS'!D7+'Ops_CFADS'!D8+'Ops_CFADS'!D9</f>
        <v/>
      </c>
      <c r="E4">
        <f>'Ops_CFADS'!E5+'Ops_CFADS'!E6+'Ops_CFADS'!E7+'Ops_CFADS'!E8+'Ops_CFADS'!E9</f>
        <v/>
      </c>
      <c r="F4">
        <f>'Ops_CFADS'!F5+'Ops_CFADS'!F6+'Ops_CFADS'!F7+'Ops_CFADS'!F8+'Ops_CFADS'!F9</f>
        <v/>
      </c>
      <c r="G4">
        <f>'Ops_CFADS'!G5+'Ops_CFADS'!G6+'Ops_CFADS'!G7+'Ops_CFADS'!G8+'Ops_CFADS'!G9</f>
        <v/>
      </c>
      <c r="H4">
        <f>'Ops_CFADS'!H5+'Ops_CFADS'!H6+'Ops_CFADS'!H7+'Ops_CFADS'!H8+'Ops_CFADS'!H9</f>
        <v/>
      </c>
      <c r="I4">
        <f>'Ops_CFADS'!I5+'Ops_CFADS'!I6+'Ops_CFADS'!I7+'Ops_CFADS'!I8+'Ops_CFADS'!I9</f>
        <v/>
      </c>
      <c r="J4">
        <f>'Ops_CFADS'!J5+'Ops_CFADS'!J6+'Ops_CFADS'!J7+'Ops_CFADS'!J8+'Ops_CFADS'!J9</f>
        <v/>
      </c>
      <c r="K4">
        <f>'Ops_CFADS'!K5+'Ops_CFADS'!K6+'Ops_CFADS'!K7+'Ops_CFADS'!K8+'Ops_CFADS'!K9</f>
        <v/>
      </c>
      <c r="L4">
        <f>'Ops_CFADS'!L5+'Ops_CFADS'!L6+'Ops_CFADS'!L7+'Ops_CFADS'!L8+'Ops_CFADS'!L9</f>
        <v/>
      </c>
      <c r="M4">
        <f>'Ops_CFADS'!M5+'Ops_CFADS'!M6+'Ops_CFADS'!M7+'Ops_CFADS'!M8+'Ops_CFADS'!M9</f>
        <v/>
      </c>
      <c r="N4">
        <f>'Ops_CFADS'!N5+'Ops_CFADS'!N6+'Ops_CFADS'!N7+'Ops_CFADS'!N8+'Ops_CFADS'!N9</f>
        <v/>
      </c>
      <c r="O4">
        <f>'Ops_CFADS'!O5+'Ops_CFADS'!O6+'Ops_CFADS'!O7+'Ops_CFADS'!O8+'Ops_CFADS'!O9</f>
        <v/>
      </c>
      <c r="P4">
        <f>'Ops_CFADS'!P5+'Ops_CFADS'!P6+'Ops_CFADS'!P7+'Ops_CFADS'!P8+'Ops_CFADS'!P9</f>
        <v/>
      </c>
      <c r="Q4">
        <f>'Ops_CFADS'!Q5+'Ops_CFADS'!Q6+'Ops_CFADS'!Q7+'Ops_CFADS'!Q8+'Ops_CFADS'!Q9</f>
        <v/>
      </c>
      <c r="R4">
        <f>'Ops_CFADS'!R5+'Ops_CFADS'!R6+'Ops_CFADS'!R7+'Ops_CFADS'!R8+'Ops_CFADS'!R9</f>
        <v/>
      </c>
      <c r="S4">
        <f>'Ops_CFADS'!S5+'Ops_CFADS'!S6+'Ops_CFADS'!S7+'Ops_CFADS'!S8+'Ops_CFADS'!S9</f>
        <v/>
      </c>
      <c r="T4">
        <f>'Ops_CFADS'!T5+'Ops_CFADS'!T6+'Ops_CFADS'!T7+'Ops_CFADS'!T8+'Ops_CFADS'!T9</f>
        <v/>
      </c>
      <c r="U4">
        <f>'Ops_CFADS'!U5+'Ops_CFADS'!U6+'Ops_CFADS'!U7+'Ops_CFADS'!U8+'Ops_CFADS'!U9</f>
        <v/>
      </c>
      <c r="V4">
        <f>'Ops_CFADS'!V5+'Ops_CFADS'!V6+'Ops_CFADS'!V7+'Ops_CFADS'!V8+'Ops_CFADS'!V9</f>
        <v/>
      </c>
      <c r="W4">
        <f>'Ops_CFADS'!W5+'Ops_CFADS'!W6+'Ops_CFADS'!W7+'Ops_CFADS'!W8+'Ops_CFADS'!W9</f>
        <v/>
      </c>
      <c r="X4">
        <f>'Ops_CFADS'!X5+'Ops_CFADS'!X6+'Ops_CFADS'!X7+'Ops_CFADS'!X8+'Ops_CFADS'!X9</f>
        <v/>
      </c>
      <c r="Y4">
        <f>'Ops_CFADS'!Y5+'Ops_CFADS'!Y6+'Ops_CFADS'!Y7+'Ops_CFADS'!Y8+'Ops_CFADS'!Y9</f>
        <v/>
      </c>
      <c r="Z4">
        <f>'Ops_CFADS'!Z5+'Ops_CFADS'!Z6+'Ops_CFADS'!Z7+'Ops_CFADS'!Z8+'Ops_CFADS'!Z9</f>
        <v/>
      </c>
      <c r="AA4">
        <f>'Ops_CFADS'!AA5+'Ops_CFADS'!AA6+'Ops_CFADS'!AA7+'Ops_CFADS'!AA8+'Ops_CFADS'!AA9</f>
        <v/>
      </c>
      <c r="AB4">
        <f>'Ops_CFADS'!AB5+'Ops_CFADS'!AB6+'Ops_CFADS'!AB7+'Ops_CFADS'!AB8+'Ops_CFADS'!AB9</f>
        <v/>
      </c>
      <c r="AC4">
        <f>'Ops_CFADS'!AC5+'Ops_CFADS'!AC6+'Ops_CFADS'!AC7+'Ops_CFADS'!AC8+'Ops_CFADS'!AC9</f>
        <v/>
      </c>
      <c r="AD4">
        <f>'Ops_CFADS'!AD5+'Ops_CFADS'!AD6+'Ops_CFADS'!AD7+'Ops_CFADS'!AD8+'Ops_CFADS'!AD9</f>
        <v/>
      </c>
      <c r="AE4">
        <f>'Ops_CFADS'!AE5+'Ops_CFADS'!AE6+'Ops_CFADS'!AE7+'Ops_CFADS'!AE8+'Ops_CFADS'!AE9</f>
        <v/>
      </c>
      <c r="AF4">
        <f>'Ops_CFADS'!AF5+'Ops_CFADS'!AF6+'Ops_CFADS'!AF7+'Ops_CFADS'!AF8+'Ops_CFADS'!AF9</f>
        <v/>
      </c>
      <c r="AG4">
        <f>'Ops_CFADS'!AG5+'Ops_CFADS'!AG6+'Ops_CFADS'!AG7+'Ops_CFADS'!AG8+'Ops_CFADS'!AG9</f>
        <v/>
      </c>
      <c r="AH4">
        <f>'Ops_CFADS'!AH5+'Ops_CFADS'!AH6+'Ops_CFADS'!AH7+'Ops_CFADS'!AH8+'Ops_CFADS'!AH9</f>
        <v/>
      </c>
      <c r="AI4">
        <f>'Ops_CFADS'!AI5+'Ops_CFADS'!AI6+'Ops_CFADS'!AI7+'Ops_CFADS'!AI8+'Ops_CFADS'!AI9</f>
        <v/>
      </c>
      <c r="AJ4">
        <f>'Ops_CFADS'!AJ5+'Ops_CFADS'!AJ6+'Ops_CFADS'!AJ7+'Ops_CFADS'!AJ8+'Ops_CFADS'!AJ9</f>
        <v/>
      </c>
      <c r="AK4">
        <f>'Ops_CFADS'!AK5+'Ops_CFADS'!AK6+'Ops_CFADS'!AK7+'Ops_CFADS'!AK8+'Ops_CFADS'!AK9</f>
        <v/>
      </c>
      <c r="AL4">
        <f>'Ops_CFADS'!AL5+'Ops_CFADS'!AL6+'Ops_CFADS'!AL7+'Ops_CFADS'!AL8+'Ops_CFADS'!AL9</f>
        <v/>
      </c>
      <c r="AM4">
        <f>'Ops_CFADS'!AM5+'Ops_CFADS'!AM6+'Ops_CFADS'!AM7+'Ops_CFADS'!AM8+'Ops_CFADS'!AM9</f>
        <v/>
      </c>
      <c r="AN4">
        <f>'Ops_CFADS'!AN5+'Ops_CFADS'!AN6+'Ops_CFADS'!AN7+'Ops_CFADS'!AN8+'Ops_CFADS'!AN9</f>
        <v/>
      </c>
      <c r="AO4">
        <f>'Ops_CFADS'!AO5+'Ops_CFADS'!AO6+'Ops_CFADS'!AO7+'Ops_CFADS'!AO8+'Ops_CFADS'!AO9</f>
        <v/>
      </c>
      <c r="AP4">
        <f>'Ops_CFADS'!AP5+'Ops_CFADS'!AP6+'Ops_CFADS'!AP7+'Ops_CFADS'!AP8+'Ops_CFADS'!AP9</f>
        <v/>
      </c>
      <c r="AQ4">
        <f>'Ops_CFADS'!AQ5+'Ops_CFADS'!AQ6+'Ops_CFADS'!AQ7+'Ops_CFADS'!AQ8+'Ops_CFADS'!AQ9</f>
        <v/>
      </c>
      <c r="AR4">
        <f>'Ops_CFADS'!AR5+'Ops_CFADS'!AR6+'Ops_CFADS'!AR7+'Ops_CFADS'!AR8+'Ops_CFADS'!AR9</f>
        <v/>
      </c>
      <c r="AS4">
        <f>'Ops_CFADS'!AS5+'Ops_CFADS'!AS6+'Ops_CFADS'!AS7+'Ops_CFADS'!AS8+'Ops_CFADS'!AS9</f>
        <v/>
      </c>
      <c r="AT4">
        <f>'Ops_CFADS'!AT5+'Ops_CFADS'!AT6+'Ops_CFADS'!AT7+'Ops_CFADS'!AT8+'Ops_CFADS'!AT9</f>
        <v/>
      </c>
      <c r="AU4">
        <f>'Ops_CFADS'!AU5+'Ops_CFADS'!AU6+'Ops_CFADS'!AU7+'Ops_CFADS'!AU8+'Ops_CFADS'!AU9</f>
        <v/>
      </c>
      <c r="AV4">
        <f>'Ops_CFADS'!AV5+'Ops_CFADS'!AV6+'Ops_CFADS'!AV7+'Ops_CFADS'!AV8+'Ops_CFADS'!AV9</f>
        <v/>
      </c>
      <c r="AW4">
        <f>'Ops_CFADS'!AW5+'Ops_CFADS'!AW6+'Ops_CFADS'!AW7+'Ops_CFADS'!AW8+'Ops_CFADS'!AW9</f>
        <v/>
      </c>
      <c r="AX4">
        <f>'Ops_CFADS'!AX5+'Ops_CFADS'!AX6+'Ops_CFADS'!AX7+'Ops_CFADS'!AX8+'Ops_CFADS'!AX9</f>
        <v/>
      </c>
      <c r="AY4">
        <f>'Ops_CFADS'!AY5+'Ops_CFADS'!AY6+'Ops_CFADS'!AY7+'Ops_CFADS'!AY8+'Ops_CFADS'!AY9</f>
        <v/>
      </c>
      <c r="AZ4">
        <f>'Ops_CFADS'!AZ5+'Ops_CFADS'!AZ6+'Ops_CFADS'!AZ7+'Ops_CFADS'!AZ8+'Ops_CFADS'!AZ9</f>
        <v/>
      </c>
      <c r="BA4">
        <f>'Ops_CFADS'!BA5+'Ops_CFADS'!BA6+'Ops_CFADS'!BA7+'Ops_CFADS'!BA8+'Ops_CFADS'!BA9</f>
        <v/>
      </c>
      <c r="BB4">
        <f>'Ops_CFADS'!BB5+'Ops_CFADS'!BB6+'Ops_CFADS'!BB7+'Ops_CFADS'!BB8+'Ops_CFADS'!BB9</f>
        <v/>
      </c>
      <c r="BC4">
        <f>'Ops_CFADS'!BC5+'Ops_CFADS'!BC6+'Ops_CFADS'!BC7+'Ops_CFADS'!BC8+'Ops_CFADS'!BC9</f>
        <v/>
      </c>
      <c r="BD4">
        <f>'Ops_CFADS'!BD5+'Ops_CFADS'!BD6+'Ops_CFADS'!BD7+'Ops_CFADS'!BD8+'Ops_CFADS'!BD9</f>
        <v/>
      </c>
      <c r="BE4">
        <f>'Ops_CFADS'!BE5+'Ops_CFADS'!BE6+'Ops_CFADS'!BE7+'Ops_CFADS'!BE8+'Ops_CFADS'!BE9</f>
        <v/>
      </c>
      <c r="BF4">
        <f>'Ops_CFADS'!BF5+'Ops_CFADS'!BF6+'Ops_CFADS'!BF7+'Ops_CFADS'!BF8+'Ops_CFADS'!BF9</f>
        <v/>
      </c>
      <c r="BG4">
        <f>'Ops_CFADS'!BG5+'Ops_CFADS'!BG6+'Ops_CFADS'!BG7+'Ops_CFADS'!BG8+'Ops_CFADS'!BG9</f>
        <v/>
      </c>
      <c r="BH4">
        <f>'Ops_CFADS'!BH5+'Ops_CFADS'!BH6+'Ops_CFADS'!BH7+'Ops_CFADS'!BH8+'Ops_CFADS'!BH9</f>
        <v/>
      </c>
      <c r="BI4">
        <f>'Ops_CFADS'!BI5+'Ops_CFADS'!BI6+'Ops_CFADS'!BI7+'Ops_CFADS'!BI8+'Ops_CFADS'!BI9</f>
        <v/>
      </c>
      <c r="BJ4">
        <f>'Ops_CFADS'!BJ5+'Ops_CFADS'!BJ6+'Ops_CFADS'!BJ7+'Ops_CFADS'!BJ8+'Ops_CFADS'!BJ9</f>
        <v/>
      </c>
      <c r="BK4">
        <f>'Ops_CFADS'!BK5+'Ops_CFADS'!BK6+'Ops_CFADS'!BK7+'Ops_CFADS'!BK8+'Ops_CFADS'!BK9</f>
        <v/>
      </c>
      <c r="BL4">
        <f>'Ops_CFADS'!BL5+'Ops_CFADS'!BL6+'Ops_CFADS'!BL7+'Ops_CFADS'!BL8+'Ops_CFADS'!BL9</f>
        <v/>
      </c>
      <c r="BM4">
        <f>'Ops_CFADS'!BM5+'Ops_CFADS'!BM6+'Ops_CFADS'!BM7+'Ops_CFADS'!BM8+'Ops_CFADS'!BM9</f>
        <v/>
      </c>
      <c r="BN4">
        <f>'Ops_CFADS'!BN5+'Ops_CFADS'!BN6+'Ops_CFADS'!BN7+'Ops_CFADS'!BN8+'Ops_CFADS'!BN9</f>
        <v/>
      </c>
      <c r="BO4">
        <f>'Ops_CFADS'!BO5+'Ops_CFADS'!BO6+'Ops_CFADS'!BO7+'Ops_CFADS'!BO8+'Ops_CFADS'!BO9</f>
        <v/>
      </c>
      <c r="BP4">
        <f>'Ops_CFADS'!BP5+'Ops_CFADS'!BP6+'Ops_CFADS'!BP7+'Ops_CFADS'!BP8+'Ops_CFADS'!BP9</f>
        <v/>
      </c>
      <c r="BQ4">
        <f>'Ops_CFADS'!BQ5+'Ops_CFADS'!BQ6+'Ops_CFADS'!BQ7+'Ops_CFADS'!BQ8+'Ops_CFADS'!BQ9</f>
        <v/>
      </c>
      <c r="BR4">
        <f>'Ops_CFADS'!BR5+'Ops_CFADS'!BR6+'Ops_CFADS'!BR7+'Ops_CFADS'!BR8+'Ops_CFADS'!BR9</f>
        <v/>
      </c>
      <c r="BS4">
        <f>'Ops_CFADS'!BS5+'Ops_CFADS'!BS6+'Ops_CFADS'!BS7+'Ops_CFADS'!BS8+'Ops_CFADS'!BS9</f>
        <v/>
      </c>
      <c r="BT4">
        <f>'Ops_CFADS'!BT5+'Ops_CFADS'!BT6+'Ops_CFADS'!BT7+'Ops_CFADS'!BT8+'Ops_CFADS'!BT9</f>
        <v/>
      </c>
      <c r="BU4">
        <f>'Ops_CFADS'!BU5+'Ops_CFADS'!BU6+'Ops_CFADS'!BU7+'Ops_CFADS'!BU8+'Ops_CFADS'!BU9</f>
        <v/>
      </c>
      <c r="BV4">
        <f>'Ops_CFADS'!BV5+'Ops_CFADS'!BV6+'Ops_CFADS'!BV7+'Ops_CFADS'!BV8+'Ops_CFADS'!BV9</f>
        <v/>
      </c>
      <c r="BW4">
        <f>'Ops_CFADS'!BW5+'Ops_CFADS'!BW6+'Ops_CFADS'!BW7+'Ops_CFADS'!BW8+'Ops_CFADS'!BW9</f>
        <v/>
      </c>
      <c r="BX4">
        <f>'Ops_CFADS'!BX5+'Ops_CFADS'!BX6+'Ops_CFADS'!BX7+'Ops_CFADS'!BX8+'Ops_CFADS'!BX9</f>
        <v/>
      </c>
      <c r="BY4">
        <f>'Ops_CFADS'!BY5+'Ops_CFADS'!BY6+'Ops_CFADS'!BY7+'Ops_CFADS'!BY8+'Ops_CFADS'!BY9</f>
        <v/>
      </c>
      <c r="BZ4">
        <f>'Ops_CFADS'!BZ5+'Ops_CFADS'!BZ6+'Ops_CFADS'!BZ7+'Ops_CFADS'!BZ8+'Ops_CFADS'!BZ9</f>
        <v/>
      </c>
      <c r="CA4">
        <f>'Ops_CFADS'!CA5+'Ops_CFADS'!CA6+'Ops_CFADS'!CA7+'Ops_CFADS'!CA8+'Ops_CFADS'!CA9</f>
        <v/>
      </c>
      <c r="CB4">
        <f>'Ops_CFADS'!CB5+'Ops_CFADS'!CB6+'Ops_CFADS'!CB7+'Ops_CFADS'!CB8+'Ops_CFADS'!CB9</f>
        <v/>
      </c>
      <c r="CC4">
        <f>'Ops_CFADS'!CC5+'Ops_CFADS'!CC6+'Ops_CFADS'!CC7+'Ops_CFADS'!CC8+'Ops_CFADS'!CC9</f>
        <v/>
      </c>
      <c r="CD4">
        <f>'Ops_CFADS'!CD5+'Ops_CFADS'!CD6+'Ops_CFADS'!CD7+'Ops_CFADS'!CD8+'Ops_CFADS'!CD9</f>
        <v/>
      </c>
      <c r="CE4">
        <f>'Ops_CFADS'!CE5+'Ops_CFADS'!CE6+'Ops_CFADS'!CE7+'Ops_CFADS'!CE8+'Ops_CFADS'!CE9</f>
        <v/>
      </c>
      <c r="CF4">
        <f>'Ops_CFADS'!CF5+'Ops_CFADS'!CF6+'Ops_CFADS'!CF7+'Ops_CFADS'!CF8+'Ops_CFADS'!CF9</f>
        <v/>
      </c>
      <c r="CG4">
        <f>'Ops_CFADS'!CG5+'Ops_CFADS'!CG6+'Ops_CFADS'!CG7+'Ops_CFADS'!CG8+'Ops_CFADS'!CG9</f>
        <v/>
      </c>
      <c r="CH4">
        <f>'Ops_CFADS'!CH5+'Ops_CFADS'!CH6+'Ops_CFADS'!CH7+'Ops_CFADS'!CH8+'Ops_CFADS'!CH9</f>
        <v/>
      </c>
      <c r="CI4">
        <f>'Ops_CFADS'!CI5+'Ops_CFADS'!CI6+'Ops_CFADS'!CI7+'Ops_CFADS'!CI8+'Ops_CFADS'!CI9</f>
        <v/>
      </c>
      <c r="CJ4">
        <f>'Ops_CFADS'!CJ5+'Ops_CFADS'!CJ6+'Ops_CFADS'!CJ7+'Ops_CFADS'!CJ8+'Ops_CFADS'!CJ9</f>
        <v/>
      </c>
      <c r="CK4">
        <f>'Ops_CFADS'!CK5+'Ops_CFADS'!CK6+'Ops_CFADS'!CK7+'Ops_CFADS'!CK8+'Ops_CFADS'!CK9</f>
        <v/>
      </c>
      <c r="CL4">
        <f>'Ops_CFADS'!CL5+'Ops_CFADS'!CL6+'Ops_CFADS'!CL7+'Ops_CFADS'!CL8+'Ops_CFADS'!CL9</f>
        <v/>
      </c>
      <c r="CM4">
        <f>'Ops_CFADS'!CM5+'Ops_CFADS'!CM6+'Ops_CFADS'!CM7+'Ops_CFADS'!CM8+'Ops_CFADS'!CM9</f>
        <v/>
      </c>
    </row>
    <row r="5">
      <c r="A5" s="3" t="inlineStr">
        <is>
          <t>Total Cost_t</t>
        </is>
      </c>
      <c r="C5" t="inlineStr">
        <is>
          <t>$</t>
        </is>
      </c>
      <c r="D5">
        <f>D3+D4</f>
        <v/>
      </c>
      <c r="E5">
        <f>E3+E4</f>
        <v/>
      </c>
      <c r="F5">
        <f>F3+F4</f>
        <v/>
      </c>
      <c r="G5">
        <f>G3+G4</f>
        <v/>
      </c>
      <c r="H5">
        <f>H3+H4</f>
        <v/>
      </c>
      <c r="I5">
        <f>I3+I4</f>
        <v/>
      </c>
      <c r="J5">
        <f>J3+J4</f>
        <v/>
      </c>
      <c r="K5">
        <f>K3+K4</f>
        <v/>
      </c>
      <c r="L5">
        <f>L3+L4</f>
        <v/>
      </c>
      <c r="M5">
        <f>M3+M4</f>
        <v/>
      </c>
      <c r="N5">
        <f>N3+N4</f>
        <v/>
      </c>
      <c r="O5">
        <f>O3+O4</f>
        <v/>
      </c>
      <c r="P5">
        <f>P3+P4</f>
        <v/>
      </c>
      <c r="Q5">
        <f>Q3+Q4</f>
        <v/>
      </c>
      <c r="R5">
        <f>R3+R4</f>
        <v/>
      </c>
      <c r="S5">
        <f>S3+S4</f>
        <v/>
      </c>
      <c r="T5">
        <f>T3+T4</f>
        <v/>
      </c>
      <c r="U5">
        <f>U3+U4</f>
        <v/>
      </c>
      <c r="V5">
        <f>V3+V4</f>
        <v/>
      </c>
      <c r="W5">
        <f>W3+W4</f>
        <v/>
      </c>
      <c r="X5">
        <f>X3+X4</f>
        <v/>
      </c>
      <c r="Y5">
        <f>Y3+Y4</f>
        <v/>
      </c>
      <c r="Z5">
        <f>Z3+Z4</f>
        <v/>
      </c>
      <c r="AA5">
        <f>AA3+AA4</f>
        <v/>
      </c>
      <c r="AB5">
        <f>AB3+AB4</f>
        <v/>
      </c>
      <c r="AC5">
        <f>AC3+AC4</f>
        <v/>
      </c>
      <c r="AD5">
        <f>AD3+AD4</f>
        <v/>
      </c>
      <c r="AE5">
        <f>AE3+AE4</f>
        <v/>
      </c>
      <c r="AF5">
        <f>AF3+AF4</f>
        <v/>
      </c>
      <c r="AG5">
        <f>AG3+AG4</f>
        <v/>
      </c>
      <c r="AH5">
        <f>AH3+AH4</f>
        <v/>
      </c>
      <c r="AI5">
        <f>AI3+AI4</f>
        <v/>
      </c>
      <c r="AJ5">
        <f>AJ3+AJ4</f>
        <v/>
      </c>
      <c r="AK5">
        <f>AK3+AK4</f>
        <v/>
      </c>
      <c r="AL5">
        <f>AL3+AL4</f>
        <v/>
      </c>
      <c r="AM5">
        <f>AM3+AM4</f>
        <v/>
      </c>
      <c r="AN5">
        <f>AN3+AN4</f>
        <v/>
      </c>
      <c r="AO5">
        <f>AO3+AO4</f>
        <v/>
      </c>
      <c r="AP5">
        <f>AP3+AP4</f>
        <v/>
      </c>
      <c r="AQ5">
        <f>AQ3+AQ4</f>
        <v/>
      </c>
      <c r="AR5">
        <f>AR3+AR4</f>
        <v/>
      </c>
      <c r="AS5">
        <f>AS3+AS4</f>
        <v/>
      </c>
      <c r="AT5">
        <f>AT3+AT4</f>
        <v/>
      </c>
      <c r="AU5">
        <f>AU3+AU4</f>
        <v/>
      </c>
      <c r="AV5">
        <f>AV3+AV4</f>
        <v/>
      </c>
      <c r="AW5">
        <f>AW3+AW4</f>
        <v/>
      </c>
      <c r="AX5">
        <f>AX3+AX4</f>
        <v/>
      </c>
      <c r="AY5">
        <f>AY3+AY4</f>
        <v/>
      </c>
      <c r="AZ5">
        <f>AZ3+AZ4</f>
        <v/>
      </c>
      <c r="BA5">
        <f>BA3+BA4</f>
        <v/>
      </c>
      <c r="BB5">
        <f>BB3+BB4</f>
        <v/>
      </c>
      <c r="BC5">
        <f>BC3+BC4</f>
        <v/>
      </c>
      <c r="BD5">
        <f>BD3+BD4</f>
        <v/>
      </c>
      <c r="BE5">
        <f>BE3+BE4</f>
        <v/>
      </c>
      <c r="BF5">
        <f>BF3+BF4</f>
        <v/>
      </c>
      <c r="BG5">
        <f>BG3+BG4</f>
        <v/>
      </c>
      <c r="BH5">
        <f>BH3+BH4</f>
        <v/>
      </c>
      <c r="BI5">
        <f>BI3+BI4</f>
        <v/>
      </c>
      <c r="BJ5">
        <f>BJ3+BJ4</f>
        <v/>
      </c>
      <c r="BK5">
        <f>BK3+BK4</f>
        <v/>
      </c>
      <c r="BL5">
        <f>BL3+BL4</f>
        <v/>
      </c>
      <c r="BM5">
        <f>BM3+BM4</f>
        <v/>
      </c>
      <c r="BN5">
        <f>BN3+BN4</f>
        <v/>
      </c>
      <c r="BO5">
        <f>BO3+BO4</f>
        <v/>
      </c>
      <c r="BP5">
        <f>BP3+BP4</f>
        <v/>
      </c>
      <c r="BQ5">
        <f>BQ3+BQ4</f>
        <v/>
      </c>
      <c r="BR5">
        <f>BR3+BR4</f>
        <v/>
      </c>
      <c r="BS5">
        <f>BS3+BS4</f>
        <v/>
      </c>
      <c r="BT5">
        <f>BT3+BT4</f>
        <v/>
      </c>
      <c r="BU5">
        <f>BU3+BU4</f>
        <v/>
      </c>
      <c r="BV5">
        <f>BV3+BV4</f>
        <v/>
      </c>
      <c r="BW5">
        <f>BW3+BW4</f>
        <v/>
      </c>
      <c r="BX5">
        <f>BX3+BX4</f>
        <v/>
      </c>
      <c r="BY5">
        <f>BY3+BY4</f>
        <v/>
      </c>
      <c r="BZ5">
        <f>BZ3+BZ4</f>
        <v/>
      </c>
      <c r="CA5">
        <f>CA3+CA4</f>
        <v/>
      </c>
      <c r="CB5">
        <f>CB3+CB4</f>
        <v/>
      </c>
      <c r="CC5">
        <f>CC3+CC4</f>
        <v/>
      </c>
      <c r="CD5">
        <f>CD3+CD4</f>
        <v/>
      </c>
      <c r="CE5">
        <f>CE3+CE4</f>
        <v/>
      </c>
      <c r="CF5">
        <f>CF3+CF4</f>
        <v/>
      </c>
      <c r="CG5">
        <f>CG3+CG4</f>
        <v/>
      </c>
      <c r="CH5">
        <f>CH3+CH4</f>
        <v/>
      </c>
      <c r="CI5">
        <f>CI3+CI4</f>
        <v/>
      </c>
      <c r="CJ5">
        <f>CJ3+CJ4</f>
        <v/>
      </c>
      <c r="CK5">
        <f>CK3+CK4</f>
        <v/>
      </c>
      <c r="CL5">
        <f>CL3+CL4</f>
        <v/>
      </c>
      <c r="CM5">
        <f>CM3+CM4</f>
        <v/>
      </c>
    </row>
    <row r="6">
      <c r="A6" s="3" t="inlineStr">
        <is>
          <t>Discount Factor (WACC)</t>
        </is>
      </c>
      <c r="D6">
        <f>'Control'!D12</f>
        <v/>
      </c>
      <c r="E6">
        <f>'Control'!E12</f>
        <v/>
      </c>
      <c r="F6">
        <f>'Control'!F12</f>
        <v/>
      </c>
      <c r="G6">
        <f>'Control'!G12</f>
        <v/>
      </c>
      <c r="H6">
        <f>'Control'!H12</f>
        <v/>
      </c>
      <c r="I6">
        <f>'Control'!I12</f>
        <v/>
      </c>
      <c r="J6">
        <f>'Control'!J12</f>
        <v/>
      </c>
      <c r="K6">
        <f>'Control'!K12</f>
        <v/>
      </c>
      <c r="L6">
        <f>'Control'!L12</f>
        <v/>
      </c>
      <c r="M6">
        <f>'Control'!M12</f>
        <v/>
      </c>
      <c r="N6">
        <f>'Control'!N12</f>
        <v/>
      </c>
      <c r="O6">
        <f>'Control'!O12</f>
        <v/>
      </c>
      <c r="P6">
        <f>'Control'!P12</f>
        <v/>
      </c>
      <c r="Q6">
        <f>'Control'!Q12</f>
        <v/>
      </c>
      <c r="R6">
        <f>'Control'!R12</f>
        <v/>
      </c>
      <c r="S6">
        <f>'Control'!S12</f>
        <v/>
      </c>
      <c r="T6">
        <f>'Control'!T12</f>
        <v/>
      </c>
      <c r="U6">
        <f>'Control'!U12</f>
        <v/>
      </c>
      <c r="V6">
        <f>'Control'!V12</f>
        <v/>
      </c>
      <c r="W6">
        <f>'Control'!W12</f>
        <v/>
      </c>
      <c r="X6">
        <f>'Control'!X12</f>
        <v/>
      </c>
      <c r="Y6">
        <f>'Control'!Y12</f>
        <v/>
      </c>
      <c r="Z6">
        <f>'Control'!Z12</f>
        <v/>
      </c>
      <c r="AA6">
        <f>'Control'!AA12</f>
        <v/>
      </c>
      <c r="AB6">
        <f>'Control'!AB12</f>
        <v/>
      </c>
      <c r="AC6">
        <f>'Control'!AC12</f>
        <v/>
      </c>
      <c r="AD6">
        <f>'Control'!AD12</f>
        <v/>
      </c>
      <c r="AE6">
        <f>'Control'!AE12</f>
        <v/>
      </c>
      <c r="AF6">
        <f>'Control'!AF12</f>
        <v/>
      </c>
      <c r="AG6">
        <f>'Control'!AG12</f>
        <v/>
      </c>
      <c r="AH6">
        <f>'Control'!AH12</f>
        <v/>
      </c>
      <c r="AI6">
        <f>'Control'!AI12</f>
        <v/>
      </c>
      <c r="AJ6">
        <f>'Control'!AJ12</f>
        <v/>
      </c>
      <c r="AK6">
        <f>'Control'!AK12</f>
        <v/>
      </c>
      <c r="AL6">
        <f>'Control'!AL12</f>
        <v/>
      </c>
      <c r="AM6">
        <f>'Control'!AM12</f>
        <v/>
      </c>
      <c r="AN6">
        <f>'Control'!AN12</f>
        <v/>
      </c>
      <c r="AO6">
        <f>'Control'!AO12</f>
        <v/>
      </c>
      <c r="AP6">
        <f>'Control'!AP12</f>
        <v/>
      </c>
      <c r="AQ6">
        <f>'Control'!AQ12</f>
        <v/>
      </c>
      <c r="AR6">
        <f>'Control'!AR12</f>
        <v/>
      </c>
      <c r="AS6">
        <f>'Control'!AS12</f>
        <v/>
      </c>
      <c r="AT6">
        <f>'Control'!AT12</f>
        <v/>
      </c>
      <c r="AU6">
        <f>'Control'!AU12</f>
        <v/>
      </c>
      <c r="AV6">
        <f>'Control'!AV12</f>
        <v/>
      </c>
      <c r="AW6">
        <f>'Control'!AW12</f>
        <v/>
      </c>
      <c r="AX6">
        <f>'Control'!AX12</f>
        <v/>
      </c>
      <c r="AY6">
        <f>'Control'!AY12</f>
        <v/>
      </c>
      <c r="AZ6">
        <f>'Control'!AZ12</f>
        <v/>
      </c>
      <c r="BA6">
        <f>'Control'!BA12</f>
        <v/>
      </c>
      <c r="BB6">
        <f>'Control'!BB12</f>
        <v/>
      </c>
      <c r="BC6">
        <f>'Control'!BC12</f>
        <v/>
      </c>
      <c r="BD6">
        <f>'Control'!BD12</f>
        <v/>
      </c>
      <c r="BE6">
        <f>'Control'!BE12</f>
        <v/>
      </c>
      <c r="BF6">
        <f>'Control'!BF12</f>
        <v/>
      </c>
      <c r="BG6">
        <f>'Control'!BG12</f>
        <v/>
      </c>
      <c r="BH6">
        <f>'Control'!BH12</f>
        <v/>
      </c>
      <c r="BI6">
        <f>'Control'!BI12</f>
        <v/>
      </c>
      <c r="BJ6">
        <f>'Control'!BJ12</f>
        <v/>
      </c>
      <c r="BK6">
        <f>'Control'!BK12</f>
        <v/>
      </c>
      <c r="BL6">
        <f>'Control'!BL12</f>
        <v/>
      </c>
      <c r="BM6">
        <f>'Control'!BM12</f>
        <v/>
      </c>
      <c r="BN6">
        <f>'Control'!BN12</f>
        <v/>
      </c>
      <c r="BO6">
        <f>'Control'!BO12</f>
        <v/>
      </c>
      <c r="BP6">
        <f>'Control'!BP12</f>
        <v/>
      </c>
      <c r="BQ6">
        <f>'Control'!BQ12</f>
        <v/>
      </c>
      <c r="BR6">
        <f>'Control'!BR12</f>
        <v/>
      </c>
      <c r="BS6">
        <f>'Control'!BS12</f>
        <v/>
      </c>
      <c r="BT6">
        <f>'Control'!BT12</f>
        <v/>
      </c>
      <c r="BU6">
        <f>'Control'!BU12</f>
        <v/>
      </c>
      <c r="BV6">
        <f>'Control'!BV12</f>
        <v/>
      </c>
      <c r="BW6">
        <f>'Control'!BW12</f>
        <v/>
      </c>
      <c r="BX6">
        <f>'Control'!BX12</f>
        <v/>
      </c>
      <c r="BY6">
        <f>'Control'!BY12</f>
        <v/>
      </c>
      <c r="BZ6">
        <f>'Control'!BZ12</f>
        <v/>
      </c>
      <c r="CA6">
        <f>'Control'!CA12</f>
        <v/>
      </c>
      <c r="CB6">
        <f>'Control'!CB12</f>
        <v/>
      </c>
      <c r="CC6">
        <f>'Control'!CC12</f>
        <v/>
      </c>
      <c r="CD6">
        <f>'Control'!CD12</f>
        <v/>
      </c>
      <c r="CE6">
        <f>'Control'!CE12</f>
        <v/>
      </c>
      <c r="CF6">
        <f>'Control'!CF12</f>
        <v/>
      </c>
      <c r="CG6">
        <f>'Control'!CG12</f>
        <v/>
      </c>
      <c r="CH6">
        <f>'Control'!CH12</f>
        <v/>
      </c>
      <c r="CI6">
        <f>'Control'!CI12</f>
        <v/>
      </c>
      <c r="CJ6">
        <f>'Control'!CJ12</f>
        <v/>
      </c>
      <c r="CK6">
        <f>'Control'!CK12</f>
        <v/>
      </c>
      <c r="CL6">
        <f>'Control'!CL12</f>
        <v/>
      </c>
      <c r="CM6">
        <f>'Control'!CM12</f>
        <v/>
      </c>
    </row>
    <row r="7">
      <c r="A7" s="3" t="inlineStr">
        <is>
          <t>Discounted Cost_t</t>
        </is>
      </c>
      <c r="C7" t="inlineStr">
        <is>
          <t>$</t>
        </is>
      </c>
      <c r="D7">
        <f>D5*D6</f>
        <v/>
      </c>
      <c r="E7">
        <f>E5*E6</f>
        <v/>
      </c>
      <c r="F7">
        <f>F5*F6</f>
        <v/>
      </c>
      <c r="G7">
        <f>G5*G6</f>
        <v/>
      </c>
      <c r="H7">
        <f>H5*H6</f>
        <v/>
      </c>
      <c r="I7">
        <f>I5*I6</f>
        <v/>
      </c>
      <c r="J7">
        <f>J5*J6</f>
        <v/>
      </c>
      <c r="K7">
        <f>K5*K6</f>
        <v/>
      </c>
      <c r="L7">
        <f>L5*L6</f>
        <v/>
      </c>
      <c r="M7">
        <f>M5*M6</f>
        <v/>
      </c>
      <c r="N7">
        <f>N5*N6</f>
        <v/>
      </c>
      <c r="O7">
        <f>O5*O6</f>
        <v/>
      </c>
      <c r="P7">
        <f>P5*P6</f>
        <v/>
      </c>
      <c r="Q7">
        <f>Q5*Q6</f>
        <v/>
      </c>
      <c r="R7">
        <f>R5*R6</f>
        <v/>
      </c>
      <c r="S7">
        <f>S5*S6</f>
        <v/>
      </c>
      <c r="T7">
        <f>T5*T6</f>
        <v/>
      </c>
      <c r="U7">
        <f>U5*U6</f>
        <v/>
      </c>
      <c r="V7">
        <f>V5*V6</f>
        <v/>
      </c>
      <c r="W7">
        <f>W5*W6</f>
        <v/>
      </c>
      <c r="X7">
        <f>X5*X6</f>
        <v/>
      </c>
      <c r="Y7">
        <f>Y5*Y6</f>
        <v/>
      </c>
      <c r="Z7">
        <f>Z5*Z6</f>
        <v/>
      </c>
      <c r="AA7">
        <f>AA5*AA6</f>
        <v/>
      </c>
      <c r="AB7">
        <f>AB5*AB6</f>
        <v/>
      </c>
      <c r="AC7">
        <f>AC5*AC6</f>
        <v/>
      </c>
      <c r="AD7">
        <f>AD5*AD6</f>
        <v/>
      </c>
      <c r="AE7">
        <f>AE5*AE6</f>
        <v/>
      </c>
      <c r="AF7">
        <f>AF5*AF6</f>
        <v/>
      </c>
      <c r="AG7">
        <f>AG5*AG6</f>
        <v/>
      </c>
      <c r="AH7">
        <f>AH5*AH6</f>
        <v/>
      </c>
      <c r="AI7">
        <f>AI5*AI6</f>
        <v/>
      </c>
      <c r="AJ7">
        <f>AJ5*AJ6</f>
        <v/>
      </c>
      <c r="AK7">
        <f>AK5*AK6</f>
        <v/>
      </c>
      <c r="AL7">
        <f>AL5*AL6</f>
        <v/>
      </c>
      <c r="AM7">
        <f>AM5*AM6</f>
        <v/>
      </c>
      <c r="AN7">
        <f>AN5*AN6</f>
        <v/>
      </c>
      <c r="AO7">
        <f>AO5*AO6</f>
        <v/>
      </c>
      <c r="AP7">
        <f>AP5*AP6</f>
        <v/>
      </c>
      <c r="AQ7">
        <f>AQ5*AQ6</f>
        <v/>
      </c>
      <c r="AR7">
        <f>AR5*AR6</f>
        <v/>
      </c>
      <c r="AS7">
        <f>AS5*AS6</f>
        <v/>
      </c>
      <c r="AT7">
        <f>AT5*AT6</f>
        <v/>
      </c>
      <c r="AU7">
        <f>AU5*AU6</f>
        <v/>
      </c>
      <c r="AV7">
        <f>AV5*AV6</f>
        <v/>
      </c>
      <c r="AW7">
        <f>AW5*AW6</f>
        <v/>
      </c>
      <c r="AX7">
        <f>AX5*AX6</f>
        <v/>
      </c>
      <c r="AY7">
        <f>AY5*AY6</f>
        <v/>
      </c>
      <c r="AZ7">
        <f>AZ5*AZ6</f>
        <v/>
      </c>
      <c r="BA7">
        <f>BA5*BA6</f>
        <v/>
      </c>
      <c r="BB7">
        <f>BB5*BB6</f>
        <v/>
      </c>
      <c r="BC7">
        <f>BC5*BC6</f>
        <v/>
      </c>
      <c r="BD7">
        <f>BD5*BD6</f>
        <v/>
      </c>
      <c r="BE7">
        <f>BE5*BE6</f>
        <v/>
      </c>
      <c r="BF7">
        <f>BF5*BF6</f>
        <v/>
      </c>
      <c r="BG7">
        <f>BG5*BG6</f>
        <v/>
      </c>
      <c r="BH7">
        <f>BH5*BH6</f>
        <v/>
      </c>
      <c r="BI7">
        <f>BI5*BI6</f>
        <v/>
      </c>
      <c r="BJ7">
        <f>BJ5*BJ6</f>
        <v/>
      </c>
      <c r="BK7">
        <f>BK5*BK6</f>
        <v/>
      </c>
      <c r="BL7">
        <f>BL5*BL6</f>
        <v/>
      </c>
      <c r="BM7">
        <f>BM5*BM6</f>
        <v/>
      </c>
      <c r="BN7">
        <f>BN5*BN6</f>
        <v/>
      </c>
      <c r="BO7">
        <f>BO5*BO6</f>
        <v/>
      </c>
      <c r="BP7">
        <f>BP5*BP6</f>
        <v/>
      </c>
      <c r="BQ7">
        <f>BQ5*BQ6</f>
        <v/>
      </c>
      <c r="BR7">
        <f>BR5*BR6</f>
        <v/>
      </c>
      <c r="BS7">
        <f>BS5*BS6</f>
        <v/>
      </c>
      <c r="BT7">
        <f>BT5*BT6</f>
        <v/>
      </c>
      <c r="BU7">
        <f>BU5*BU6</f>
        <v/>
      </c>
      <c r="BV7">
        <f>BV5*BV6</f>
        <v/>
      </c>
      <c r="BW7">
        <f>BW5*BW6</f>
        <v/>
      </c>
      <c r="BX7">
        <f>BX5*BX6</f>
        <v/>
      </c>
      <c r="BY7">
        <f>BY5*BY6</f>
        <v/>
      </c>
      <c r="BZ7">
        <f>BZ5*BZ6</f>
        <v/>
      </c>
      <c r="CA7">
        <f>CA5*CA6</f>
        <v/>
      </c>
      <c r="CB7">
        <f>CB5*CB6</f>
        <v/>
      </c>
      <c r="CC7">
        <f>CC5*CC6</f>
        <v/>
      </c>
      <c r="CD7">
        <f>CD5*CD6</f>
        <v/>
      </c>
      <c r="CE7">
        <f>CE5*CE6</f>
        <v/>
      </c>
      <c r="CF7">
        <f>CF5*CF6</f>
        <v/>
      </c>
      <c r="CG7">
        <f>CG5*CG6</f>
        <v/>
      </c>
      <c r="CH7">
        <f>CH5*CH6</f>
        <v/>
      </c>
      <c r="CI7">
        <f>CI5*CI6</f>
        <v/>
      </c>
      <c r="CJ7">
        <f>CJ5*CJ6</f>
        <v/>
      </c>
      <c r="CK7">
        <f>CK5*CK6</f>
        <v/>
      </c>
      <c r="CL7">
        <f>CL5*CL6</f>
        <v/>
      </c>
      <c r="CM7">
        <f>CM5*CM6</f>
        <v/>
      </c>
    </row>
    <row r="8">
      <c r="A8" s="3" t="inlineStr">
        <is>
          <t>H2 Volume_t</t>
        </is>
      </c>
      <c r="C8" t="inlineStr">
        <is>
          <t>kg</t>
        </is>
      </c>
      <c r="D8">
        <f>'Ops_CFADS'!D3</f>
        <v/>
      </c>
      <c r="E8">
        <f>'Ops_CFADS'!E3</f>
        <v/>
      </c>
      <c r="F8">
        <f>'Ops_CFADS'!F3</f>
        <v/>
      </c>
      <c r="G8">
        <f>'Ops_CFADS'!G3</f>
        <v/>
      </c>
      <c r="H8">
        <f>'Ops_CFADS'!H3</f>
        <v/>
      </c>
      <c r="I8">
        <f>'Ops_CFADS'!I3</f>
        <v/>
      </c>
      <c r="J8">
        <f>'Ops_CFADS'!J3</f>
        <v/>
      </c>
      <c r="K8">
        <f>'Ops_CFADS'!K3</f>
        <v/>
      </c>
      <c r="L8">
        <f>'Ops_CFADS'!L3</f>
        <v/>
      </c>
      <c r="M8">
        <f>'Ops_CFADS'!M3</f>
        <v/>
      </c>
      <c r="N8">
        <f>'Ops_CFADS'!N3</f>
        <v/>
      </c>
      <c r="O8">
        <f>'Ops_CFADS'!O3</f>
        <v/>
      </c>
      <c r="P8">
        <f>'Ops_CFADS'!P3</f>
        <v/>
      </c>
      <c r="Q8">
        <f>'Ops_CFADS'!Q3</f>
        <v/>
      </c>
      <c r="R8">
        <f>'Ops_CFADS'!R3</f>
        <v/>
      </c>
      <c r="S8">
        <f>'Ops_CFADS'!S3</f>
        <v/>
      </c>
      <c r="T8">
        <f>'Ops_CFADS'!T3</f>
        <v/>
      </c>
      <c r="U8">
        <f>'Ops_CFADS'!U3</f>
        <v/>
      </c>
      <c r="V8">
        <f>'Ops_CFADS'!V3</f>
        <v/>
      </c>
      <c r="W8">
        <f>'Ops_CFADS'!W3</f>
        <v/>
      </c>
      <c r="X8">
        <f>'Ops_CFADS'!X3</f>
        <v/>
      </c>
      <c r="Y8">
        <f>'Ops_CFADS'!Y3</f>
        <v/>
      </c>
      <c r="Z8">
        <f>'Ops_CFADS'!Z3</f>
        <v/>
      </c>
      <c r="AA8">
        <f>'Ops_CFADS'!AA3</f>
        <v/>
      </c>
      <c r="AB8">
        <f>'Ops_CFADS'!AB3</f>
        <v/>
      </c>
      <c r="AC8">
        <f>'Ops_CFADS'!AC3</f>
        <v/>
      </c>
      <c r="AD8">
        <f>'Ops_CFADS'!AD3</f>
        <v/>
      </c>
      <c r="AE8">
        <f>'Ops_CFADS'!AE3</f>
        <v/>
      </c>
      <c r="AF8">
        <f>'Ops_CFADS'!AF3</f>
        <v/>
      </c>
      <c r="AG8">
        <f>'Ops_CFADS'!AG3</f>
        <v/>
      </c>
      <c r="AH8">
        <f>'Ops_CFADS'!AH3</f>
        <v/>
      </c>
      <c r="AI8">
        <f>'Ops_CFADS'!AI3</f>
        <v/>
      </c>
      <c r="AJ8">
        <f>'Ops_CFADS'!AJ3</f>
        <v/>
      </c>
      <c r="AK8">
        <f>'Ops_CFADS'!AK3</f>
        <v/>
      </c>
      <c r="AL8">
        <f>'Ops_CFADS'!AL3</f>
        <v/>
      </c>
      <c r="AM8">
        <f>'Ops_CFADS'!AM3</f>
        <v/>
      </c>
      <c r="AN8">
        <f>'Ops_CFADS'!AN3</f>
        <v/>
      </c>
      <c r="AO8">
        <f>'Ops_CFADS'!AO3</f>
        <v/>
      </c>
      <c r="AP8">
        <f>'Ops_CFADS'!AP3</f>
        <v/>
      </c>
      <c r="AQ8">
        <f>'Ops_CFADS'!AQ3</f>
        <v/>
      </c>
      <c r="AR8">
        <f>'Ops_CFADS'!AR3</f>
        <v/>
      </c>
      <c r="AS8">
        <f>'Ops_CFADS'!AS3</f>
        <v/>
      </c>
      <c r="AT8">
        <f>'Ops_CFADS'!AT3</f>
        <v/>
      </c>
      <c r="AU8">
        <f>'Ops_CFADS'!AU3</f>
        <v/>
      </c>
      <c r="AV8">
        <f>'Ops_CFADS'!AV3</f>
        <v/>
      </c>
      <c r="AW8">
        <f>'Ops_CFADS'!AW3</f>
        <v/>
      </c>
      <c r="AX8">
        <f>'Ops_CFADS'!AX3</f>
        <v/>
      </c>
      <c r="AY8">
        <f>'Ops_CFADS'!AY3</f>
        <v/>
      </c>
      <c r="AZ8">
        <f>'Ops_CFADS'!AZ3</f>
        <v/>
      </c>
      <c r="BA8">
        <f>'Ops_CFADS'!BA3</f>
        <v/>
      </c>
      <c r="BB8">
        <f>'Ops_CFADS'!BB3</f>
        <v/>
      </c>
      <c r="BC8">
        <f>'Ops_CFADS'!BC3</f>
        <v/>
      </c>
      <c r="BD8">
        <f>'Ops_CFADS'!BD3</f>
        <v/>
      </c>
      <c r="BE8">
        <f>'Ops_CFADS'!BE3</f>
        <v/>
      </c>
      <c r="BF8">
        <f>'Ops_CFADS'!BF3</f>
        <v/>
      </c>
      <c r="BG8">
        <f>'Ops_CFADS'!BG3</f>
        <v/>
      </c>
      <c r="BH8">
        <f>'Ops_CFADS'!BH3</f>
        <v/>
      </c>
      <c r="BI8">
        <f>'Ops_CFADS'!BI3</f>
        <v/>
      </c>
      <c r="BJ8">
        <f>'Ops_CFADS'!BJ3</f>
        <v/>
      </c>
      <c r="BK8">
        <f>'Ops_CFADS'!BK3</f>
        <v/>
      </c>
      <c r="BL8">
        <f>'Ops_CFADS'!BL3</f>
        <v/>
      </c>
      <c r="BM8">
        <f>'Ops_CFADS'!BM3</f>
        <v/>
      </c>
      <c r="BN8">
        <f>'Ops_CFADS'!BN3</f>
        <v/>
      </c>
      <c r="BO8">
        <f>'Ops_CFADS'!BO3</f>
        <v/>
      </c>
      <c r="BP8">
        <f>'Ops_CFADS'!BP3</f>
        <v/>
      </c>
      <c r="BQ8">
        <f>'Ops_CFADS'!BQ3</f>
        <v/>
      </c>
      <c r="BR8">
        <f>'Ops_CFADS'!BR3</f>
        <v/>
      </c>
      <c r="BS8">
        <f>'Ops_CFADS'!BS3</f>
        <v/>
      </c>
      <c r="BT8">
        <f>'Ops_CFADS'!BT3</f>
        <v/>
      </c>
      <c r="BU8">
        <f>'Ops_CFADS'!BU3</f>
        <v/>
      </c>
      <c r="BV8">
        <f>'Ops_CFADS'!BV3</f>
        <v/>
      </c>
      <c r="BW8">
        <f>'Ops_CFADS'!BW3</f>
        <v/>
      </c>
      <c r="BX8">
        <f>'Ops_CFADS'!BX3</f>
        <v/>
      </c>
      <c r="BY8">
        <f>'Ops_CFADS'!BY3</f>
        <v/>
      </c>
      <c r="BZ8">
        <f>'Ops_CFADS'!BZ3</f>
        <v/>
      </c>
      <c r="CA8">
        <f>'Ops_CFADS'!CA3</f>
        <v/>
      </c>
      <c r="CB8">
        <f>'Ops_CFADS'!CB3</f>
        <v/>
      </c>
      <c r="CC8">
        <f>'Ops_CFADS'!CC3</f>
        <v/>
      </c>
      <c r="CD8">
        <f>'Ops_CFADS'!CD3</f>
        <v/>
      </c>
      <c r="CE8">
        <f>'Ops_CFADS'!CE3</f>
        <v/>
      </c>
      <c r="CF8">
        <f>'Ops_CFADS'!CF3</f>
        <v/>
      </c>
      <c r="CG8">
        <f>'Ops_CFADS'!CG3</f>
        <v/>
      </c>
      <c r="CH8">
        <f>'Ops_CFADS'!CH3</f>
        <v/>
      </c>
      <c r="CI8">
        <f>'Ops_CFADS'!CI3</f>
        <v/>
      </c>
      <c r="CJ8">
        <f>'Ops_CFADS'!CJ3</f>
        <v/>
      </c>
      <c r="CK8">
        <f>'Ops_CFADS'!CK3</f>
        <v/>
      </c>
      <c r="CL8">
        <f>'Ops_CFADS'!CL3</f>
        <v/>
      </c>
      <c r="CM8">
        <f>'Ops_CFADS'!CM3</f>
        <v/>
      </c>
    </row>
    <row r="9">
      <c r="A9" s="3" t="inlineStr">
        <is>
          <t>Discounted Volume_t</t>
        </is>
      </c>
      <c r="C9" t="inlineStr">
        <is>
          <t>kg</t>
        </is>
      </c>
      <c r="D9">
        <f>D8*D6</f>
        <v/>
      </c>
      <c r="E9">
        <f>E8*E6</f>
        <v/>
      </c>
      <c r="F9">
        <f>F8*F6</f>
        <v/>
      </c>
      <c r="G9">
        <f>G8*G6</f>
        <v/>
      </c>
      <c r="H9">
        <f>H8*H6</f>
        <v/>
      </c>
      <c r="I9">
        <f>I8*I6</f>
        <v/>
      </c>
      <c r="J9">
        <f>J8*J6</f>
        <v/>
      </c>
      <c r="K9">
        <f>K8*K6</f>
        <v/>
      </c>
      <c r="L9">
        <f>L8*L6</f>
        <v/>
      </c>
      <c r="M9">
        <f>M8*M6</f>
        <v/>
      </c>
      <c r="N9">
        <f>N8*N6</f>
        <v/>
      </c>
      <c r="O9">
        <f>O8*O6</f>
        <v/>
      </c>
      <c r="P9">
        <f>P8*P6</f>
        <v/>
      </c>
      <c r="Q9">
        <f>Q8*Q6</f>
        <v/>
      </c>
      <c r="R9">
        <f>R8*R6</f>
        <v/>
      </c>
      <c r="S9">
        <f>S8*S6</f>
        <v/>
      </c>
      <c r="T9">
        <f>T8*T6</f>
        <v/>
      </c>
      <c r="U9">
        <f>U8*U6</f>
        <v/>
      </c>
      <c r="V9">
        <f>V8*V6</f>
        <v/>
      </c>
      <c r="W9">
        <f>W8*W6</f>
        <v/>
      </c>
      <c r="X9">
        <f>X8*X6</f>
        <v/>
      </c>
      <c r="Y9">
        <f>Y8*Y6</f>
        <v/>
      </c>
      <c r="Z9">
        <f>Z8*Z6</f>
        <v/>
      </c>
      <c r="AA9">
        <f>AA8*AA6</f>
        <v/>
      </c>
      <c r="AB9">
        <f>AB8*AB6</f>
        <v/>
      </c>
      <c r="AC9">
        <f>AC8*AC6</f>
        <v/>
      </c>
      <c r="AD9">
        <f>AD8*AD6</f>
        <v/>
      </c>
      <c r="AE9">
        <f>AE8*AE6</f>
        <v/>
      </c>
      <c r="AF9">
        <f>AF8*AF6</f>
        <v/>
      </c>
      <c r="AG9">
        <f>AG8*AG6</f>
        <v/>
      </c>
      <c r="AH9">
        <f>AH8*AH6</f>
        <v/>
      </c>
      <c r="AI9">
        <f>AI8*AI6</f>
        <v/>
      </c>
      <c r="AJ9">
        <f>AJ8*AJ6</f>
        <v/>
      </c>
      <c r="AK9">
        <f>AK8*AK6</f>
        <v/>
      </c>
      <c r="AL9">
        <f>AL8*AL6</f>
        <v/>
      </c>
      <c r="AM9">
        <f>AM8*AM6</f>
        <v/>
      </c>
      <c r="AN9">
        <f>AN8*AN6</f>
        <v/>
      </c>
      <c r="AO9">
        <f>AO8*AO6</f>
        <v/>
      </c>
      <c r="AP9">
        <f>AP8*AP6</f>
        <v/>
      </c>
      <c r="AQ9">
        <f>AQ8*AQ6</f>
        <v/>
      </c>
      <c r="AR9">
        <f>AR8*AR6</f>
        <v/>
      </c>
      <c r="AS9">
        <f>AS8*AS6</f>
        <v/>
      </c>
      <c r="AT9">
        <f>AT8*AT6</f>
        <v/>
      </c>
      <c r="AU9">
        <f>AU8*AU6</f>
        <v/>
      </c>
      <c r="AV9">
        <f>AV8*AV6</f>
        <v/>
      </c>
      <c r="AW9">
        <f>AW8*AW6</f>
        <v/>
      </c>
      <c r="AX9">
        <f>AX8*AX6</f>
        <v/>
      </c>
      <c r="AY9">
        <f>AY8*AY6</f>
        <v/>
      </c>
      <c r="AZ9">
        <f>AZ8*AZ6</f>
        <v/>
      </c>
      <c r="BA9">
        <f>BA8*BA6</f>
        <v/>
      </c>
      <c r="BB9">
        <f>BB8*BB6</f>
        <v/>
      </c>
      <c r="BC9">
        <f>BC8*BC6</f>
        <v/>
      </c>
      <c r="BD9">
        <f>BD8*BD6</f>
        <v/>
      </c>
      <c r="BE9">
        <f>BE8*BE6</f>
        <v/>
      </c>
      <c r="BF9">
        <f>BF8*BF6</f>
        <v/>
      </c>
      <c r="BG9">
        <f>BG8*BG6</f>
        <v/>
      </c>
      <c r="BH9">
        <f>BH8*BH6</f>
        <v/>
      </c>
      <c r="BI9">
        <f>BI8*BI6</f>
        <v/>
      </c>
      <c r="BJ9">
        <f>BJ8*BJ6</f>
        <v/>
      </c>
      <c r="BK9">
        <f>BK8*BK6</f>
        <v/>
      </c>
      <c r="BL9">
        <f>BL8*BL6</f>
        <v/>
      </c>
      <c r="BM9">
        <f>BM8*BM6</f>
        <v/>
      </c>
      <c r="BN9">
        <f>BN8*BN6</f>
        <v/>
      </c>
      <c r="BO9">
        <f>BO8*BO6</f>
        <v/>
      </c>
      <c r="BP9">
        <f>BP8*BP6</f>
        <v/>
      </c>
      <c r="BQ9">
        <f>BQ8*BQ6</f>
        <v/>
      </c>
      <c r="BR9">
        <f>BR8*BR6</f>
        <v/>
      </c>
      <c r="BS9">
        <f>BS8*BS6</f>
        <v/>
      </c>
      <c r="BT9">
        <f>BT8*BT6</f>
        <v/>
      </c>
      <c r="BU9">
        <f>BU8*BU6</f>
        <v/>
      </c>
      <c r="BV9">
        <f>BV8*BV6</f>
        <v/>
      </c>
      <c r="BW9">
        <f>BW8*BW6</f>
        <v/>
      </c>
      <c r="BX9">
        <f>BX8*BX6</f>
        <v/>
      </c>
      <c r="BY9">
        <f>BY8*BY6</f>
        <v/>
      </c>
      <c r="BZ9">
        <f>BZ8*BZ6</f>
        <v/>
      </c>
      <c r="CA9">
        <f>CA8*CA6</f>
        <v/>
      </c>
      <c r="CB9">
        <f>CB8*CB6</f>
        <v/>
      </c>
      <c r="CC9">
        <f>CC8*CC6</f>
        <v/>
      </c>
      <c r="CD9">
        <f>CD8*CD6</f>
        <v/>
      </c>
      <c r="CE9">
        <f>CE8*CE6</f>
        <v/>
      </c>
      <c r="CF9">
        <f>CF8*CF6</f>
        <v/>
      </c>
      <c r="CG9">
        <f>CG8*CG6</f>
        <v/>
      </c>
      <c r="CH9">
        <f>CH8*CH6</f>
        <v/>
      </c>
      <c r="CI9">
        <f>CI8*CI6</f>
        <v/>
      </c>
      <c r="CJ9">
        <f>CJ8*CJ6</f>
        <v/>
      </c>
      <c r="CK9">
        <f>CK8*CK6</f>
        <v/>
      </c>
      <c r="CL9">
        <f>CL8*CL6</f>
        <v/>
      </c>
      <c r="CM9">
        <f>CM8*CM6</f>
        <v/>
      </c>
    </row>
    <row r="11">
      <c r="B11" t="inlineStr">
        <is>
          <t>Discounted Cost NPV</t>
        </is>
      </c>
      <c r="C11" t="inlineStr">
        <is>
          <t>Discounted Volume NPV</t>
        </is>
      </c>
    </row>
    <row r="12">
      <c r="A12" s="3" t="inlineStr">
        <is>
          <t>TOTALS</t>
        </is>
      </c>
      <c r="B12">
        <f>SUM(D7:CM7)</f>
        <v/>
      </c>
      <c r="C12">
        <f>SUM(D9:CM9)</f>
        <v/>
      </c>
    </row>
    <row r="14">
      <c r="A14" s="3" t="inlineStr">
        <is>
          <t>LCOH ($/kg)</t>
        </is>
      </c>
      <c r="B14" s="5">
        <f>LCOH_CostNPV/LCOH_VolumeNPV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2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RETURNS &amp; SENSITIVITIES</t>
        </is>
      </c>
    </row>
    <row r="3">
      <c r="A3" s="3" t="inlineStr">
        <is>
          <t>Equity Cash Flow</t>
        </is>
      </c>
      <c r="C3" t="inlineStr">
        <is>
          <t>$</t>
        </is>
      </c>
      <c r="D3">
        <f>-('Capex_Construction'!D5+'Capex_Construction'!D8)</f>
        <v/>
      </c>
      <c r="E3">
        <f>-('Capex_Construction'!E5+'Capex_Construction'!E8)</f>
        <v/>
      </c>
      <c r="F3">
        <f>-('Capex_Construction'!F5+'Capex_Construction'!F8)</f>
        <v/>
      </c>
      <c r="G3">
        <f>-('Capex_Construction'!G5+'Capex_Construction'!G8)</f>
        <v/>
      </c>
      <c r="H3">
        <f>-('Capex_Construction'!H5+'Capex_Construction'!H8)</f>
        <v/>
      </c>
      <c r="I3">
        <f>-('Capex_Construction'!I5+'Capex_Construction'!I8)</f>
        <v/>
      </c>
      <c r="J3">
        <f>-('Capex_Construction'!J5+'Capex_Construction'!J8)</f>
        <v/>
      </c>
      <c r="K3">
        <f>-('Capex_Construction'!K5+'Capex_Construction'!K8)</f>
        <v/>
      </c>
      <c r="L3">
        <f>'Financials_3Statement'!L6</f>
        <v/>
      </c>
      <c r="M3">
        <f>'Financials_3Statement'!M6</f>
        <v/>
      </c>
      <c r="N3">
        <f>'Financials_3Statement'!N6</f>
        <v/>
      </c>
      <c r="O3">
        <f>'Financials_3Statement'!O6</f>
        <v/>
      </c>
      <c r="P3">
        <f>'Financials_3Statement'!P6</f>
        <v/>
      </c>
      <c r="Q3">
        <f>'Financials_3Statement'!Q6</f>
        <v/>
      </c>
      <c r="R3">
        <f>'Financials_3Statement'!R6</f>
        <v/>
      </c>
      <c r="S3">
        <f>'Financials_3Statement'!S6</f>
        <v/>
      </c>
      <c r="T3">
        <f>'Financials_3Statement'!T6</f>
        <v/>
      </c>
      <c r="U3">
        <f>'Financials_3Statement'!U6</f>
        <v/>
      </c>
      <c r="V3">
        <f>'Financials_3Statement'!V6</f>
        <v/>
      </c>
      <c r="W3">
        <f>'Financials_3Statement'!W6</f>
        <v/>
      </c>
      <c r="X3">
        <f>'Financials_3Statement'!X6</f>
        <v/>
      </c>
      <c r="Y3">
        <f>'Financials_3Statement'!Y6</f>
        <v/>
      </c>
      <c r="Z3">
        <f>'Financials_3Statement'!Z6</f>
        <v/>
      </c>
      <c r="AA3">
        <f>'Financials_3Statement'!AA6</f>
        <v/>
      </c>
      <c r="AB3">
        <f>'Financials_3Statement'!AB6</f>
        <v/>
      </c>
      <c r="AC3">
        <f>'Financials_3Statement'!AC6</f>
        <v/>
      </c>
      <c r="AD3">
        <f>'Financials_3Statement'!AD6</f>
        <v/>
      </c>
      <c r="AE3">
        <f>'Financials_3Statement'!AE6</f>
        <v/>
      </c>
      <c r="AF3">
        <f>'Financials_3Statement'!AF6</f>
        <v/>
      </c>
      <c r="AG3">
        <f>'Financials_3Statement'!AG6</f>
        <v/>
      </c>
      <c r="AH3">
        <f>'Financials_3Statement'!AH6</f>
        <v/>
      </c>
      <c r="AI3">
        <f>'Financials_3Statement'!AI6</f>
        <v/>
      </c>
      <c r="AJ3">
        <f>'Financials_3Statement'!AJ6</f>
        <v/>
      </c>
      <c r="AK3">
        <f>'Financials_3Statement'!AK6</f>
        <v/>
      </c>
      <c r="AL3">
        <f>'Financials_3Statement'!AL6</f>
        <v/>
      </c>
      <c r="AM3">
        <f>'Financials_3Statement'!AM6</f>
        <v/>
      </c>
      <c r="AN3">
        <f>'Financials_3Statement'!AN6</f>
        <v/>
      </c>
      <c r="AO3">
        <f>'Financials_3Statement'!AO6</f>
        <v/>
      </c>
      <c r="AP3">
        <f>'Financials_3Statement'!AP6</f>
        <v/>
      </c>
      <c r="AQ3">
        <f>'Financials_3Statement'!AQ6</f>
        <v/>
      </c>
      <c r="AR3">
        <f>'Financials_3Statement'!AR6</f>
        <v/>
      </c>
      <c r="AS3">
        <f>'Financials_3Statement'!AS6</f>
        <v/>
      </c>
      <c r="AT3">
        <f>'Financials_3Statement'!AT6</f>
        <v/>
      </c>
      <c r="AU3">
        <f>'Financials_3Statement'!AU6</f>
        <v/>
      </c>
      <c r="AV3">
        <f>'Financials_3Statement'!AV6</f>
        <v/>
      </c>
      <c r="AW3">
        <f>'Financials_3Statement'!AW6</f>
        <v/>
      </c>
      <c r="AX3">
        <f>'Financials_3Statement'!AX6</f>
        <v/>
      </c>
      <c r="AY3">
        <f>'Financials_3Statement'!AY6</f>
        <v/>
      </c>
      <c r="AZ3">
        <f>'Financials_3Statement'!AZ6</f>
        <v/>
      </c>
      <c r="BA3">
        <f>'Financials_3Statement'!BA6</f>
        <v/>
      </c>
      <c r="BB3">
        <f>'Financials_3Statement'!BB6</f>
        <v/>
      </c>
      <c r="BC3">
        <f>'Financials_3Statement'!BC6</f>
        <v/>
      </c>
      <c r="BD3">
        <f>'Financials_3Statement'!BD6</f>
        <v/>
      </c>
      <c r="BE3">
        <f>'Financials_3Statement'!BE6</f>
        <v/>
      </c>
      <c r="BF3">
        <f>'Financials_3Statement'!BF6</f>
        <v/>
      </c>
      <c r="BG3">
        <f>'Financials_3Statement'!BG6</f>
        <v/>
      </c>
      <c r="BH3">
        <f>'Financials_3Statement'!BH6</f>
        <v/>
      </c>
      <c r="BI3">
        <f>'Financials_3Statement'!BI6</f>
        <v/>
      </c>
      <c r="BJ3">
        <f>'Financials_3Statement'!BJ6</f>
        <v/>
      </c>
      <c r="BK3">
        <f>'Financials_3Statement'!BK6</f>
        <v/>
      </c>
      <c r="BL3">
        <f>'Financials_3Statement'!BL6</f>
        <v/>
      </c>
      <c r="BM3">
        <f>'Financials_3Statement'!BM6</f>
        <v/>
      </c>
      <c r="BN3">
        <f>'Financials_3Statement'!BN6</f>
        <v/>
      </c>
      <c r="BO3">
        <f>'Financials_3Statement'!BO6</f>
        <v/>
      </c>
      <c r="BP3">
        <f>'Financials_3Statement'!BP6</f>
        <v/>
      </c>
      <c r="BQ3">
        <f>'Financials_3Statement'!BQ6</f>
        <v/>
      </c>
      <c r="BR3">
        <f>'Financials_3Statement'!BR6</f>
        <v/>
      </c>
      <c r="BS3">
        <f>'Financials_3Statement'!BS6</f>
        <v/>
      </c>
      <c r="BT3">
        <f>'Financials_3Statement'!BT6</f>
        <v/>
      </c>
      <c r="BU3">
        <f>'Financials_3Statement'!BU6</f>
        <v/>
      </c>
      <c r="BV3">
        <f>'Financials_3Statement'!BV6</f>
        <v/>
      </c>
      <c r="BW3">
        <f>'Financials_3Statement'!BW6</f>
        <v/>
      </c>
      <c r="BX3">
        <f>'Financials_3Statement'!BX6</f>
        <v/>
      </c>
      <c r="BY3">
        <f>'Financials_3Statement'!BY6</f>
        <v/>
      </c>
      <c r="BZ3">
        <f>'Financials_3Statement'!BZ6</f>
        <v/>
      </c>
      <c r="CA3">
        <f>'Financials_3Statement'!CA6</f>
        <v/>
      </c>
      <c r="CB3">
        <f>'Financials_3Statement'!CB6</f>
        <v/>
      </c>
      <c r="CC3">
        <f>'Financials_3Statement'!CC6</f>
        <v/>
      </c>
      <c r="CD3">
        <f>'Financials_3Statement'!CD6</f>
        <v/>
      </c>
      <c r="CE3">
        <f>'Financials_3Statement'!CE6</f>
        <v/>
      </c>
      <c r="CF3">
        <f>'Financials_3Statement'!CF6</f>
        <v/>
      </c>
      <c r="CG3">
        <f>'Financials_3Statement'!CG6</f>
        <v/>
      </c>
      <c r="CH3">
        <f>'Financials_3Statement'!CH6</f>
        <v/>
      </c>
      <c r="CI3">
        <f>'Financials_3Statement'!CI6</f>
        <v/>
      </c>
      <c r="CJ3">
        <f>'Financials_3Statement'!CJ6</f>
        <v/>
      </c>
      <c r="CK3">
        <f>'Financials_3Statement'!CK6</f>
        <v/>
      </c>
      <c r="CL3">
        <f>'Financials_3Statement'!CL6</f>
        <v/>
      </c>
      <c r="CM3">
        <f>'Financials_3Statement'!CM6</f>
        <v/>
      </c>
    </row>
    <row r="6">
      <c r="A6" s="3" t="inlineStr">
        <is>
          <t>Equity IRR (quarterly, annualized)</t>
        </is>
      </c>
      <c r="B6">
        <f>(1+IRR(D3:CM3))^4-1</f>
        <v/>
      </c>
    </row>
    <row r="8">
      <c r="A8" s="3" t="inlineStr">
        <is>
          <t>Min DSCR (operating period)</t>
        </is>
      </c>
      <c r="B8">
        <f>MIN(DSCR_Actual_Row)</f>
        <v/>
      </c>
    </row>
    <row r="9">
      <c r="A9" s="3" t="inlineStr">
        <is>
          <t>Avg DSCR (operating period)</t>
        </is>
      </c>
      <c r="B9">
        <f>AVERAGE(DSCR_Actual_Row)</f>
        <v/>
      </c>
    </row>
    <row r="12">
      <c r="A12" s="3" t="inlineStr">
        <is>
          <t>SENSITIVITY GRID (populated by RunSensitivityGrid macro)</t>
        </is>
      </c>
    </row>
    <row r="13">
      <c r="A13" s="3" t="inlineStr">
        <is>
          <t>Scenario</t>
        </is>
      </c>
      <c r="B13" s="3" t="inlineStr">
        <is>
          <t>Capex %</t>
        </is>
      </c>
      <c r="C13" s="3" t="inlineStr">
        <is>
          <t>Opex %</t>
        </is>
      </c>
      <c r="D13" s="3" t="inlineStr">
        <is>
          <t>WACC bps</t>
        </is>
      </c>
      <c r="E13" s="3" t="inlineStr">
        <is>
          <t>Utilization %</t>
        </is>
      </c>
      <c r="F13" s="3" t="inlineStr">
        <is>
          <t>LCOH</t>
        </is>
      </c>
      <c r="G13" s="3" t="inlineStr">
        <is>
          <t>Equity IRR</t>
        </is>
      </c>
      <c r="H13" s="3" t="inlineStr">
        <is>
          <t>Min DSCR</t>
        </is>
      </c>
    </row>
    <row r="14">
      <c r="A14" t="inlineStr">
        <is>
          <t>Base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Capex +10%</t>
        </is>
      </c>
      <c r="B15" t="n">
        <v>0.1</v>
      </c>
      <c r="C15" t="n">
        <v>0</v>
      </c>
      <c r="D15" t="n">
        <v>0</v>
      </c>
      <c r="E15" t="n">
        <v>0</v>
      </c>
    </row>
    <row r="16">
      <c r="A16" t="inlineStr">
        <is>
          <t>Capex -10%</t>
        </is>
      </c>
      <c r="B16" t="n">
        <v>-0.1</v>
      </c>
      <c r="C16" t="n">
        <v>0</v>
      </c>
      <c r="D16" t="n">
        <v>0</v>
      </c>
      <c r="E16" t="n">
        <v>0</v>
      </c>
    </row>
    <row r="17">
      <c r="A17" t="inlineStr">
        <is>
          <t>Opex +10%</t>
        </is>
      </c>
      <c r="B17" t="n">
        <v>0</v>
      </c>
      <c r="C17" t="n">
        <v>0.1</v>
      </c>
      <c r="D17" t="n">
        <v>0</v>
      </c>
      <c r="E17" t="n">
        <v>0</v>
      </c>
    </row>
    <row r="18">
      <c r="A18" t="inlineStr">
        <is>
          <t>Opex -10%</t>
        </is>
      </c>
      <c r="B18" t="n">
        <v>0</v>
      </c>
      <c r="C18" t="n">
        <v>-0.1</v>
      </c>
      <c r="D18" t="n">
        <v>0</v>
      </c>
      <c r="E18" t="n">
        <v>0</v>
      </c>
    </row>
    <row r="19">
      <c r="A19" t="inlineStr">
        <is>
          <t>WACC +100bps</t>
        </is>
      </c>
      <c r="B19" t="n">
        <v>0</v>
      </c>
      <c r="C19" t="n">
        <v>0</v>
      </c>
      <c r="D19" t="n">
        <v>100</v>
      </c>
      <c r="E19" t="n">
        <v>0</v>
      </c>
    </row>
    <row r="20">
      <c r="A20" t="inlineStr">
        <is>
          <t>WACC -100bps</t>
        </is>
      </c>
      <c r="B20" t="n">
        <v>0</v>
      </c>
      <c r="C20" t="n">
        <v>0</v>
      </c>
      <c r="D20" t="n">
        <v>-100</v>
      </c>
      <c r="E20" t="n">
        <v>0</v>
      </c>
    </row>
    <row r="21">
      <c r="A21" t="inlineStr">
        <is>
          <t>Utilization +5%</t>
        </is>
      </c>
      <c r="B21" t="n">
        <v>0</v>
      </c>
      <c r="C21" t="n">
        <v>0</v>
      </c>
      <c r="D21" t="n">
        <v>0</v>
      </c>
      <c r="E21" t="n">
        <v>0.05</v>
      </c>
    </row>
    <row r="22">
      <c r="A22" t="inlineStr">
        <is>
          <t>Utilization -5%</t>
        </is>
      </c>
      <c r="B22" t="n">
        <v>0</v>
      </c>
      <c r="C22" t="n">
        <v>0</v>
      </c>
      <c r="D22" t="n">
        <v>0</v>
      </c>
      <c r="E22" t="n">
        <v>-0.05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DASHBOARD</t>
        </is>
      </c>
    </row>
    <row r="3">
      <c r="A3" s="3" t="inlineStr">
        <is>
          <t>LCOH ($/kg)</t>
        </is>
      </c>
      <c r="B3" s="7">
        <f>LCOH_USD_per_kg</f>
        <v/>
      </c>
    </row>
    <row r="4">
      <c r="A4" s="3" t="inlineStr">
        <is>
          <t>Equity IRR</t>
        </is>
      </c>
      <c r="B4" s="7">
        <f>EquityIRR</f>
        <v/>
      </c>
    </row>
    <row r="5">
      <c r="A5" s="3" t="inlineStr">
        <is>
          <t>Min DSCR</t>
        </is>
      </c>
      <c r="B5" s="7">
        <f>'Returns_Sensitivities'!B8</f>
        <v/>
      </c>
    </row>
    <row r="6">
      <c r="A6" s="3" t="inlineStr">
        <is>
          <t>Avg DSCR</t>
        </is>
      </c>
      <c r="B6" s="7">
        <f>'Returns_Sensitivities'!B9</f>
        <v/>
      </c>
    </row>
    <row r="7">
      <c r="A7" s="3" t="inlineStr">
        <is>
          <t>Gearing Factor (solved)</t>
        </is>
      </c>
      <c r="B7" s="7">
        <f>GearingFactor</f>
        <v/>
      </c>
    </row>
    <row r="8">
      <c r="A8" s="3" t="inlineStr">
        <is>
          <t>Ending Balance Residual</t>
        </is>
      </c>
      <c r="B8" s="7">
        <f>EndingBalanceResidual</f>
        <v/>
      </c>
    </row>
    <row r="9">
      <c r="A9" s="3" t="inlineStr">
        <is>
          <t>Convergence Status</t>
        </is>
      </c>
      <c r="B9" s="7">
        <f>ConvergenceStatus</f>
        <v/>
      </c>
    </row>
    <row r="10">
      <c r="A10" s="3" t="inlineStr">
        <is>
          <t>Iterations Used</t>
        </is>
      </c>
      <c r="B10" s="7">
        <f>IterationsUsed</f>
        <v/>
      </c>
    </row>
    <row r="13">
      <c r="A13" t="inlineStr">
        <is>
          <t>[Button: Run Debt Sizing]  -- after importing vba/mod_DebtSizing.bas, assign macro 'RunDebtSizing' to a Form Control button here.</t>
        </is>
      </c>
    </row>
    <row r="14">
      <c r="A14" t="inlineStr">
        <is>
          <t>[Button: Run Sensitivity Grid]  -- assign macro 'RunSensitivityGrid' from vba/mod_Sensitivity.bas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2026-07-03T01:15:46Z</dcterms:created>
  <dcterms:modified xsi:type="dcterms:W3CDTF">2026-07-03T01:15:46Z</dcterms:modified>
</cp:coreProperties>
</file>