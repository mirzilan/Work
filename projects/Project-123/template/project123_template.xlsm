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fe6a3094a81f903/Documents/Mirza - AI/Project 123/stage 1c/"/>
    </mc:Choice>
  </mc:AlternateContent>
  <xr:revisionPtr revIDLastSave="28" documentId="8_{B37CBA31-7D9C-42EF-90BD-5D0904345706}" xr6:coauthVersionLast="47" xr6:coauthVersionMax="47" xr10:uidLastSave="{CFB1D1F0-1BB7-41DA-95C8-5F6AD4948EE2}"/>
  <bookViews>
    <workbookView xWindow="-98" yWindow="-98" windowWidth="21795" windowHeight="12975" firstSheet="4" activeTab="12" xr2:uid="{00000000-000D-0000-FFFF-FFFF00000000}"/>
  </bookViews>
  <sheets>
    <sheet name="Cover" sheetId="1" r:id="rId1"/>
    <sheet name="Assumptions_Model" sheetId="2" r:id="rId2"/>
    <sheet name="Assumptions_Constant" sheetId="3" r:id="rId3"/>
    <sheet name="Assumptions_Periodic_Capex" sheetId="4" r:id="rId4"/>
    <sheet name="Assumptions_Periodic_Ops" sheetId="5" r:id="rId5"/>
    <sheet name="Calc_Capex" sheetId="6" r:id="rId6"/>
    <sheet name="Calc_Financing_Cons" sheetId="7" r:id="rId7"/>
    <sheet name="Calc_Revenue_Opex" sheetId="8" r:id="rId8"/>
    <sheet name="Calc_Tax" sheetId="9" r:id="rId9"/>
    <sheet name="Calc_Financing_Ops" sheetId="10" r:id="rId10"/>
    <sheet name="Calc_CFADS" sheetId="11" r:id="rId11"/>
    <sheet name="FS_Quarterly" sheetId="12" r:id="rId12"/>
    <sheet name="FS_Annual" sheetId="13" r:id="rId13"/>
    <sheet name="Check_Control" sheetId="14" r:id="rId14"/>
  </sheets>
  <definedNames>
    <definedName name="ActiveScenario">Cover!$B$20</definedName>
    <definedName name="ButtonSpec">Cover!$H$3:$I$12</definedName>
    <definedName name="CalculatedIDC">Calc_Financing_Cons!$B$10</definedName>
    <definedName name="Capex_CumTotal_Last">Calc_Capex!$Z$7</definedName>
    <definedName name="Capex_FundingTiesCheck">Calc_Capex!$Z$21</definedName>
    <definedName name="Capex_LastCol">Calc_Capex!$Z$1</definedName>
    <definedName name="Capex_TotalMatchesInputCheck">Calc_Capex!$Z$22</definedName>
    <definedName name="Capex_TotalProjectCost_Last">Calc_Capex!$Z$17</definedName>
    <definedName name="CFADS_LastCol">Calc_CFADS!$CD$1</definedName>
    <definedName name="CFADS_MRAFundsCapexCheck">Calc_CFADS!$CD$23</definedName>
    <definedName name="CFADS_MRAWindsDownCheck">Calc_CFADS!$CD$22</definedName>
    <definedName name="CFADS_NegFCFECount">Calc_CFADS!$CD$21</definedName>
    <definedName name="CheckControl_MasterFlag">Check_Control!$B$3</definedName>
    <definedName name="Const_ActiveResolvesCheck">Assumptions_Constant!$B$24</definedName>
    <definedName name="Const_AllPopulatedCheck">Assumptions_Constant!$B$25</definedName>
    <definedName name="Cover_CircTolerance">Cover!$B$4</definedName>
    <definedName name="Cover_DebtSizingMode">Cover!$B$17</definedName>
    <definedName name="Cover_DebtSizingTolerance">Cover!$B$6</definedName>
    <definedName name="Cover_DrawdownMethod">Cover!$B$14</definedName>
    <definedName name="Cover_DSRAMethod">Cover!$B$23</definedName>
    <definedName name="Cover_MaxIterations">Cover!$B$5</definedName>
    <definedName name="DebtSizeConvergenceGap">Calc_Financing_Ops!$B$10</definedName>
    <definedName name="FinCons_ClosingBalance_Last">Calc_Financing_Cons!$Z$25</definedName>
    <definedName name="FinCons_LastCol">Calc_Financing_Cons!$Z$1</definedName>
    <definedName name="FinOps_LastCol">Calc_Financing_Ops!$CD$1</definedName>
    <definedName name="FinOps_TenorEndCol">Calc_Financing_Ops!$BJ$1</definedName>
    <definedName name="FSA_EIRR">FS_Annual!$A$21</definedName>
    <definedName name="FSA_PIRR">FS_Annual!$A$19</definedName>
    <definedName name="FSQ_BSBalancesFailCount">FS_Quarterly!$CD$42</definedName>
    <definedName name="FSQ_LastCol">FS_Quarterly!$CD$1</definedName>
    <definedName name="IDCConvergenceGap">Calc_Financing_Cons!$B$11</definedName>
    <definedName name="ImpliedGearing">Calc_Financing_Ops!$B$11</definedName>
    <definedName name="LastSolvedStamp">Cover!$B$28</definedName>
    <definedName name="PerCapex_ActiveSumCheck">Assumptions_Periodic_Capex!$B$34</definedName>
    <definedName name="PerCapex_AllSumCheck">Assumptions_Periodic_Capex!$B$35</definedName>
    <definedName name="PerOps_EscBaseCheck">Assumptions_Periodic_Ops!$B$62</definedName>
    <definedName name="PerOps_MaintNonNegCheck">Assumptions_Periodic_Ops!$B$64</definedName>
    <definedName name="PerOps_VolumePositiveCheck">Assumptions_Periodic_Ops!$B$63</definedName>
    <definedName name="RevOpex_LastCol">Calc_Revenue_Opex!$CD$1</definedName>
    <definedName name="RevOpex_MaintNonNegCheck">Calc_Revenue_Opex!$CD$22</definedName>
    <definedName name="RevOpex_Year1Check">Calc_Revenue_Opex!$F$20</definedName>
    <definedName name="SculptedDebtCapacity">Calc_Financing_Ops!$B$8</definedName>
    <definedName name="SnapshotLive">Cover!$B$32:$B$48</definedName>
    <definedName name="SnapshotMatchFlags">Cover!$D$32:$D$48</definedName>
    <definedName name="SnapshotStored">Cover!$C$32:$C$48</definedName>
    <definedName name="SolveFreshnessFlag">Cover!$D$50</definedName>
    <definedName name="SolveStatus">Cover!$B$29</definedName>
    <definedName name="StagedDebtSize">Calc_Financing_Ops!$B$7</definedName>
    <definedName name="StagedIDC">Calc_Financing_Cons!$B$6</definedName>
    <definedName name="Tax_AccumDeprCheck">Calc_Tax!$CD$22</definedName>
    <definedName name="Tax_AccumMaintDeprCheck">Calc_Tax!$CD$23</definedName>
    <definedName name="Tax_LastCol">Calc_Tax!$CD$1</definedName>
    <definedName name="TotalCapex">Calc_Capex!$B$4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B13" i="13" l="1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C26" i="12"/>
  <c r="CD13" i="11"/>
  <c r="CD12" i="11"/>
  <c r="CD6" i="11"/>
  <c r="CA6" i="11"/>
  <c r="BY6" i="11"/>
  <c r="BP6" i="11"/>
  <c r="BN6" i="11"/>
  <c r="CD33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CD29" i="10"/>
  <c r="CD13" i="12" s="1"/>
  <c r="CC29" i="10"/>
  <c r="CC13" i="12" s="1"/>
  <c r="BM29" i="10"/>
  <c r="BM13" i="12" s="1"/>
  <c r="BL29" i="10"/>
  <c r="BL13" i="12" s="1"/>
  <c r="BJ29" i="10"/>
  <c r="BJ13" i="12" s="1"/>
  <c r="BD29" i="10"/>
  <c r="BD13" i="12" s="1"/>
  <c r="BC29" i="10"/>
  <c r="BC13" i="12" s="1"/>
  <c r="AZ29" i="10"/>
  <c r="AZ13" i="12" s="1"/>
  <c r="AY29" i="10"/>
  <c r="AY13" i="12" s="1"/>
  <c r="AU29" i="10"/>
  <c r="AU13" i="12" s="1"/>
  <c r="AT29" i="10"/>
  <c r="AT13" i="12" s="1"/>
  <c r="AL29" i="10"/>
  <c r="AL13" i="12" s="1"/>
  <c r="AK29" i="10"/>
  <c r="AK13" i="12" s="1"/>
  <c r="AH29" i="10"/>
  <c r="AH13" i="12" s="1"/>
  <c r="AD29" i="10"/>
  <c r="AD13" i="12" s="1"/>
  <c r="AA29" i="10"/>
  <c r="AA13" i="12" s="1"/>
  <c r="S29" i="10"/>
  <c r="S13" i="12" s="1"/>
  <c r="P29" i="10"/>
  <c r="P13" i="12" s="1"/>
  <c r="K29" i="10"/>
  <c r="K13" i="12" s="1"/>
  <c r="J29" i="10"/>
  <c r="J13" i="12" s="1"/>
  <c r="I29" i="10"/>
  <c r="I13" i="12" s="1"/>
  <c r="H29" i="10"/>
  <c r="H13" i="12" s="1"/>
  <c r="G29" i="10"/>
  <c r="G13" i="12" s="1"/>
  <c r="F29" i="10"/>
  <c r="F13" i="12" s="1"/>
  <c r="BN27" i="10"/>
  <c r="BM27" i="10"/>
  <c r="CD26" i="10"/>
  <c r="CC26" i="10"/>
  <c r="CB26" i="10"/>
  <c r="BW26" i="10"/>
  <c r="BP26" i="10"/>
  <c r="BP27" i="10" s="1"/>
  <c r="BO26" i="10"/>
  <c r="BN26" i="10"/>
  <c r="BM26" i="10"/>
  <c r="CB24" i="10"/>
  <c r="CA24" i="10"/>
  <c r="BS24" i="10"/>
  <c r="BR24" i="10"/>
  <c r="BQ24" i="10"/>
  <c r="BP24" i="10"/>
  <c r="BO24" i="10"/>
  <c r="BK24" i="10"/>
  <c r="CD21" i="10"/>
  <c r="CD24" i="10" s="1"/>
  <c r="CC21" i="10"/>
  <c r="CB21" i="10"/>
  <c r="CA21" i="10"/>
  <c r="BZ21" i="10"/>
  <c r="BY21" i="10"/>
  <c r="BY24" i="10" s="1"/>
  <c r="BX21" i="10"/>
  <c r="BW21" i="10"/>
  <c r="BV21" i="10"/>
  <c r="BU21" i="10"/>
  <c r="BT21" i="10"/>
  <c r="BS21" i="10"/>
  <c r="BR21" i="10"/>
  <c r="BQ21" i="10"/>
  <c r="BQ6" i="11" s="1"/>
  <c r="BP21" i="10"/>
  <c r="BO21" i="10"/>
  <c r="BO6" i="11" s="1"/>
  <c r="BN21" i="10"/>
  <c r="BN24" i="10" s="1"/>
  <c r="BM21" i="10"/>
  <c r="BM24" i="10" s="1"/>
  <c r="BL21" i="10"/>
  <c r="BK21" i="10"/>
  <c r="BK6" i="11" s="1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13" i="10"/>
  <c r="B3" i="10"/>
  <c r="CD15" i="8"/>
  <c r="BX15" i="8"/>
  <c r="BU15" i="8"/>
  <c r="BK15" i="8"/>
  <c r="AU15" i="8"/>
  <c r="W15" i="8"/>
  <c r="V15" i="8"/>
  <c r="R15" i="8"/>
  <c r="CB7" i="8"/>
  <c r="CA7" i="8"/>
  <c r="BO7" i="8"/>
  <c r="BN7" i="8"/>
  <c r="BK7" i="8"/>
  <c r="BJ7" i="8"/>
  <c r="AG7" i="8"/>
  <c r="AF7" i="8"/>
  <c r="AE7" i="8"/>
  <c r="AD7" i="8"/>
  <c r="T7" i="8"/>
  <c r="S7" i="8"/>
  <c r="P7" i="8"/>
  <c r="O7" i="8"/>
  <c r="F7" i="8"/>
  <c r="C6" i="8"/>
  <c r="CB5" i="8"/>
  <c r="BN5" i="8"/>
  <c r="BM5" i="8"/>
  <c r="BL5" i="8"/>
  <c r="BK5" i="8"/>
  <c r="AZ5" i="8"/>
  <c r="AV5" i="8"/>
  <c r="AU5" i="8"/>
  <c r="AK5" i="8"/>
  <c r="AJ5" i="8"/>
  <c r="AF5" i="8"/>
  <c r="AE5" i="8"/>
  <c r="X5" i="8"/>
  <c r="V5" i="8"/>
  <c r="P5" i="8"/>
  <c r="C17" i="7"/>
  <c r="B8" i="7"/>
  <c r="B3" i="7"/>
  <c r="I5" i="6"/>
  <c r="B64" i="5"/>
  <c r="D20" i="14" s="1"/>
  <c r="E20" i="14" s="1"/>
  <c r="B62" i="5"/>
  <c r="D18" i="14" s="1"/>
  <c r="E18" i="14" s="1"/>
  <c r="C58" i="5"/>
  <c r="C8" i="8" s="1"/>
  <c r="C57" i="5"/>
  <c r="Q52" i="5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AC52" i="5" s="1"/>
  <c r="AD52" i="5" s="1"/>
  <c r="AE52" i="5" s="1"/>
  <c r="AF52" i="5" s="1"/>
  <c r="AG52" i="5" s="1"/>
  <c r="AH52" i="5" s="1"/>
  <c r="AI52" i="5" s="1"/>
  <c r="AJ52" i="5" s="1"/>
  <c r="AK52" i="5" s="1"/>
  <c r="AL52" i="5" s="1"/>
  <c r="AM52" i="5" s="1"/>
  <c r="AN52" i="5" s="1"/>
  <c r="AO52" i="5" s="1"/>
  <c r="AP52" i="5" s="1"/>
  <c r="AQ52" i="5" s="1"/>
  <c r="AR52" i="5" s="1"/>
  <c r="AS52" i="5" s="1"/>
  <c r="AT52" i="5" s="1"/>
  <c r="AU52" i="5" s="1"/>
  <c r="AV52" i="5" s="1"/>
  <c r="AW52" i="5" s="1"/>
  <c r="AX52" i="5" s="1"/>
  <c r="AY52" i="5" s="1"/>
  <c r="AZ52" i="5" s="1"/>
  <c r="BA52" i="5" s="1"/>
  <c r="BB52" i="5" s="1"/>
  <c r="BC52" i="5" s="1"/>
  <c r="BD52" i="5" s="1"/>
  <c r="BE52" i="5" s="1"/>
  <c r="BF52" i="5" s="1"/>
  <c r="BG52" i="5" s="1"/>
  <c r="BH52" i="5" s="1"/>
  <c r="BI52" i="5" s="1"/>
  <c r="BJ52" i="5" s="1"/>
  <c r="BK52" i="5" s="1"/>
  <c r="BL52" i="5" s="1"/>
  <c r="BM52" i="5" s="1"/>
  <c r="BN52" i="5" s="1"/>
  <c r="BO52" i="5" s="1"/>
  <c r="BP52" i="5" s="1"/>
  <c r="BQ52" i="5" s="1"/>
  <c r="BR52" i="5" s="1"/>
  <c r="BS52" i="5" s="1"/>
  <c r="BT52" i="5" s="1"/>
  <c r="BU52" i="5" s="1"/>
  <c r="BV52" i="5" s="1"/>
  <c r="BW52" i="5" s="1"/>
  <c r="BX52" i="5" s="1"/>
  <c r="BY52" i="5" s="1"/>
  <c r="BZ52" i="5" s="1"/>
  <c r="CA52" i="5" s="1"/>
  <c r="CB52" i="5" s="1"/>
  <c r="CC52" i="5" s="1"/>
  <c r="CD52" i="5" s="1"/>
  <c r="B49" i="5"/>
  <c r="D49" i="5" s="1"/>
  <c r="CD44" i="5"/>
  <c r="CC44" i="5"/>
  <c r="CC15" i="8" s="1"/>
  <c r="CB44" i="5"/>
  <c r="CB15" i="8" s="1"/>
  <c r="CA44" i="5"/>
  <c r="CA15" i="8" s="1"/>
  <c r="BZ44" i="5"/>
  <c r="BZ15" i="8" s="1"/>
  <c r="BY44" i="5"/>
  <c r="BY15" i="8" s="1"/>
  <c r="BX44" i="5"/>
  <c r="BW44" i="5"/>
  <c r="BW15" i="8" s="1"/>
  <c r="BV44" i="5"/>
  <c r="BV15" i="8" s="1"/>
  <c r="BU44" i="5"/>
  <c r="BT44" i="5"/>
  <c r="BT15" i="8" s="1"/>
  <c r="BS44" i="5"/>
  <c r="BS15" i="8" s="1"/>
  <c r="BR44" i="5"/>
  <c r="BR15" i="8" s="1"/>
  <c r="BQ44" i="5"/>
  <c r="BQ15" i="8" s="1"/>
  <c r="BP44" i="5"/>
  <c r="BP15" i="8" s="1"/>
  <c r="BO44" i="5"/>
  <c r="BO15" i="8" s="1"/>
  <c r="BN44" i="5"/>
  <c r="BN15" i="8" s="1"/>
  <c r="BM44" i="5"/>
  <c r="BM15" i="8" s="1"/>
  <c r="BL44" i="5"/>
  <c r="BL15" i="8" s="1"/>
  <c r="BK44" i="5"/>
  <c r="BJ44" i="5"/>
  <c r="BJ15" i="8" s="1"/>
  <c r="BI44" i="5"/>
  <c r="BI15" i="8" s="1"/>
  <c r="BH44" i="5"/>
  <c r="BH15" i="8" s="1"/>
  <c r="BG44" i="5"/>
  <c r="BG15" i="8" s="1"/>
  <c r="BF44" i="5"/>
  <c r="BF15" i="8" s="1"/>
  <c r="BE44" i="5"/>
  <c r="BE15" i="8" s="1"/>
  <c r="BD44" i="5"/>
  <c r="BD15" i="8" s="1"/>
  <c r="BC44" i="5"/>
  <c r="BC15" i="8" s="1"/>
  <c r="BB44" i="5"/>
  <c r="BB15" i="8" s="1"/>
  <c r="BA44" i="5"/>
  <c r="BA15" i="8" s="1"/>
  <c r="AZ44" i="5"/>
  <c r="AZ15" i="8" s="1"/>
  <c r="AY44" i="5"/>
  <c r="AY15" i="8" s="1"/>
  <c r="AX44" i="5"/>
  <c r="AX15" i="8" s="1"/>
  <c r="AW44" i="5"/>
  <c r="AW15" i="8" s="1"/>
  <c r="AV44" i="5"/>
  <c r="AV15" i="8" s="1"/>
  <c r="AU44" i="5"/>
  <c r="AT44" i="5"/>
  <c r="AT15" i="8" s="1"/>
  <c r="AS44" i="5"/>
  <c r="AS15" i="8" s="1"/>
  <c r="AR44" i="5"/>
  <c r="AR15" i="8" s="1"/>
  <c r="AQ44" i="5"/>
  <c r="AQ15" i="8" s="1"/>
  <c r="AP44" i="5"/>
  <c r="AP15" i="8" s="1"/>
  <c r="AO44" i="5"/>
  <c r="AO15" i="8" s="1"/>
  <c r="AN44" i="5"/>
  <c r="AN15" i="8" s="1"/>
  <c r="AM44" i="5"/>
  <c r="AM15" i="8" s="1"/>
  <c r="AL44" i="5"/>
  <c r="AL15" i="8" s="1"/>
  <c r="AK44" i="5"/>
  <c r="AK15" i="8" s="1"/>
  <c r="AJ44" i="5"/>
  <c r="AJ15" i="8" s="1"/>
  <c r="AI44" i="5"/>
  <c r="AI15" i="8" s="1"/>
  <c r="AH44" i="5"/>
  <c r="AH15" i="8" s="1"/>
  <c r="AG44" i="5"/>
  <c r="AG15" i="8" s="1"/>
  <c r="AF44" i="5"/>
  <c r="AF15" i="8" s="1"/>
  <c r="AE44" i="5"/>
  <c r="AE15" i="8" s="1"/>
  <c r="AD44" i="5"/>
  <c r="AD15" i="8" s="1"/>
  <c r="AC44" i="5"/>
  <c r="AC15" i="8" s="1"/>
  <c r="AB44" i="5"/>
  <c r="AB15" i="8" s="1"/>
  <c r="AA44" i="5"/>
  <c r="AA15" i="8" s="1"/>
  <c r="Z44" i="5"/>
  <c r="Z15" i="8" s="1"/>
  <c r="Y44" i="5"/>
  <c r="Y15" i="8" s="1"/>
  <c r="X44" i="5"/>
  <c r="X15" i="8" s="1"/>
  <c r="W44" i="5"/>
  <c r="V44" i="5"/>
  <c r="U44" i="5"/>
  <c r="U15" i="8" s="1"/>
  <c r="T44" i="5"/>
  <c r="T15" i="8" s="1"/>
  <c r="S44" i="5"/>
  <c r="S15" i="8" s="1"/>
  <c r="R44" i="5"/>
  <c r="Q44" i="5"/>
  <c r="Q15" i="8" s="1"/>
  <c r="P44" i="5"/>
  <c r="P15" i="8" s="1"/>
  <c r="O44" i="5"/>
  <c r="O15" i="8" s="1"/>
  <c r="N44" i="5"/>
  <c r="N15" i="8" s="1"/>
  <c r="M44" i="5"/>
  <c r="M15" i="8" s="1"/>
  <c r="L44" i="5"/>
  <c r="L15" i="8" s="1"/>
  <c r="K44" i="5"/>
  <c r="K15" i="8" s="1"/>
  <c r="J44" i="5"/>
  <c r="J15" i="8" s="1"/>
  <c r="I44" i="5"/>
  <c r="I15" i="8" s="1"/>
  <c r="H44" i="5"/>
  <c r="H15" i="8" s="1"/>
  <c r="G44" i="5"/>
  <c r="G15" i="8" s="1"/>
  <c r="F44" i="5"/>
  <c r="F15" i="8" s="1"/>
  <c r="E44" i="5"/>
  <c r="E15" i="8" s="1"/>
  <c r="D44" i="5"/>
  <c r="D15" i="8" s="1"/>
  <c r="C44" i="5"/>
  <c r="C15" i="8" s="1"/>
  <c r="CD31" i="5"/>
  <c r="CD7" i="8" s="1"/>
  <c r="CC31" i="5"/>
  <c r="CC7" i="8" s="1"/>
  <c r="CB31" i="5"/>
  <c r="CA31" i="5"/>
  <c r="BZ31" i="5"/>
  <c r="BZ7" i="8" s="1"/>
  <c r="BY31" i="5"/>
  <c r="BY7" i="8" s="1"/>
  <c r="BX31" i="5"/>
  <c r="BX7" i="8" s="1"/>
  <c r="BW31" i="5"/>
  <c r="BW7" i="8" s="1"/>
  <c r="BV31" i="5"/>
  <c r="BV7" i="8" s="1"/>
  <c r="BU31" i="5"/>
  <c r="BU7" i="8" s="1"/>
  <c r="BT31" i="5"/>
  <c r="BT7" i="8" s="1"/>
  <c r="BS31" i="5"/>
  <c r="BS7" i="8" s="1"/>
  <c r="BR31" i="5"/>
  <c r="BR7" i="8" s="1"/>
  <c r="BQ31" i="5"/>
  <c r="BQ7" i="8" s="1"/>
  <c r="BP31" i="5"/>
  <c r="BP7" i="8" s="1"/>
  <c r="BO31" i="5"/>
  <c r="BN31" i="5"/>
  <c r="BM31" i="5"/>
  <c r="BM7" i="8" s="1"/>
  <c r="BL31" i="5"/>
  <c r="BL7" i="8" s="1"/>
  <c r="BK31" i="5"/>
  <c r="BJ31" i="5"/>
  <c r="BI31" i="5"/>
  <c r="BI7" i="8" s="1"/>
  <c r="BH31" i="5"/>
  <c r="BH7" i="8" s="1"/>
  <c r="BG31" i="5"/>
  <c r="BG7" i="8" s="1"/>
  <c r="BF31" i="5"/>
  <c r="BF7" i="8" s="1"/>
  <c r="BE31" i="5"/>
  <c r="BE7" i="8" s="1"/>
  <c r="BD31" i="5"/>
  <c r="BD7" i="8" s="1"/>
  <c r="BC31" i="5"/>
  <c r="BC7" i="8" s="1"/>
  <c r="BB31" i="5"/>
  <c r="BB7" i="8" s="1"/>
  <c r="BA31" i="5"/>
  <c r="BA7" i="8" s="1"/>
  <c r="AZ31" i="5"/>
  <c r="AZ7" i="8" s="1"/>
  <c r="AY31" i="5"/>
  <c r="AY7" i="8" s="1"/>
  <c r="AX31" i="5"/>
  <c r="AX7" i="8" s="1"/>
  <c r="AW31" i="5"/>
  <c r="AW7" i="8" s="1"/>
  <c r="AV31" i="5"/>
  <c r="AV7" i="8" s="1"/>
  <c r="AU31" i="5"/>
  <c r="AU7" i="8" s="1"/>
  <c r="AT31" i="5"/>
  <c r="AT7" i="8" s="1"/>
  <c r="AS31" i="5"/>
  <c r="AS7" i="8" s="1"/>
  <c r="AR31" i="5"/>
  <c r="AR7" i="8" s="1"/>
  <c r="AQ31" i="5"/>
  <c r="AQ7" i="8" s="1"/>
  <c r="AP31" i="5"/>
  <c r="AP7" i="8" s="1"/>
  <c r="AO31" i="5"/>
  <c r="AO7" i="8" s="1"/>
  <c r="AN31" i="5"/>
  <c r="AN7" i="8" s="1"/>
  <c r="AM31" i="5"/>
  <c r="AM7" i="8" s="1"/>
  <c r="AL31" i="5"/>
  <c r="AL7" i="8" s="1"/>
  <c r="AK31" i="5"/>
  <c r="AK7" i="8" s="1"/>
  <c r="AJ31" i="5"/>
  <c r="AJ7" i="8" s="1"/>
  <c r="AI31" i="5"/>
  <c r="AI7" i="8" s="1"/>
  <c r="AH31" i="5"/>
  <c r="AH7" i="8" s="1"/>
  <c r="AG31" i="5"/>
  <c r="AF31" i="5"/>
  <c r="AE31" i="5"/>
  <c r="AD31" i="5"/>
  <c r="AC31" i="5"/>
  <c r="AC7" i="8" s="1"/>
  <c r="AB31" i="5"/>
  <c r="AB7" i="8" s="1"/>
  <c r="AA31" i="5"/>
  <c r="AA7" i="8" s="1"/>
  <c r="Z31" i="5"/>
  <c r="Z7" i="8" s="1"/>
  <c r="Y31" i="5"/>
  <c r="Y7" i="8" s="1"/>
  <c r="X31" i="5"/>
  <c r="X7" i="8" s="1"/>
  <c r="W31" i="5"/>
  <c r="W7" i="8" s="1"/>
  <c r="V31" i="5"/>
  <c r="V7" i="8" s="1"/>
  <c r="U31" i="5"/>
  <c r="U7" i="8" s="1"/>
  <c r="T31" i="5"/>
  <c r="S31" i="5"/>
  <c r="R31" i="5"/>
  <c r="R7" i="8" s="1"/>
  <c r="Q31" i="5"/>
  <c r="Q7" i="8" s="1"/>
  <c r="P31" i="5"/>
  <c r="O31" i="5"/>
  <c r="N31" i="5"/>
  <c r="N7" i="8" s="1"/>
  <c r="M31" i="5"/>
  <c r="M7" i="8" s="1"/>
  <c r="L31" i="5"/>
  <c r="L7" i="8" s="1"/>
  <c r="K31" i="5"/>
  <c r="K7" i="8" s="1"/>
  <c r="J31" i="5"/>
  <c r="J7" i="8" s="1"/>
  <c r="I31" i="5"/>
  <c r="I7" i="8" s="1"/>
  <c r="H31" i="5"/>
  <c r="H7" i="8" s="1"/>
  <c r="G31" i="5"/>
  <c r="G7" i="8" s="1"/>
  <c r="F31" i="5"/>
  <c r="E31" i="5"/>
  <c r="E7" i="8" s="1"/>
  <c r="D31" i="5"/>
  <c r="D7" i="8" s="1"/>
  <c r="C31" i="5"/>
  <c r="C7" i="8" s="1"/>
  <c r="CD18" i="5"/>
  <c r="CD5" i="8" s="1"/>
  <c r="CC18" i="5"/>
  <c r="CC5" i="8" s="1"/>
  <c r="CB18" i="5"/>
  <c r="CA18" i="5"/>
  <c r="CA5" i="8" s="1"/>
  <c r="BZ18" i="5"/>
  <c r="BZ5" i="8" s="1"/>
  <c r="BY18" i="5"/>
  <c r="BY5" i="8" s="1"/>
  <c r="BX18" i="5"/>
  <c r="BX5" i="8" s="1"/>
  <c r="BW18" i="5"/>
  <c r="BW5" i="8" s="1"/>
  <c r="BV18" i="5"/>
  <c r="BV5" i="8" s="1"/>
  <c r="BU18" i="5"/>
  <c r="BU5" i="8" s="1"/>
  <c r="BT18" i="5"/>
  <c r="BT5" i="8" s="1"/>
  <c r="BS18" i="5"/>
  <c r="BS5" i="8" s="1"/>
  <c r="BR18" i="5"/>
  <c r="BR5" i="8" s="1"/>
  <c r="BQ18" i="5"/>
  <c r="BQ5" i="8" s="1"/>
  <c r="BP18" i="5"/>
  <c r="BP5" i="8" s="1"/>
  <c r="BO18" i="5"/>
  <c r="BO5" i="8" s="1"/>
  <c r="BN18" i="5"/>
  <c r="BM18" i="5"/>
  <c r="BL18" i="5"/>
  <c r="BK18" i="5"/>
  <c r="BJ18" i="5"/>
  <c r="BJ5" i="8" s="1"/>
  <c r="BI18" i="5"/>
  <c r="BI5" i="8" s="1"/>
  <c r="BH18" i="5"/>
  <c r="BH5" i="8" s="1"/>
  <c r="BG18" i="5"/>
  <c r="BG5" i="8" s="1"/>
  <c r="BF18" i="5"/>
  <c r="BF5" i="8" s="1"/>
  <c r="BE18" i="5"/>
  <c r="BE5" i="8" s="1"/>
  <c r="BD18" i="5"/>
  <c r="BD5" i="8" s="1"/>
  <c r="BC18" i="5"/>
  <c r="BC5" i="8" s="1"/>
  <c r="BB18" i="5"/>
  <c r="BB5" i="8" s="1"/>
  <c r="BA18" i="5"/>
  <c r="BA5" i="8" s="1"/>
  <c r="AZ18" i="5"/>
  <c r="AY18" i="5"/>
  <c r="AY5" i="8" s="1"/>
  <c r="AX18" i="5"/>
  <c r="AX5" i="8" s="1"/>
  <c r="AW18" i="5"/>
  <c r="AW5" i="8" s="1"/>
  <c r="AV18" i="5"/>
  <c r="AU18" i="5"/>
  <c r="AT18" i="5"/>
  <c r="AT5" i="8" s="1"/>
  <c r="AS18" i="5"/>
  <c r="AS5" i="8" s="1"/>
  <c r="AR18" i="5"/>
  <c r="AR5" i="8" s="1"/>
  <c r="AQ18" i="5"/>
  <c r="AQ5" i="8" s="1"/>
  <c r="AP18" i="5"/>
  <c r="AP5" i="8" s="1"/>
  <c r="AO18" i="5"/>
  <c r="AO5" i="8" s="1"/>
  <c r="AN18" i="5"/>
  <c r="AN5" i="8" s="1"/>
  <c r="AM18" i="5"/>
  <c r="AM5" i="8" s="1"/>
  <c r="AL18" i="5"/>
  <c r="AL5" i="8" s="1"/>
  <c r="AK18" i="5"/>
  <c r="AJ18" i="5"/>
  <c r="AI18" i="5"/>
  <c r="AI5" i="8" s="1"/>
  <c r="AH18" i="5"/>
  <c r="AH5" i="8" s="1"/>
  <c r="AG18" i="5"/>
  <c r="AG5" i="8" s="1"/>
  <c r="AF18" i="5"/>
  <c r="AE18" i="5"/>
  <c r="AD18" i="5"/>
  <c r="AD5" i="8" s="1"/>
  <c r="AC18" i="5"/>
  <c r="AC5" i="8" s="1"/>
  <c r="AB18" i="5"/>
  <c r="AB5" i="8" s="1"/>
  <c r="AA18" i="5"/>
  <c r="AA5" i="8" s="1"/>
  <c r="Z18" i="5"/>
  <c r="Z5" i="8" s="1"/>
  <c r="Y18" i="5"/>
  <c r="Y5" i="8" s="1"/>
  <c r="X18" i="5"/>
  <c r="W18" i="5"/>
  <c r="W5" i="8" s="1"/>
  <c r="V18" i="5"/>
  <c r="U18" i="5"/>
  <c r="U5" i="8" s="1"/>
  <c r="T18" i="5"/>
  <c r="T5" i="8" s="1"/>
  <c r="S18" i="5"/>
  <c r="S5" i="8" s="1"/>
  <c r="R18" i="5"/>
  <c r="R5" i="8" s="1"/>
  <c r="Q18" i="5"/>
  <c r="Q5" i="8" s="1"/>
  <c r="P18" i="5"/>
  <c r="O18" i="5"/>
  <c r="O5" i="8" s="1"/>
  <c r="N18" i="5"/>
  <c r="N5" i="8" s="1"/>
  <c r="M18" i="5"/>
  <c r="M5" i="8" s="1"/>
  <c r="L18" i="5"/>
  <c r="L5" i="8" s="1"/>
  <c r="K18" i="5"/>
  <c r="K5" i="8" s="1"/>
  <c r="J18" i="5"/>
  <c r="J5" i="8" s="1"/>
  <c r="I18" i="5"/>
  <c r="I5" i="8" s="1"/>
  <c r="H18" i="5"/>
  <c r="H5" i="8" s="1"/>
  <c r="G18" i="5"/>
  <c r="G5" i="8" s="1"/>
  <c r="F18" i="5"/>
  <c r="F5" i="8" s="1"/>
  <c r="E18" i="5"/>
  <c r="E5" i="8" s="1"/>
  <c r="D18" i="5"/>
  <c r="D5" i="8" s="1"/>
  <c r="C18" i="5"/>
  <c r="B63" i="5" s="1"/>
  <c r="D19" i="14" s="1"/>
  <c r="E19" i="14" s="1"/>
  <c r="B30" i="4"/>
  <c r="B29" i="4"/>
  <c r="B28" i="4"/>
  <c r="B27" i="4"/>
  <c r="B26" i="4"/>
  <c r="B25" i="4"/>
  <c r="B24" i="4"/>
  <c r="B23" i="4"/>
  <c r="B22" i="4"/>
  <c r="B21" i="4"/>
  <c r="Z18" i="4"/>
  <c r="Y18" i="4"/>
  <c r="X18" i="4"/>
  <c r="W18" i="4"/>
  <c r="V18" i="4"/>
  <c r="V18" i="2" s="1"/>
  <c r="V5" i="6" s="1"/>
  <c r="U18" i="4"/>
  <c r="U18" i="2" s="1"/>
  <c r="U5" i="6" s="1"/>
  <c r="T18" i="4"/>
  <c r="S18" i="4"/>
  <c r="S18" i="2" s="1"/>
  <c r="S5" i="6" s="1"/>
  <c r="R18" i="4"/>
  <c r="R18" i="2" s="1"/>
  <c r="R5" i="6" s="1"/>
  <c r="Q18" i="4"/>
  <c r="Q18" i="2" s="1"/>
  <c r="Q5" i="6" s="1"/>
  <c r="P18" i="4"/>
  <c r="P18" i="2" s="1"/>
  <c r="P5" i="6" s="1"/>
  <c r="O18" i="4"/>
  <c r="O18" i="2" s="1"/>
  <c r="O5" i="6" s="1"/>
  <c r="N18" i="4"/>
  <c r="N18" i="2" s="1"/>
  <c r="N5" i="6" s="1"/>
  <c r="M18" i="4"/>
  <c r="M18" i="2" s="1"/>
  <c r="M5" i="6" s="1"/>
  <c r="L18" i="4"/>
  <c r="L18" i="2" s="1"/>
  <c r="L5" i="6" s="1"/>
  <c r="K18" i="4"/>
  <c r="J18" i="4"/>
  <c r="I18" i="4"/>
  <c r="H18" i="4"/>
  <c r="G18" i="4"/>
  <c r="F18" i="4"/>
  <c r="E18" i="4"/>
  <c r="E18" i="2" s="1"/>
  <c r="E5" i="6" s="1"/>
  <c r="D18" i="4"/>
  <c r="C18" i="4"/>
  <c r="C18" i="2" s="1"/>
  <c r="B25" i="3"/>
  <c r="D15" i="14" s="1"/>
  <c r="E15" i="14" s="1"/>
  <c r="B24" i="3"/>
  <c r="D14" i="14" s="1"/>
  <c r="E14" i="14" s="1"/>
  <c r="B21" i="3"/>
  <c r="B14" i="2" s="1"/>
  <c r="B12" i="10" s="1"/>
  <c r="B20" i="3"/>
  <c r="B13" i="2" s="1"/>
  <c r="B19" i="3"/>
  <c r="B52" i="5" s="1"/>
  <c r="D52" i="5" s="1"/>
  <c r="E52" i="5" s="1"/>
  <c r="F52" i="5" s="1"/>
  <c r="G52" i="5" s="1"/>
  <c r="H52" i="5" s="1"/>
  <c r="I52" i="5" s="1"/>
  <c r="J52" i="5" s="1"/>
  <c r="K52" i="5" s="1"/>
  <c r="L52" i="5" s="1"/>
  <c r="M52" i="5" s="1"/>
  <c r="N52" i="5" s="1"/>
  <c r="O52" i="5" s="1"/>
  <c r="P52" i="5" s="1"/>
  <c r="B18" i="3"/>
  <c r="B51" i="5" s="1"/>
  <c r="D51" i="5" s="1"/>
  <c r="E51" i="5" s="1"/>
  <c r="F51" i="5" s="1"/>
  <c r="G51" i="5" s="1"/>
  <c r="H51" i="5" s="1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AC51" i="5" s="1"/>
  <c r="AD51" i="5" s="1"/>
  <c r="AE51" i="5" s="1"/>
  <c r="AF51" i="5" s="1"/>
  <c r="AG51" i="5" s="1"/>
  <c r="AH51" i="5" s="1"/>
  <c r="AI51" i="5" s="1"/>
  <c r="AJ51" i="5" s="1"/>
  <c r="AK51" i="5" s="1"/>
  <c r="AL51" i="5" s="1"/>
  <c r="AM51" i="5" s="1"/>
  <c r="AN51" i="5" s="1"/>
  <c r="AO51" i="5" s="1"/>
  <c r="AP51" i="5" s="1"/>
  <c r="AQ51" i="5" s="1"/>
  <c r="AR51" i="5" s="1"/>
  <c r="AS51" i="5" s="1"/>
  <c r="AT51" i="5" s="1"/>
  <c r="AU51" i="5" s="1"/>
  <c r="AV51" i="5" s="1"/>
  <c r="AW51" i="5" s="1"/>
  <c r="AX51" i="5" s="1"/>
  <c r="AY51" i="5" s="1"/>
  <c r="AZ51" i="5" s="1"/>
  <c r="BA51" i="5" s="1"/>
  <c r="BB51" i="5" s="1"/>
  <c r="BC51" i="5" s="1"/>
  <c r="BD51" i="5" s="1"/>
  <c r="BE51" i="5" s="1"/>
  <c r="BF51" i="5" s="1"/>
  <c r="BG51" i="5" s="1"/>
  <c r="BH51" i="5" s="1"/>
  <c r="BI51" i="5" s="1"/>
  <c r="BJ51" i="5" s="1"/>
  <c r="BK51" i="5" s="1"/>
  <c r="BL51" i="5" s="1"/>
  <c r="BM51" i="5" s="1"/>
  <c r="BN51" i="5" s="1"/>
  <c r="BO51" i="5" s="1"/>
  <c r="BP51" i="5" s="1"/>
  <c r="BQ51" i="5" s="1"/>
  <c r="BR51" i="5" s="1"/>
  <c r="BS51" i="5" s="1"/>
  <c r="BT51" i="5" s="1"/>
  <c r="BU51" i="5" s="1"/>
  <c r="BV51" i="5" s="1"/>
  <c r="BW51" i="5" s="1"/>
  <c r="BX51" i="5" s="1"/>
  <c r="BY51" i="5" s="1"/>
  <c r="BZ51" i="5" s="1"/>
  <c r="CA51" i="5" s="1"/>
  <c r="CB51" i="5" s="1"/>
  <c r="CC51" i="5" s="1"/>
  <c r="CD51" i="5" s="1"/>
  <c r="B17" i="3"/>
  <c r="B50" i="5" s="1"/>
  <c r="D50" i="5" s="1"/>
  <c r="B16" i="3"/>
  <c r="B15" i="3"/>
  <c r="B14" i="3"/>
  <c r="B13" i="3"/>
  <c r="B12" i="3"/>
  <c r="B11" i="3"/>
  <c r="B10" i="3"/>
  <c r="B9" i="3"/>
  <c r="B8" i="3"/>
  <c r="B7" i="3"/>
  <c r="B6" i="3"/>
  <c r="B4" i="3"/>
  <c r="C20" i="1" s="1"/>
  <c r="Z18" i="2"/>
  <c r="Z5" i="6" s="1"/>
  <c r="Y18" i="2"/>
  <c r="Y5" i="6" s="1"/>
  <c r="X18" i="2"/>
  <c r="X5" i="6" s="1"/>
  <c r="W18" i="2"/>
  <c r="W5" i="6" s="1"/>
  <c r="T18" i="2"/>
  <c r="T5" i="6" s="1"/>
  <c r="K18" i="2"/>
  <c r="K5" i="6" s="1"/>
  <c r="J18" i="2"/>
  <c r="J5" i="6" s="1"/>
  <c r="I18" i="2"/>
  <c r="H18" i="2"/>
  <c r="H5" i="6" s="1"/>
  <c r="G18" i="2"/>
  <c r="G5" i="6" s="1"/>
  <c r="F18" i="2"/>
  <c r="F5" i="6" s="1"/>
  <c r="D18" i="2"/>
  <c r="D5" i="6" s="1"/>
  <c r="B12" i="2"/>
  <c r="B6" i="10" s="1"/>
  <c r="B11" i="2"/>
  <c r="B4" i="9" s="1"/>
  <c r="B10" i="2"/>
  <c r="B3" i="9" s="1"/>
  <c r="B9" i="2"/>
  <c r="B9" i="8" s="1"/>
  <c r="B8" i="2"/>
  <c r="B37" i="1" s="1"/>
  <c r="D37" i="1" s="1"/>
  <c r="B7" i="2"/>
  <c r="B6" i="2"/>
  <c r="B9" i="10" s="1"/>
  <c r="B5" i="2"/>
  <c r="B4" i="2"/>
  <c r="B3" i="2"/>
  <c r="B47" i="1"/>
  <c r="D47" i="1" s="1"/>
  <c r="D46" i="1"/>
  <c r="B46" i="1"/>
  <c r="B45" i="1"/>
  <c r="D45" i="1" s="1"/>
  <c r="D44" i="1"/>
  <c r="B44" i="1"/>
  <c r="B43" i="1"/>
  <c r="D43" i="1" s="1"/>
  <c r="B41" i="1"/>
  <c r="D41" i="1" s="1"/>
  <c r="B33" i="1"/>
  <c r="D33" i="1" s="1"/>
  <c r="V6" i="6" l="1"/>
  <c r="B35" i="1"/>
  <c r="D35" i="1" s="1"/>
  <c r="B4" i="10"/>
  <c r="B4" i="7"/>
  <c r="C18" i="7" s="1"/>
  <c r="B34" i="1"/>
  <c r="D34" i="1" s="1"/>
  <c r="W6" i="6"/>
  <c r="D58" i="5"/>
  <c r="D8" i="8" s="1"/>
  <c r="E50" i="5"/>
  <c r="L6" i="6"/>
  <c r="B35" i="4"/>
  <c r="D17" i="14" s="1"/>
  <c r="E17" i="14" s="1"/>
  <c r="M6" i="6"/>
  <c r="B13" i="8"/>
  <c r="B42" i="1"/>
  <c r="D42" i="1" s="1"/>
  <c r="B4" i="6"/>
  <c r="B32" i="1"/>
  <c r="D32" i="1" s="1"/>
  <c r="B7" i="7"/>
  <c r="B9" i="7" s="1"/>
  <c r="P6" i="6"/>
  <c r="H6" i="6"/>
  <c r="Z6" i="6"/>
  <c r="E49" i="5"/>
  <c r="D57" i="5"/>
  <c r="D6" i="8" s="1"/>
  <c r="BW6" i="11"/>
  <c r="BW24" i="10"/>
  <c r="BV26" i="10"/>
  <c r="BV27" i="10" s="1"/>
  <c r="J6" i="6"/>
  <c r="Q6" i="6"/>
  <c r="R6" i="6"/>
  <c r="I6" i="6"/>
  <c r="B5" i="10"/>
  <c r="B36" i="1"/>
  <c r="D36" i="1" s="1"/>
  <c r="C5" i="6"/>
  <c r="C6" i="6" s="1"/>
  <c r="B48" i="1"/>
  <c r="D48" i="1" s="1"/>
  <c r="S6" i="6"/>
  <c r="B9" i="6"/>
  <c r="B5" i="7"/>
  <c r="Y6" i="6"/>
  <c r="BP30" i="12"/>
  <c r="BP28" i="10"/>
  <c r="B34" i="4"/>
  <c r="D16" i="14" s="1"/>
  <c r="E16" i="14" s="1"/>
  <c r="B38" i="1"/>
  <c r="D38" i="1" s="1"/>
  <c r="B4" i="8"/>
  <c r="B39" i="1"/>
  <c r="D39" i="1" s="1"/>
  <c r="C5" i="8"/>
  <c r="T6" i="6"/>
  <c r="BU6" i="11"/>
  <c r="BU24" i="10"/>
  <c r="BT26" i="10"/>
  <c r="B40" i="1"/>
  <c r="D40" i="1" s="1"/>
  <c r="D6" i="6"/>
  <c r="BV6" i="11"/>
  <c r="BV24" i="10"/>
  <c r="BU26" i="10"/>
  <c r="BU27" i="10" s="1"/>
  <c r="BT6" i="11"/>
  <c r="BS26" i="10"/>
  <c r="BT24" i="10"/>
  <c r="BX6" i="11"/>
  <c r="CD31" i="12"/>
  <c r="BL6" i="11"/>
  <c r="BL24" i="10"/>
  <c r="BK26" i="10"/>
  <c r="BK27" i="10" s="1"/>
  <c r="BJ26" i="10"/>
  <c r="BJ27" i="10" s="1"/>
  <c r="CB6" i="11"/>
  <c r="CA26" i="10"/>
  <c r="BZ26" i="10"/>
  <c r="BX24" i="10"/>
  <c r="BM30" i="12"/>
  <c r="BY26" i="10"/>
  <c r="BY27" i="10" s="1"/>
  <c r="BZ24" i="10"/>
  <c r="BX26" i="10"/>
  <c r="BX27" i="10" s="1"/>
  <c r="BN30" i="12"/>
  <c r="BN28" i="10"/>
  <c r="BY29" i="10"/>
  <c r="BY13" i="12" s="1"/>
  <c r="BI29" i="10"/>
  <c r="BI13" i="12" s="1"/>
  <c r="AS29" i="10"/>
  <c r="AS13" i="12" s="1"/>
  <c r="AC29" i="10"/>
  <c r="AC13" i="12" s="1"/>
  <c r="M29" i="10"/>
  <c r="M13" i="12" s="1"/>
  <c r="BX29" i="10"/>
  <c r="BX13" i="12" s="1"/>
  <c r="BH29" i="10"/>
  <c r="BH13" i="12" s="1"/>
  <c r="AR29" i="10"/>
  <c r="AR13" i="12" s="1"/>
  <c r="AB29" i="10"/>
  <c r="AB13" i="12" s="1"/>
  <c r="L29" i="10"/>
  <c r="L13" i="12" s="1"/>
  <c r="CA29" i="10"/>
  <c r="CA13" i="12" s="1"/>
  <c r="BG29" i="10"/>
  <c r="BG13" i="12" s="1"/>
  <c r="AO29" i="10"/>
  <c r="AO13" i="12" s="1"/>
  <c r="W29" i="10"/>
  <c r="W13" i="12" s="1"/>
  <c r="E29" i="10"/>
  <c r="E13" i="12" s="1"/>
  <c r="BZ29" i="10"/>
  <c r="BZ13" i="12" s="1"/>
  <c r="BF29" i="10"/>
  <c r="BF13" i="12" s="1"/>
  <c r="AN29" i="10"/>
  <c r="AN13" i="12" s="1"/>
  <c r="V29" i="10"/>
  <c r="V13" i="12" s="1"/>
  <c r="D29" i="10"/>
  <c r="D13" i="12" s="1"/>
  <c r="BW27" i="10"/>
  <c r="BW29" i="10"/>
  <c r="BW13" i="12" s="1"/>
  <c r="BE29" i="10"/>
  <c r="BE13" i="12" s="1"/>
  <c r="AM29" i="10"/>
  <c r="AM13" i="12" s="1"/>
  <c r="U29" i="10"/>
  <c r="U13" i="12" s="1"/>
  <c r="C29" i="10"/>
  <c r="C13" i="12" s="1"/>
  <c r="BT29" i="10"/>
  <c r="BT13" i="12" s="1"/>
  <c r="BB29" i="10"/>
  <c r="BB13" i="12" s="1"/>
  <c r="AJ29" i="10"/>
  <c r="AJ13" i="12" s="1"/>
  <c r="R29" i="10"/>
  <c r="R13" i="12" s="1"/>
  <c r="BS27" i="10"/>
  <c r="BS29" i="10"/>
  <c r="BS13" i="12" s="1"/>
  <c r="BA29" i="10"/>
  <c r="BA13" i="12" s="1"/>
  <c r="AI29" i="10"/>
  <c r="AI13" i="12" s="1"/>
  <c r="Q29" i="10"/>
  <c r="Q13" i="12" s="1"/>
  <c r="BR27" i="10"/>
  <c r="CB29" i="10"/>
  <c r="CB13" i="12" s="1"/>
  <c r="AX29" i="10"/>
  <c r="AX13" i="12" s="1"/>
  <c r="Y29" i="10"/>
  <c r="Y13" i="12" s="1"/>
  <c r="CC27" i="10"/>
  <c r="BV29" i="10"/>
  <c r="BV13" i="12" s="1"/>
  <c r="AW29" i="10"/>
  <c r="AW13" i="12" s="1"/>
  <c r="X29" i="10"/>
  <c r="X13" i="12" s="1"/>
  <c r="CB27" i="10"/>
  <c r="BU29" i="10"/>
  <c r="BU13" i="12" s="1"/>
  <c r="AV29" i="10"/>
  <c r="AV13" i="12" s="1"/>
  <c r="T29" i="10"/>
  <c r="T13" i="12" s="1"/>
  <c r="CA27" i="10"/>
  <c r="BP29" i="10"/>
  <c r="BP13" i="12" s="1"/>
  <c r="AQ29" i="10"/>
  <c r="AQ13" i="12" s="1"/>
  <c r="O29" i="10"/>
  <c r="O13" i="12" s="1"/>
  <c r="BT27" i="10"/>
  <c r="BO29" i="10"/>
  <c r="BO13" i="12" s="1"/>
  <c r="AP29" i="10"/>
  <c r="AP13" i="12" s="1"/>
  <c r="N29" i="10"/>
  <c r="N13" i="12" s="1"/>
  <c r="BO27" i="10"/>
  <c r="Z29" i="10"/>
  <c r="Z13" i="12" s="1"/>
  <c r="BK29" i="10"/>
  <c r="BK13" i="12" s="1"/>
  <c r="BZ27" i="10"/>
  <c r="AE29" i="10"/>
  <c r="AE13" i="12" s="1"/>
  <c r="BN29" i="10"/>
  <c r="BN13" i="12" s="1"/>
  <c r="BZ6" i="11"/>
  <c r="CD27" i="10"/>
  <c r="AF29" i="10"/>
  <c r="AF13" i="12" s="1"/>
  <c r="BQ29" i="10"/>
  <c r="BQ13" i="12" s="1"/>
  <c r="AG29" i="10"/>
  <c r="AG13" i="12" s="1"/>
  <c r="BR29" i="10"/>
  <c r="BR13" i="12" s="1"/>
  <c r="CC6" i="11"/>
  <c r="CC24" i="10"/>
  <c r="BM6" i="11"/>
  <c r="BQ26" i="10"/>
  <c r="BQ27" i="10" s="1"/>
  <c r="BR6" i="11"/>
  <c r="BR26" i="10"/>
  <c r="BS6" i="11"/>
  <c r="BL26" i="10"/>
  <c r="BL27" i="10" s="1"/>
  <c r="BM28" i="10" s="1"/>
  <c r="BQ30" i="12" l="1"/>
  <c r="BQ28" i="10"/>
  <c r="BV30" i="12"/>
  <c r="BV28" i="10"/>
  <c r="BY30" i="12"/>
  <c r="BY28" i="10"/>
  <c r="BX30" i="12"/>
  <c r="BX28" i="10"/>
  <c r="C15" i="6"/>
  <c r="C16" i="6" s="1"/>
  <c r="BM21" i="12"/>
  <c r="BM30" i="10"/>
  <c r="BM9" i="11" s="1"/>
  <c r="T14" i="13"/>
  <c r="T16" i="7"/>
  <c r="W14" i="13"/>
  <c r="W16" i="7"/>
  <c r="E11" i="8"/>
  <c r="E6" i="12" s="1"/>
  <c r="D10" i="8"/>
  <c r="C10" i="8"/>
  <c r="D11" i="8"/>
  <c r="D6" i="12" s="1"/>
  <c r="C11" i="8"/>
  <c r="C6" i="12" s="1"/>
  <c r="P14" i="13"/>
  <c r="P16" i="7"/>
  <c r="CC30" i="12"/>
  <c r="CC28" i="10"/>
  <c r="Z14" i="13"/>
  <c r="Z16" i="7"/>
  <c r="BP21" i="12"/>
  <c r="BP30" i="10"/>
  <c r="BP9" i="11" s="1"/>
  <c r="CA30" i="12"/>
  <c r="CA28" i="10"/>
  <c r="Y14" i="13"/>
  <c r="Y16" i="7"/>
  <c r="E58" i="5"/>
  <c r="E8" i="8" s="1"/>
  <c r="F50" i="5"/>
  <c r="CB30" i="12"/>
  <c r="CB28" i="10"/>
  <c r="C14" i="13"/>
  <c r="C16" i="7"/>
  <c r="C19" i="7" s="1"/>
  <c r="C7" i="6"/>
  <c r="D14" i="13"/>
  <c r="D16" i="7"/>
  <c r="I14" i="13"/>
  <c r="I16" i="7"/>
  <c r="B29" i="1"/>
  <c r="D50" i="1"/>
  <c r="D6" i="14" s="1"/>
  <c r="E6" i="14" s="1"/>
  <c r="V14" i="13"/>
  <c r="V16" i="7"/>
  <c r="BO28" i="10"/>
  <c r="BO30" i="12"/>
  <c r="BK30" i="12"/>
  <c r="BK28" i="10"/>
  <c r="F49" i="5"/>
  <c r="E57" i="5"/>
  <c r="E6" i="8" s="1"/>
  <c r="E10" i="8" s="1"/>
  <c r="BT30" i="12"/>
  <c r="BT28" i="10"/>
  <c r="BZ30" i="12"/>
  <c r="BZ28" i="10"/>
  <c r="R14" i="13"/>
  <c r="R16" i="7"/>
  <c r="X6" i="6"/>
  <c r="O6" i="6"/>
  <c r="N6" i="6"/>
  <c r="F6" i="6"/>
  <c r="BS30" i="12"/>
  <c r="BS28" i="10"/>
  <c r="J14" i="13"/>
  <c r="J16" i="7"/>
  <c r="BN21" i="12"/>
  <c r="BN30" i="10"/>
  <c r="BN9" i="11" s="1"/>
  <c r="M14" i="13"/>
  <c r="M16" i="7"/>
  <c r="L14" i="13"/>
  <c r="L16" i="7"/>
  <c r="CD30" i="12"/>
  <c r="CD28" i="10"/>
  <c r="BR30" i="12"/>
  <c r="BR28" i="10"/>
  <c r="S14" i="13"/>
  <c r="S16" i="7"/>
  <c r="BL30" i="12"/>
  <c r="BL28" i="10"/>
  <c r="Q14" i="13"/>
  <c r="Q16" i="7"/>
  <c r="U6" i="6"/>
  <c r="G6" i="6"/>
  <c r="BJ30" i="12"/>
  <c r="BW30" i="12"/>
  <c r="BW28" i="10"/>
  <c r="BU30" i="12"/>
  <c r="BU28" i="10"/>
  <c r="H14" i="13"/>
  <c r="H16" i="7"/>
  <c r="K6" i="6"/>
  <c r="E6" i="6"/>
  <c r="E5" i="12" l="1"/>
  <c r="E14" i="8"/>
  <c r="E16" i="8" s="1"/>
  <c r="E12" i="8"/>
  <c r="CD21" i="12"/>
  <c r="CD30" i="10"/>
  <c r="CD9" i="11" s="1"/>
  <c r="BZ21" i="12"/>
  <c r="BZ30" i="10"/>
  <c r="BZ9" i="11" s="1"/>
  <c r="BT21" i="12"/>
  <c r="BT30" i="10"/>
  <c r="BT9" i="11" s="1"/>
  <c r="BX30" i="10"/>
  <c r="BX9" i="11" s="1"/>
  <c r="BX21" i="12"/>
  <c r="BY21" i="12"/>
  <c r="BY30" i="10"/>
  <c r="BY9" i="11" s="1"/>
  <c r="BR21" i="12"/>
  <c r="BR30" i="10"/>
  <c r="BR9" i="11" s="1"/>
  <c r="D5" i="12"/>
  <c r="D14" i="8"/>
  <c r="D16" i="8" s="1"/>
  <c r="D12" i="8"/>
  <c r="BW21" i="12"/>
  <c r="BW30" i="10"/>
  <c r="BW9" i="11" s="1"/>
  <c r="CC21" i="12"/>
  <c r="CC30" i="10"/>
  <c r="CC9" i="11" s="1"/>
  <c r="BK21" i="12"/>
  <c r="BK30" i="10"/>
  <c r="BK9" i="11" s="1"/>
  <c r="CA21" i="12"/>
  <c r="CA30" i="10"/>
  <c r="CA9" i="11" s="1"/>
  <c r="BU30" i="10"/>
  <c r="BU9" i="11" s="1"/>
  <c r="BU21" i="12"/>
  <c r="C20" i="7"/>
  <c r="C21" i="7"/>
  <c r="C5" i="12"/>
  <c r="C14" i="8"/>
  <c r="C16" i="8" s="1"/>
  <c r="C12" i="8"/>
  <c r="G49" i="5"/>
  <c r="F57" i="5"/>
  <c r="F6" i="8" s="1"/>
  <c r="F10" i="8" s="1"/>
  <c r="CB21" i="12"/>
  <c r="CB30" i="10"/>
  <c r="CB9" i="11" s="1"/>
  <c r="BV21" i="12"/>
  <c r="BV30" i="10"/>
  <c r="BV9" i="11" s="1"/>
  <c r="X14" i="13"/>
  <c r="X16" i="7"/>
  <c r="BS21" i="12"/>
  <c r="BS30" i="10"/>
  <c r="BS9" i="11" s="1"/>
  <c r="G50" i="5"/>
  <c r="F58" i="5"/>
  <c r="F8" i="8" s="1"/>
  <c r="F11" i="8" s="1"/>
  <c r="F6" i="12" s="1"/>
  <c r="K14" i="13"/>
  <c r="K16" i="7"/>
  <c r="O14" i="13"/>
  <c r="D26" i="13"/>
  <c r="O16" i="7"/>
  <c r="C17" i="6"/>
  <c r="D7" i="6"/>
  <c r="G14" i="13"/>
  <c r="G16" i="7"/>
  <c r="U14" i="13"/>
  <c r="U16" i="7"/>
  <c r="BQ21" i="12"/>
  <c r="BQ30" i="10"/>
  <c r="BQ9" i="11" s="1"/>
  <c r="N14" i="13"/>
  <c r="N16" i="7"/>
  <c r="C26" i="13"/>
  <c r="BL30" i="10"/>
  <c r="BL9" i="11" s="1"/>
  <c r="BL21" i="12"/>
  <c r="BO21" i="12"/>
  <c r="BO30" i="10"/>
  <c r="BO9" i="11" s="1"/>
  <c r="E14" i="13"/>
  <c r="E16" i="7"/>
  <c r="F14" i="13"/>
  <c r="F16" i="7"/>
  <c r="G57" i="5" l="1"/>
  <c r="G6" i="8" s="1"/>
  <c r="G10" i="8" s="1"/>
  <c r="H49" i="5"/>
  <c r="C7" i="12"/>
  <c r="C10" i="9"/>
  <c r="H50" i="5"/>
  <c r="G58" i="5"/>
  <c r="G8" i="8" s="1"/>
  <c r="G11" i="8" s="1"/>
  <c r="G6" i="12" s="1"/>
  <c r="F12" i="8"/>
  <c r="F5" i="12"/>
  <c r="C4" i="13" s="1"/>
  <c r="F14" i="8"/>
  <c r="F16" i="8" s="1"/>
  <c r="F20" i="8"/>
  <c r="D21" i="14" s="1"/>
  <c r="E21" i="14" s="1"/>
  <c r="D7" i="12"/>
  <c r="D10" i="9"/>
  <c r="C11" i="11"/>
  <c r="C19" i="12" s="1"/>
  <c r="C12" i="9"/>
  <c r="C10" i="6"/>
  <c r="C23" i="7"/>
  <c r="C25" i="7"/>
  <c r="D17" i="7" s="1"/>
  <c r="E7" i="12"/>
  <c r="E10" i="9"/>
  <c r="C22" i="7"/>
  <c r="E12" i="9"/>
  <c r="E11" i="11"/>
  <c r="E7" i="6"/>
  <c r="D11" i="11"/>
  <c r="D12" i="9"/>
  <c r="F11" i="11" l="1"/>
  <c r="F12" i="9"/>
  <c r="F7" i="6"/>
  <c r="F7" i="12"/>
  <c r="F10" i="9"/>
  <c r="I50" i="5"/>
  <c r="H58" i="5"/>
  <c r="H8" i="8" s="1"/>
  <c r="H11" i="8" s="1"/>
  <c r="H6" i="12" s="1"/>
  <c r="D19" i="12"/>
  <c r="C12" i="6"/>
  <c r="E19" i="12"/>
  <c r="H57" i="5"/>
  <c r="H6" i="8" s="1"/>
  <c r="H10" i="8" s="1"/>
  <c r="I49" i="5"/>
  <c r="D18" i="7"/>
  <c r="C13" i="9"/>
  <c r="F13" i="9"/>
  <c r="E13" i="9"/>
  <c r="D13" i="9"/>
  <c r="G5" i="12"/>
  <c r="G14" i="8"/>
  <c r="G16" i="8" s="1"/>
  <c r="G12" i="8"/>
  <c r="C24" i="7"/>
  <c r="C11" i="6"/>
  <c r="C15" i="13" s="1"/>
  <c r="G7" i="12" l="1"/>
  <c r="G10" i="9"/>
  <c r="D15" i="6"/>
  <c r="D16" i="6" s="1"/>
  <c r="D19" i="7"/>
  <c r="I57" i="5"/>
  <c r="I6" i="8" s="1"/>
  <c r="I10" i="8" s="1"/>
  <c r="J49" i="5"/>
  <c r="H5" i="12"/>
  <c r="H12" i="8"/>
  <c r="H14" i="8"/>
  <c r="H16" i="8" s="1"/>
  <c r="F19" i="12"/>
  <c r="C13" i="6"/>
  <c r="G11" i="11"/>
  <c r="G12" i="9"/>
  <c r="J50" i="5"/>
  <c r="I58" i="5"/>
  <c r="I8" i="8" s="1"/>
  <c r="I11" i="8" s="1"/>
  <c r="I6" i="12" s="1"/>
  <c r="C5" i="13"/>
  <c r="G7" i="6"/>
  <c r="H11" i="11" l="1"/>
  <c r="H12" i="9"/>
  <c r="H7" i="6"/>
  <c r="H13" i="9"/>
  <c r="G13" i="9"/>
  <c r="H7" i="12"/>
  <c r="H10" i="9"/>
  <c r="K49" i="5"/>
  <c r="J57" i="5"/>
  <c r="J6" i="8" s="1"/>
  <c r="J10" i="8" s="1"/>
  <c r="D21" i="7"/>
  <c r="D22" i="7" s="1"/>
  <c r="D20" i="7"/>
  <c r="K50" i="5"/>
  <c r="J58" i="5"/>
  <c r="J8" i="8" s="1"/>
  <c r="J11" i="8" s="1"/>
  <c r="J6" i="12" s="1"/>
  <c r="D17" i="6"/>
  <c r="G19" i="12"/>
  <c r="D12" i="11"/>
  <c r="D13" i="11" s="1"/>
  <c r="C12" i="11"/>
  <c r="C13" i="11" s="1"/>
  <c r="I5" i="12"/>
  <c r="I12" i="8"/>
  <c r="I14" i="8"/>
  <c r="I16" i="8" s="1"/>
  <c r="D11" i="6" l="1"/>
  <c r="D15" i="13" s="1"/>
  <c r="D24" i="7"/>
  <c r="K58" i="5"/>
  <c r="K8" i="8" s="1"/>
  <c r="K11" i="8" s="1"/>
  <c r="K6" i="12" s="1"/>
  <c r="L50" i="5"/>
  <c r="J5" i="12"/>
  <c r="D4" i="13" s="1"/>
  <c r="J14" i="8"/>
  <c r="J16" i="8" s="1"/>
  <c r="J12" i="8"/>
  <c r="D31" i="12"/>
  <c r="D14" i="11"/>
  <c r="D22" i="12" s="1"/>
  <c r="K57" i="5"/>
  <c r="K6" i="8" s="1"/>
  <c r="K10" i="8" s="1"/>
  <c r="L49" i="5"/>
  <c r="H19" i="12"/>
  <c r="C31" i="12"/>
  <c r="C14" i="11"/>
  <c r="D10" i="6"/>
  <c r="D25" i="7"/>
  <c r="E17" i="7" s="1"/>
  <c r="D23" i="7"/>
  <c r="I7" i="6"/>
  <c r="I11" i="11"/>
  <c r="I12" i="9"/>
  <c r="I7" i="12"/>
  <c r="I10" i="9"/>
  <c r="J7" i="6" l="1"/>
  <c r="E12" i="11"/>
  <c r="E13" i="11" s="1"/>
  <c r="L58" i="5"/>
  <c r="L8" i="8" s="1"/>
  <c r="L11" i="8" s="1"/>
  <c r="L6" i="12" s="1"/>
  <c r="M50" i="5"/>
  <c r="L57" i="5"/>
  <c r="L6" i="8" s="1"/>
  <c r="L10" i="8" s="1"/>
  <c r="M49" i="5"/>
  <c r="J11" i="11"/>
  <c r="J12" i="9"/>
  <c r="K5" i="12"/>
  <c r="K14" i="8"/>
  <c r="K16" i="8" s="1"/>
  <c r="K12" i="8"/>
  <c r="D13" i="6"/>
  <c r="E18" i="7"/>
  <c r="C22" i="12"/>
  <c r="I13" i="9"/>
  <c r="D12" i="6"/>
  <c r="J7" i="12"/>
  <c r="J10" i="9"/>
  <c r="I19" i="12"/>
  <c r="J13" i="9" l="1"/>
  <c r="N49" i="5"/>
  <c r="M57" i="5"/>
  <c r="M6" i="8" s="1"/>
  <c r="M10" i="8" s="1"/>
  <c r="K7" i="6"/>
  <c r="K11" i="11"/>
  <c r="K12" i="9"/>
  <c r="J19" i="12"/>
  <c r="N50" i="5"/>
  <c r="M58" i="5"/>
  <c r="M8" i="8" s="1"/>
  <c r="M11" i="8" s="1"/>
  <c r="M6" i="12" s="1"/>
  <c r="E31" i="12"/>
  <c r="E14" i="11"/>
  <c r="E15" i="6"/>
  <c r="E16" i="6" s="1"/>
  <c r="E19" i="7"/>
  <c r="K7" i="12"/>
  <c r="K10" i="9"/>
  <c r="L5" i="12"/>
  <c r="L12" i="8"/>
  <c r="L14" i="8"/>
  <c r="L16" i="8" s="1"/>
  <c r="F12" i="11"/>
  <c r="F13" i="11" s="1"/>
  <c r="D5" i="13"/>
  <c r="L7" i="12" l="1"/>
  <c r="L10" i="9"/>
  <c r="K19" i="12"/>
  <c r="E21" i="7"/>
  <c r="E20" i="7"/>
  <c r="E17" i="6"/>
  <c r="L7" i="6"/>
  <c r="O49" i="5"/>
  <c r="N57" i="5"/>
  <c r="N6" i="8" s="1"/>
  <c r="N10" i="8" s="1"/>
  <c r="E22" i="12"/>
  <c r="G12" i="11"/>
  <c r="G13" i="11" s="1"/>
  <c r="K13" i="9"/>
  <c r="M5" i="12"/>
  <c r="M12" i="8"/>
  <c r="M14" i="8"/>
  <c r="M16" i="8" s="1"/>
  <c r="F31" i="12"/>
  <c r="F14" i="11"/>
  <c r="F22" i="12" s="1"/>
  <c r="L12" i="9"/>
  <c r="L11" i="11"/>
  <c r="O50" i="5"/>
  <c r="N58" i="5"/>
  <c r="N8" i="8" s="1"/>
  <c r="N11" i="8" s="1"/>
  <c r="N6" i="12" s="1"/>
  <c r="E10" i="6" l="1"/>
  <c r="E25" i="7"/>
  <c r="F17" i="7" s="1"/>
  <c r="E23" i="7"/>
  <c r="L13" i="9"/>
  <c r="N5" i="12"/>
  <c r="E4" i="13" s="1"/>
  <c r="N14" i="8"/>
  <c r="N16" i="8" s="1"/>
  <c r="N12" i="8"/>
  <c r="P49" i="5"/>
  <c r="O57" i="5"/>
  <c r="O6" i="8" s="1"/>
  <c r="O10" i="8" s="1"/>
  <c r="P50" i="5"/>
  <c r="O58" i="5"/>
  <c r="O8" i="8" s="1"/>
  <c r="O11" i="8" s="1"/>
  <c r="O6" i="12" s="1"/>
  <c r="M11" i="11"/>
  <c r="M12" i="9"/>
  <c r="M7" i="12"/>
  <c r="M10" i="9"/>
  <c r="G14" i="11"/>
  <c r="G31" i="12"/>
  <c r="L19" i="12"/>
  <c r="I12" i="11"/>
  <c r="I13" i="11" s="1"/>
  <c r="E22" i="7"/>
  <c r="M7" i="6"/>
  <c r="H12" i="11"/>
  <c r="H13" i="11" s="1"/>
  <c r="O5" i="12" l="1"/>
  <c r="O14" i="8"/>
  <c r="O16" i="8" s="1"/>
  <c r="O12" i="8"/>
  <c r="F18" i="7"/>
  <c r="H14" i="11"/>
  <c r="H22" i="12" s="1"/>
  <c r="H31" i="12"/>
  <c r="M13" i="9"/>
  <c r="P58" i="5"/>
  <c r="P8" i="8" s="1"/>
  <c r="P11" i="8" s="1"/>
  <c r="P6" i="12" s="1"/>
  <c r="Q50" i="5"/>
  <c r="N11" i="11"/>
  <c r="N12" i="9"/>
  <c r="E12" i="6"/>
  <c r="M19" i="12"/>
  <c r="N10" i="9"/>
  <c r="N7" i="12"/>
  <c r="E11" i="6"/>
  <c r="E15" i="13" s="1"/>
  <c r="E24" i="7"/>
  <c r="I31" i="12"/>
  <c r="I14" i="11"/>
  <c r="I22" i="12" s="1"/>
  <c r="P57" i="5"/>
  <c r="P6" i="8" s="1"/>
  <c r="P10" i="8" s="1"/>
  <c r="Q49" i="5"/>
  <c r="G22" i="12"/>
  <c r="N7" i="6"/>
  <c r="N19" i="12" l="1"/>
  <c r="E13" i="6"/>
  <c r="O7" i="12"/>
  <c r="O10" i="9"/>
  <c r="N13" i="9"/>
  <c r="Q57" i="5"/>
  <c r="Q6" i="8" s="1"/>
  <c r="Q10" i="8" s="1"/>
  <c r="R49" i="5"/>
  <c r="R50" i="5"/>
  <c r="Q58" i="5"/>
  <c r="Q8" i="8" s="1"/>
  <c r="Q11" i="8" s="1"/>
  <c r="Q6" i="12" s="1"/>
  <c r="F15" i="6"/>
  <c r="F16" i="6" s="1"/>
  <c r="F19" i="7"/>
  <c r="J12" i="11"/>
  <c r="J13" i="11" s="1"/>
  <c r="O12" i="9"/>
  <c r="O11" i="11"/>
  <c r="E5" i="13"/>
  <c r="O7" i="6"/>
  <c r="P5" i="12"/>
  <c r="P14" i="8"/>
  <c r="P16" i="8" s="1"/>
  <c r="P12" i="8"/>
  <c r="F21" i="7" l="1"/>
  <c r="F22" i="7" s="1"/>
  <c r="F20" i="7"/>
  <c r="Q5" i="12"/>
  <c r="Q12" i="8"/>
  <c r="Q14" i="8"/>
  <c r="Q16" i="8" s="1"/>
  <c r="J31" i="12"/>
  <c r="J14" i="11"/>
  <c r="K12" i="11"/>
  <c r="K13" i="11" s="1"/>
  <c r="S49" i="5"/>
  <c r="R57" i="5"/>
  <c r="R6" i="8" s="1"/>
  <c r="R10" i="8" s="1"/>
  <c r="F17" i="6"/>
  <c r="P7" i="12"/>
  <c r="P10" i="9"/>
  <c r="P11" i="11"/>
  <c r="P12" i="9"/>
  <c r="O19" i="12"/>
  <c r="O13" i="9"/>
  <c r="L12" i="11"/>
  <c r="L13" i="11" s="1"/>
  <c r="P7" i="6"/>
  <c r="R58" i="5"/>
  <c r="R8" i="8" s="1"/>
  <c r="R11" i="8" s="1"/>
  <c r="R6" i="12" s="1"/>
  <c r="S50" i="5"/>
  <c r="F11" i="6" l="1"/>
  <c r="F15" i="13" s="1"/>
  <c r="F24" i="7"/>
  <c r="L31" i="12"/>
  <c r="L14" i="11"/>
  <c r="L22" i="12" s="1"/>
  <c r="Q11" i="11"/>
  <c r="M12" i="11" s="1"/>
  <c r="M13" i="11" s="1"/>
  <c r="Q12" i="9"/>
  <c r="P13" i="9"/>
  <c r="S58" i="5"/>
  <c r="S8" i="8" s="1"/>
  <c r="S11" i="8" s="1"/>
  <c r="S6" i="12" s="1"/>
  <c r="T50" i="5"/>
  <c r="Q7" i="12"/>
  <c r="Q10" i="9"/>
  <c r="P19" i="12"/>
  <c r="R5" i="12"/>
  <c r="F4" i="13" s="1"/>
  <c r="R12" i="8"/>
  <c r="R14" i="8"/>
  <c r="R16" i="8" s="1"/>
  <c r="T49" i="5"/>
  <c r="S57" i="5"/>
  <c r="S6" i="8" s="1"/>
  <c r="S10" i="8" s="1"/>
  <c r="J22" i="12"/>
  <c r="F10" i="6"/>
  <c r="F23" i="7"/>
  <c r="F25" i="7"/>
  <c r="G17" i="7" s="1"/>
  <c r="Q7" i="6"/>
  <c r="K31" i="12"/>
  <c r="K14" i="11"/>
  <c r="K22" i="12" s="1"/>
  <c r="M31" i="12" l="1"/>
  <c r="M14" i="11"/>
  <c r="U49" i="5"/>
  <c r="T57" i="5"/>
  <c r="T6" i="8" s="1"/>
  <c r="T10" i="8" s="1"/>
  <c r="R7" i="12"/>
  <c r="R10" i="9"/>
  <c r="S5" i="12"/>
  <c r="S12" i="8"/>
  <c r="S14" i="8"/>
  <c r="S16" i="8" s="1"/>
  <c r="F13" i="6"/>
  <c r="Q13" i="9"/>
  <c r="U50" i="5"/>
  <c r="T58" i="5"/>
  <c r="T8" i="8" s="1"/>
  <c r="T11" i="8" s="1"/>
  <c r="T6" i="12" s="1"/>
  <c r="R11" i="11"/>
  <c r="R12" i="9"/>
  <c r="Q19" i="12"/>
  <c r="N12" i="11"/>
  <c r="N13" i="11" s="1"/>
  <c r="R7" i="6"/>
  <c r="G18" i="7"/>
  <c r="F12" i="6"/>
  <c r="S7" i="6" l="1"/>
  <c r="N31" i="12"/>
  <c r="N14" i="11"/>
  <c r="N22" i="12" s="1"/>
  <c r="S7" i="12"/>
  <c r="S10" i="9"/>
  <c r="R19" i="12"/>
  <c r="M22" i="12"/>
  <c r="G15" i="6"/>
  <c r="G16" i="6" s="1"/>
  <c r="G19" i="7"/>
  <c r="S11" i="11"/>
  <c r="S12" i="9"/>
  <c r="V50" i="5"/>
  <c r="U58" i="5"/>
  <c r="U8" i="8" s="1"/>
  <c r="U11" i="8" s="1"/>
  <c r="U6" i="12" s="1"/>
  <c r="R13" i="9"/>
  <c r="T5" i="12"/>
  <c r="T14" i="8"/>
  <c r="T16" i="8" s="1"/>
  <c r="T12" i="8"/>
  <c r="V49" i="5"/>
  <c r="U57" i="5"/>
  <c r="U6" i="8" s="1"/>
  <c r="U10" i="8" s="1"/>
  <c r="F5" i="13"/>
  <c r="W49" i="5" l="1"/>
  <c r="V57" i="5"/>
  <c r="V6" i="8" s="1"/>
  <c r="V10" i="8" s="1"/>
  <c r="W50" i="5"/>
  <c r="V58" i="5"/>
  <c r="V8" i="8" s="1"/>
  <c r="V11" i="8" s="1"/>
  <c r="V6" i="12" s="1"/>
  <c r="S13" i="9"/>
  <c r="U5" i="12"/>
  <c r="U14" i="8"/>
  <c r="U16" i="8" s="1"/>
  <c r="U12" i="8"/>
  <c r="T7" i="12"/>
  <c r="T10" i="9"/>
  <c r="G17" i="6"/>
  <c r="T11" i="11"/>
  <c r="T12" i="9"/>
  <c r="S19" i="12"/>
  <c r="O12" i="11"/>
  <c r="O13" i="11" s="1"/>
  <c r="T7" i="6"/>
  <c r="G21" i="7"/>
  <c r="G22" i="7" s="1"/>
  <c r="G20" i="7"/>
  <c r="G11" i="6" l="1"/>
  <c r="G15" i="13" s="1"/>
  <c r="G24" i="7"/>
  <c r="T19" i="12"/>
  <c r="O31" i="12"/>
  <c r="O14" i="11"/>
  <c r="O22" i="12" s="1"/>
  <c r="U11" i="11"/>
  <c r="U12" i="9"/>
  <c r="U7" i="12"/>
  <c r="U10" i="9"/>
  <c r="V12" i="8"/>
  <c r="V5" i="12"/>
  <c r="G4" i="13" s="1"/>
  <c r="V14" i="8"/>
  <c r="V16" i="8" s="1"/>
  <c r="P12" i="11"/>
  <c r="P13" i="11" s="1"/>
  <c r="X49" i="5"/>
  <c r="W57" i="5"/>
  <c r="W6" i="8" s="1"/>
  <c r="W10" i="8" s="1"/>
  <c r="G10" i="6"/>
  <c r="G23" i="7"/>
  <c r="G25" i="7"/>
  <c r="H17" i="7" s="1"/>
  <c r="U7" i="6"/>
  <c r="W58" i="5"/>
  <c r="W8" i="8" s="1"/>
  <c r="W11" i="8" s="1"/>
  <c r="W6" i="12" s="1"/>
  <c r="X50" i="5"/>
  <c r="T13" i="9"/>
  <c r="G12" i="6" l="1"/>
  <c r="V7" i="6"/>
  <c r="H18" i="7"/>
  <c r="Y49" i="5"/>
  <c r="X57" i="5"/>
  <c r="X6" i="8" s="1"/>
  <c r="X10" i="8" s="1"/>
  <c r="P31" i="12"/>
  <c r="P14" i="11"/>
  <c r="P22" i="12" s="1"/>
  <c r="U13" i="9"/>
  <c r="U19" i="12"/>
  <c r="Q12" i="11"/>
  <c r="Q13" i="11" s="1"/>
  <c r="V7" i="12"/>
  <c r="V10" i="9"/>
  <c r="W5" i="12"/>
  <c r="W14" i="8"/>
  <c r="W16" i="8" s="1"/>
  <c r="W12" i="8"/>
  <c r="V11" i="11"/>
  <c r="V12" i="9"/>
  <c r="G13" i="6"/>
  <c r="Y50" i="5"/>
  <c r="X58" i="5"/>
  <c r="X8" i="8" s="1"/>
  <c r="X11" i="8" s="1"/>
  <c r="X6" i="12" s="1"/>
  <c r="W7" i="12" l="1"/>
  <c r="W10" i="9"/>
  <c r="V19" i="12"/>
  <c r="R12" i="11"/>
  <c r="R13" i="11" s="1"/>
  <c r="W11" i="11"/>
  <c r="W12" i="9"/>
  <c r="Q31" i="12"/>
  <c r="Q14" i="11"/>
  <c r="Q22" i="12" s="1"/>
  <c r="H15" i="6"/>
  <c r="H16" i="6" s="1"/>
  <c r="H19" i="7"/>
  <c r="V13" i="9"/>
  <c r="X5" i="12"/>
  <c r="X12" i="8"/>
  <c r="X14" i="8"/>
  <c r="X16" i="8" s="1"/>
  <c r="Z49" i="5"/>
  <c r="Y57" i="5"/>
  <c r="Y6" i="8" s="1"/>
  <c r="Y10" i="8" s="1"/>
  <c r="W7" i="6"/>
  <c r="Y58" i="5"/>
  <c r="Y8" i="8" s="1"/>
  <c r="Y11" i="8" s="1"/>
  <c r="Y6" i="12" s="1"/>
  <c r="Z50" i="5"/>
  <c r="G5" i="13"/>
  <c r="Y12" i="8" l="1"/>
  <c r="Y5" i="12"/>
  <c r="Y14" i="8"/>
  <c r="Y16" i="8" s="1"/>
  <c r="X10" i="9"/>
  <c r="X7" i="12"/>
  <c r="X11" i="11"/>
  <c r="X12" i="9"/>
  <c r="R31" i="12"/>
  <c r="R14" i="11"/>
  <c r="R22" i="12" s="1"/>
  <c r="H21" i="7"/>
  <c r="H20" i="7"/>
  <c r="AA50" i="5"/>
  <c r="Z58" i="5"/>
  <c r="Z8" i="8" s="1"/>
  <c r="Z11" i="8" s="1"/>
  <c r="Z6" i="12" s="1"/>
  <c r="X7" i="6"/>
  <c r="W13" i="9"/>
  <c r="W19" i="12"/>
  <c r="AA49" i="5"/>
  <c r="Z57" i="5"/>
  <c r="Z6" i="8" s="1"/>
  <c r="Z10" i="8" s="1"/>
  <c r="S12" i="11"/>
  <c r="S13" i="11" s="1"/>
  <c r="T12" i="11"/>
  <c r="T13" i="11" s="1"/>
  <c r="H17" i="6"/>
  <c r="H10" i="6" l="1"/>
  <c r="H23" i="7"/>
  <c r="H25" i="7"/>
  <c r="I17" i="7" s="1"/>
  <c r="X13" i="9"/>
  <c r="Z5" i="12"/>
  <c r="H4" i="13" s="1"/>
  <c r="Z12" i="8"/>
  <c r="Z14" i="8"/>
  <c r="Z16" i="8" s="1"/>
  <c r="H22" i="7"/>
  <c r="Y10" i="9"/>
  <c r="Y7" i="12"/>
  <c r="S31" i="12"/>
  <c r="S14" i="11"/>
  <c r="S22" i="12" s="1"/>
  <c r="Y11" i="11"/>
  <c r="Y12" i="9"/>
  <c r="Y7" i="6"/>
  <c r="T31" i="12"/>
  <c r="T14" i="11"/>
  <c r="T22" i="12" s="1"/>
  <c r="AA57" i="5"/>
  <c r="AA6" i="8" s="1"/>
  <c r="AA10" i="8" s="1"/>
  <c r="AB49" i="5"/>
  <c r="X19" i="12"/>
  <c r="AA58" i="5"/>
  <c r="AA8" i="8" s="1"/>
  <c r="AA11" i="8" s="1"/>
  <c r="AA6" i="12" s="1"/>
  <c r="AB50" i="5"/>
  <c r="AB57" i="5" l="1"/>
  <c r="AB6" i="8" s="1"/>
  <c r="AB10" i="8" s="1"/>
  <c r="AC49" i="5"/>
  <c r="H11" i="6"/>
  <c r="H15" i="13" s="1"/>
  <c r="H24" i="7"/>
  <c r="Y19" i="12"/>
  <c r="V12" i="11"/>
  <c r="V13" i="11" s="1"/>
  <c r="U12" i="11"/>
  <c r="U13" i="11" s="1"/>
  <c r="AA5" i="12"/>
  <c r="AA14" i="8"/>
  <c r="AA16" i="8" s="1"/>
  <c r="AA12" i="8"/>
  <c r="Z7" i="12"/>
  <c r="Z10" i="9"/>
  <c r="AB58" i="5"/>
  <c r="AB8" i="8" s="1"/>
  <c r="AB11" i="8" s="1"/>
  <c r="AB6" i="12" s="1"/>
  <c r="AC50" i="5"/>
  <c r="H12" i="6"/>
  <c r="Z11" i="11"/>
  <c r="Z12" i="9"/>
  <c r="Z7" i="6"/>
  <c r="Y13" i="9"/>
  <c r="I18" i="7"/>
  <c r="AA11" i="11" l="1"/>
  <c r="AA12" i="9"/>
  <c r="V31" i="12"/>
  <c r="V14" i="11"/>
  <c r="V22" i="12" s="1"/>
  <c r="Z19" i="12"/>
  <c r="W12" i="11"/>
  <c r="W13" i="11" s="1"/>
  <c r="AA7" i="12"/>
  <c r="AA10" i="9"/>
  <c r="U31" i="12"/>
  <c r="U14" i="11"/>
  <c r="U22" i="12" s="1"/>
  <c r="Z13" i="9"/>
  <c r="AD49" i="5"/>
  <c r="AC57" i="5"/>
  <c r="AC6" i="8" s="1"/>
  <c r="AC10" i="8" s="1"/>
  <c r="I15" i="6"/>
  <c r="I16" i="6" s="1"/>
  <c r="I19" i="7"/>
  <c r="Z22" i="6"/>
  <c r="D8" i="14" s="1"/>
  <c r="E8" i="14" s="1"/>
  <c r="AD50" i="5"/>
  <c r="AC58" i="5"/>
  <c r="AC8" i="8" s="1"/>
  <c r="AC11" i="8" s="1"/>
  <c r="AC6" i="12" s="1"/>
  <c r="H5" i="13"/>
  <c r="H13" i="6"/>
  <c r="AB5" i="12"/>
  <c r="AB14" i="8"/>
  <c r="AB16" i="8" s="1"/>
  <c r="AB12" i="8"/>
  <c r="AC14" i="8" l="1"/>
  <c r="AC16" i="8" s="1"/>
  <c r="AC12" i="8"/>
  <c r="AC5" i="12"/>
  <c r="AE50" i="5"/>
  <c r="AD58" i="5"/>
  <c r="AD8" i="8" s="1"/>
  <c r="AD11" i="8" s="1"/>
  <c r="AD6" i="12" s="1"/>
  <c r="W31" i="12"/>
  <c r="W14" i="11"/>
  <c r="W22" i="12" s="1"/>
  <c r="I21" i="7"/>
  <c r="I22" i="7" s="1"/>
  <c r="I20" i="7"/>
  <c r="I17" i="6"/>
  <c r="AE49" i="5"/>
  <c r="AD57" i="5"/>
  <c r="AD6" i="8" s="1"/>
  <c r="AD10" i="8" s="1"/>
  <c r="AB10" i="9"/>
  <c r="AB7" i="12"/>
  <c r="AA13" i="9"/>
  <c r="AB12" i="9"/>
  <c r="AB11" i="11"/>
  <c r="AA19" i="12"/>
  <c r="X12" i="11"/>
  <c r="X13" i="11" s="1"/>
  <c r="I11" i="6" l="1"/>
  <c r="I15" i="13" s="1"/>
  <c r="I24" i="7"/>
  <c r="X14" i="11"/>
  <c r="X22" i="12" s="1"/>
  <c r="X31" i="12"/>
  <c r="AF50" i="5"/>
  <c r="AE58" i="5"/>
  <c r="AE8" i="8" s="1"/>
  <c r="AE11" i="8" s="1"/>
  <c r="AE6" i="12" s="1"/>
  <c r="AF49" i="5"/>
  <c r="AE57" i="5"/>
  <c r="AE6" i="8" s="1"/>
  <c r="AE10" i="8" s="1"/>
  <c r="AC11" i="11"/>
  <c r="AC12" i="9"/>
  <c r="I10" i="6"/>
  <c r="I23" i="7"/>
  <c r="I25" i="7"/>
  <c r="J17" i="7" s="1"/>
  <c r="AB19" i="12"/>
  <c r="AB13" i="9"/>
  <c r="AD14" i="8"/>
  <c r="AD16" i="8" s="1"/>
  <c r="AD5" i="12"/>
  <c r="I4" i="13" s="1"/>
  <c r="AD12" i="8"/>
  <c r="AC7" i="12"/>
  <c r="AC10" i="9"/>
  <c r="AC13" i="9" l="1"/>
  <c r="AC19" i="12"/>
  <c r="AD7" i="12"/>
  <c r="AD10" i="9"/>
  <c r="AF57" i="5"/>
  <c r="AF6" i="8" s="1"/>
  <c r="AF10" i="8" s="1"/>
  <c r="AG49" i="5"/>
  <c r="AD11" i="11"/>
  <c r="AD12" i="9"/>
  <c r="J18" i="7"/>
  <c r="I13" i="6"/>
  <c r="AE12" i="8"/>
  <c r="AE5" i="12"/>
  <c r="AE14" i="8"/>
  <c r="AE16" i="8" s="1"/>
  <c r="AF58" i="5"/>
  <c r="AF8" i="8" s="1"/>
  <c r="AF11" i="8" s="1"/>
  <c r="AF6" i="12" s="1"/>
  <c r="AG50" i="5"/>
  <c r="Y12" i="11"/>
  <c r="Y13" i="11" s="1"/>
  <c r="I12" i="6"/>
  <c r="AF5" i="12" l="1"/>
  <c r="AF14" i="8"/>
  <c r="AF16" i="8" s="1"/>
  <c r="AF12" i="8"/>
  <c r="AD19" i="12"/>
  <c r="Y14" i="11"/>
  <c r="Y22" i="12" s="1"/>
  <c r="Y31" i="12"/>
  <c r="Z12" i="11"/>
  <c r="Z13" i="11" s="1"/>
  <c r="AE7" i="12"/>
  <c r="AE10" i="9"/>
  <c r="J15" i="6"/>
  <c r="J16" i="6" s="1"/>
  <c r="J19" i="7"/>
  <c r="AD13" i="9"/>
  <c r="AG57" i="5"/>
  <c r="AG6" i="8" s="1"/>
  <c r="AG10" i="8" s="1"/>
  <c r="AH49" i="5"/>
  <c r="AG58" i="5"/>
  <c r="AG8" i="8" s="1"/>
  <c r="AG11" i="8" s="1"/>
  <c r="AG6" i="12" s="1"/>
  <c r="AH50" i="5"/>
  <c r="AE11" i="11"/>
  <c r="AA12" i="11" s="1"/>
  <c r="AA13" i="11" s="1"/>
  <c r="AE12" i="9"/>
  <c r="I5" i="13"/>
  <c r="AA14" i="11" l="1"/>
  <c r="AA22" i="12" s="1"/>
  <c r="AA31" i="12"/>
  <c r="AE13" i="9"/>
  <c r="AH57" i="5"/>
  <c r="AH6" i="8" s="1"/>
  <c r="AH10" i="8" s="1"/>
  <c r="AI49" i="5"/>
  <c r="Z14" i="11"/>
  <c r="Z22" i="12" s="1"/>
  <c r="Z31" i="12"/>
  <c r="AE19" i="12"/>
  <c r="AI50" i="5"/>
  <c r="AH58" i="5"/>
  <c r="AH8" i="8" s="1"/>
  <c r="AH11" i="8" s="1"/>
  <c r="AH6" i="12" s="1"/>
  <c r="AF7" i="12"/>
  <c r="AF10" i="9"/>
  <c r="AF11" i="11"/>
  <c r="AF12" i="9"/>
  <c r="J21" i="7"/>
  <c r="J20" i="7"/>
  <c r="AG12" i="8"/>
  <c r="AG5" i="12"/>
  <c r="AG14" i="8"/>
  <c r="AG16" i="8" s="1"/>
  <c r="J17" i="6"/>
  <c r="AG7" i="12" l="1"/>
  <c r="AG10" i="9"/>
  <c r="J10" i="6"/>
  <c r="J25" i="7"/>
  <c r="K17" i="7" s="1"/>
  <c r="J23" i="7"/>
  <c r="J22" i="7"/>
  <c r="AG12" i="9"/>
  <c r="AG11" i="11"/>
  <c r="AH14" i="8"/>
  <c r="AH16" i="8" s="1"/>
  <c r="AH5" i="12"/>
  <c r="J4" i="13" s="1"/>
  <c r="AH12" i="8"/>
  <c r="AI57" i="5"/>
  <c r="AI6" i="8" s="1"/>
  <c r="AI10" i="8" s="1"/>
  <c r="AJ49" i="5"/>
  <c r="AF13" i="9"/>
  <c r="AF19" i="12"/>
  <c r="AB12" i="11"/>
  <c r="AB13" i="11" s="1"/>
  <c r="AC12" i="11"/>
  <c r="AC13" i="11" s="1"/>
  <c r="AI58" i="5"/>
  <c r="AI8" i="8" s="1"/>
  <c r="AI11" i="8" s="1"/>
  <c r="AI6" i="12" s="1"/>
  <c r="AJ50" i="5"/>
  <c r="AI5" i="12" l="1"/>
  <c r="AI14" i="8"/>
  <c r="AI16" i="8" s="1"/>
  <c r="AI12" i="8"/>
  <c r="AH7" i="12"/>
  <c r="AH10" i="9"/>
  <c r="AJ58" i="5"/>
  <c r="AJ8" i="8" s="1"/>
  <c r="AJ11" i="8" s="1"/>
  <c r="AJ6" i="12" s="1"/>
  <c r="AK50" i="5"/>
  <c r="J11" i="6"/>
  <c r="J15" i="13" s="1"/>
  <c r="J24" i="7"/>
  <c r="AH11" i="11"/>
  <c r="AD12" i="11" s="1"/>
  <c r="AD13" i="11" s="1"/>
  <c r="AH12" i="9"/>
  <c r="AB31" i="12"/>
  <c r="AB14" i="11"/>
  <c r="AB22" i="12" s="1"/>
  <c r="AC31" i="12"/>
  <c r="AC14" i="11"/>
  <c r="AC22" i="12" s="1"/>
  <c r="AG19" i="12"/>
  <c r="K18" i="7"/>
  <c r="AG13" i="9"/>
  <c r="J12" i="6"/>
  <c r="AJ57" i="5"/>
  <c r="AJ6" i="8" s="1"/>
  <c r="AJ10" i="8" s="1"/>
  <c r="AK49" i="5"/>
  <c r="AD31" i="12" l="1"/>
  <c r="AD14" i="11"/>
  <c r="AD22" i="12" s="1"/>
  <c r="AJ5" i="12"/>
  <c r="AJ14" i="8"/>
  <c r="AJ16" i="8" s="1"/>
  <c r="AJ12" i="8"/>
  <c r="AH13" i="9"/>
  <c r="AK58" i="5"/>
  <c r="AK8" i="8" s="1"/>
  <c r="AK11" i="8" s="1"/>
  <c r="AK6" i="12" s="1"/>
  <c r="AL50" i="5"/>
  <c r="K15" i="6"/>
  <c r="K16" i="6" s="1"/>
  <c r="K19" i="7"/>
  <c r="AI7" i="12"/>
  <c r="AI10" i="9"/>
  <c r="AE12" i="11"/>
  <c r="AE13" i="11" s="1"/>
  <c r="J5" i="13"/>
  <c r="AI11" i="11"/>
  <c r="AI12" i="9"/>
  <c r="J13" i="6"/>
  <c r="AH19" i="12"/>
  <c r="AK57" i="5"/>
  <c r="AK6" i="8" s="1"/>
  <c r="AK10" i="8" s="1"/>
  <c r="AL49" i="5"/>
  <c r="AK5" i="12" l="1"/>
  <c r="AK14" i="8"/>
  <c r="AK16" i="8" s="1"/>
  <c r="AK12" i="8"/>
  <c r="K21" i="7"/>
  <c r="K20" i="7"/>
  <c r="AE31" i="12"/>
  <c r="AE14" i="11"/>
  <c r="AE22" i="12" s="1"/>
  <c r="K17" i="6"/>
  <c r="AL58" i="5"/>
  <c r="AL8" i="8" s="1"/>
  <c r="AL11" i="8" s="1"/>
  <c r="AL6" i="12" s="1"/>
  <c r="AM50" i="5"/>
  <c r="AJ11" i="11"/>
  <c r="AJ12" i="9"/>
  <c r="AL57" i="5"/>
  <c r="AL6" i="8" s="1"/>
  <c r="AL10" i="8" s="1"/>
  <c r="AM49" i="5"/>
  <c r="AJ7" i="12"/>
  <c r="AJ10" i="9"/>
  <c r="AI13" i="9"/>
  <c r="AI19" i="12"/>
  <c r="AF12" i="11"/>
  <c r="AF13" i="11" s="1"/>
  <c r="AM58" i="5" l="1"/>
  <c r="AM8" i="8" s="1"/>
  <c r="AM11" i="8" s="1"/>
  <c r="AM6" i="12" s="1"/>
  <c r="AN50" i="5"/>
  <c r="AF31" i="12"/>
  <c r="AF14" i="11"/>
  <c r="AF22" i="12" s="1"/>
  <c r="K10" i="6"/>
  <c r="K23" i="7"/>
  <c r="K25" i="7"/>
  <c r="L17" i="7" s="1"/>
  <c r="AL5" i="12"/>
  <c r="K4" i="13" s="1"/>
  <c r="AL12" i="8"/>
  <c r="AL14" i="8"/>
  <c r="AL16" i="8" s="1"/>
  <c r="K22" i="7"/>
  <c r="AK7" i="12"/>
  <c r="AK10" i="9"/>
  <c r="AM57" i="5"/>
  <c r="AM6" i="8" s="1"/>
  <c r="AM10" i="8" s="1"/>
  <c r="AN49" i="5"/>
  <c r="AK12" i="9"/>
  <c r="AK11" i="11"/>
  <c r="AJ13" i="9"/>
  <c r="AJ19" i="12"/>
  <c r="AG12" i="11"/>
  <c r="AG13" i="11" s="1"/>
  <c r="AG31" i="12" l="1"/>
  <c r="AG14" i="11"/>
  <c r="AG22" i="12" s="1"/>
  <c r="L18" i="7"/>
  <c r="K11" i="6"/>
  <c r="K15" i="13" s="1"/>
  <c r="K24" i="7"/>
  <c r="AL7" i="12"/>
  <c r="AL10" i="9"/>
  <c r="K12" i="6"/>
  <c r="AK19" i="12"/>
  <c r="AH12" i="11"/>
  <c r="AH13" i="11" s="1"/>
  <c r="AK13" i="9"/>
  <c r="AN58" i="5"/>
  <c r="AN8" i="8" s="1"/>
  <c r="AN11" i="8" s="1"/>
  <c r="AN6" i="12" s="1"/>
  <c r="AO50" i="5"/>
  <c r="AL11" i="11"/>
  <c r="AL12" i="9"/>
  <c r="AN57" i="5"/>
  <c r="AN6" i="8" s="1"/>
  <c r="AN10" i="8" s="1"/>
  <c r="AO49" i="5"/>
  <c r="AM5" i="12"/>
  <c r="AM12" i="8"/>
  <c r="AM14" i="8"/>
  <c r="AM16" i="8" s="1"/>
  <c r="AH31" i="12" l="1"/>
  <c r="AH14" i="11"/>
  <c r="AH22" i="12" s="1"/>
  <c r="AM7" i="12"/>
  <c r="AM10" i="9"/>
  <c r="AL13" i="9"/>
  <c r="AM11" i="11"/>
  <c r="AM12" i="9"/>
  <c r="AL19" i="12"/>
  <c r="L15" i="6"/>
  <c r="L16" i="6" s="1"/>
  <c r="L19" i="7"/>
  <c r="AP49" i="5"/>
  <c r="AO57" i="5"/>
  <c r="AO6" i="8" s="1"/>
  <c r="AO10" i="8" s="1"/>
  <c r="K13" i="6"/>
  <c r="AO58" i="5"/>
  <c r="AO8" i="8" s="1"/>
  <c r="AO11" i="8" s="1"/>
  <c r="AO6" i="12" s="1"/>
  <c r="AP50" i="5"/>
  <c r="K5" i="13"/>
  <c r="AN12" i="8"/>
  <c r="AN5" i="12"/>
  <c r="AN14" i="8"/>
  <c r="AN16" i="8" s="1"/>
  <c r="AM19" i="12" l="1"/>
  <c r="AN7" i="12"/>
  <c r="AN10" i="9"/>
  <c r="AQ50" i="5"/>
  <c r="AP58" i="5"/>
  <c r="AP8" i="8" s="1"/>
  <c r="AP11" i="8" s="1"/>
  <c r="AP6" i="12" s="1"/>
  <c r="AN11" i="11"/>
  <c r="AN12" i="9"/>
  <c r="AM13" i="9"/>
  <c r="AO5" i="12"/>
  <c r="AO12" i="8"/>
  <c r="AO14" i="8"/>
  <c r="AO16" i="8" s="1"/>
  <c r="AQ49" i="5"/>
  <c r="AP57" i="5"/>
  <c r="AP6" i="8" s="1"/>
  <c r="AP10" i="8" s="1"/>
  <c r="L21" i="7"/>
  <c r="L20" i="7"/>
  <c r="L17" i="6"/>
  <c r="AI12" i="11"/>
  <c r="AI13" i="11" s="1"/>
  <c r="AN13" i="9" l="1"/>
  <c r="L10" i="6"/>
  <c r="L25" i="7"/>
  <c r="M17" i="7" s="1"/>
  <c r="L23" i="7"/>
  <c r="AN19" i="12"/>
  <c r="L22" i="7"/>
  <c r="AP5" i="12"/>
  <c r="L4" i="13" s="1"/>
  <c r="AP14" i="8"/>
  <c r="AP16" i="8" s="1"/>
  <c r="AP12" i="8"/>
  <c r="AQ57" i="5"/>
  <c r="AQ6" i="8" s="1"/>
  <c r="AQ10" i="8" s="1"/>
  <c r="AR49" i="5"/>
  <c r="AO7" i="12"/>
  <c r="AO10" i="9"/>
  <c r="AI31" i="12"/>
  <c r="AI14" i="11"/>
  <c r="AI22" i="12" s="1"/>
  <c r="AQ58" i="5"/>
  <c r="AQ8" i="8" s="1"/>
  <c r="AQ11" i="8" s="1"/>
  <c r="AQ6" i="12" s="1"/>
  <c r="AR50" i="5"/>
  <c r="AO12" i="9"/>
  <c r="AO11" i="11"/>
  <c r="AJ12" i="11"/>
  <c r="AJ13" i="11" s="1"/>
  <c r="AJ31" i="12" l="1"/>
  <c r="AJ14" i="11"/>
  <c r="AJ22" i="12" s="1"/>
  <c r="AP7" i="12"/>
  <c r="AP10" i="9"/>
  <c r="AP11" i="11"/>
  <c r="AP12" i="9"/>
  <c r="AK12" i="11"/>
  <c r="AK13" i="11" s="1"/>
  <c r="M18" i="7"/>
  <c r="AO13" i="9"/>
  <c r="L12" i="6"/>
  <c r="AO19" i="12"/>
  <c r="AR58" i="5"/>
  <c r="AR8" i="8" s="1"/>
  <c r="AR11" i="8" s="1"/>
  <c r="AR6" i="12" s="1"/>
  <c r="AS50" i="5"/>
  <c r="L11" i="6"/>
  <c r="L15" i="13" s="1"/>
  <c r="L24" i="7"/>
  <c r="L5" i="13"/>
  <c r="AS49" i="5"/>
  <c r="AR57" i="5"/>
  <c r="AR6" i="8" s="1"/>
  <c r="AR10" i="8" s="1"/>
  <c r="AQ5" i="12"/>
  <c r="AQ14" i="8"/>
  <c r="AQ16" i="8" s="1"/>
  <c r="AQ12" i="8"/>
  <c r="AQ11" i="11" l="1"/>
  <c r="AQ12" i="9"/>
  <c r="AT49" i="5"/>
  <c r="AS57" i="5"/>
  <c r="AS6" i="8" s="1"/>
  <c r="AS10" i="8" s="1"/>
  <c r="L13" i="6"/>
  <c r="AR5" i="12"/>
  <c r="AR12" i="8"/>
  <c r="AR14" i="8"/>
  <c r="AR16" i="8" s="1"/>
  <c r="M15" i="6"/>
  <c r="M16" i="6" s="1"/>
  <c r="M19" i="7"/>
  <c r="AK31" i="12"/>
  <c r="AK14" i="11"/>
  <c r="AK22" i="12" s="1"/>
  <c r="AP19" i="12"/>
  <c r="AL12" i="11"/>
  <c r="AL13" i="11" s="1"/>
  <c r="AP13" i="9"/>
  <c r="AT50" i="5"/>
  <c r="AS58" i="5"/>
  <c r="AS8" i="8" s="1"/>
  <c r="AS11" i="8" s="1"/>
  <c r="AS6" i="12" s="1"/>
  <c r="AQ10" i="9"/>
  <c r="AQ7" i="12"/>
  <c r="AM12" i="11"/>
  <c r="AM13" i="11" s="1"/>
  <c r="AR10" i="9" l="1"/>
  <c r="AR7" i="12"/>
  <c r="AR11" i="11"/>
  <c r="AR12" i="9"/>
  <c r="AU50" i="5"/>
  <c r="AT58" i="5"/>
  <c r="AT8" i="8" s="1"/>
  <c r="AT11" i="8" s="1"/>
  <c r="AT6" i="12" s="1"/>
  <c r="AM14" i="11"/>
  <c r="AM22" i="12" s="1"/>
  <c r="AM31" i="12"/>
  <c r="M21" i="7"/>
  <c r="M20" i="7"/>
  <c r="M17" i="6"/>
  <c r="AS5" i="12"/>
  <c r="AS12" i="8"/>
  <c r="AS14" i="8"/>
  <c r="AS16" i="8" s="1"/>
  <c r="AU49" i="5"/>
  <c r="AT57" i="5"/>
  <c r="AT6" i="8" s="1"/>
  <c r="AT10" i="8" s="1"/>
  <c r="AQ13" i="9"/>
  <c r="AQ19" i="12"/>
  <c r="AL31" i="12"/>
  <c r="AL14" i="11"/>
  <c r="AL22" i="12" s="1"/>
  <c r="AR13" i="9" l="1"/>
  <c r="M10" i="6"/>
  <c r="M23" i="7"/>
  <c r="M25" i="7"/>
  <c r="N17" i="7" s="1"/>
  <c r="AV50" i="5"/>
  <c r="AU58" i="5"/>
  <c r="AU8" i="8" s="1"/>
  <c r="AU11" i="8" s="1"/>
  <c r="AU6" i="12" s="1"/>
  <c r="AR19" i="12"/>
  <c r="AO12" i="11"/>
  <c r="AO13" i="11" s="1"/>
  <c r="AN12" i="11"/>
  <c r="AN13" i="11" s="1"/>
  <c r="M22" i="7"/>
  <c r="AV49" i="5"/>
  <c r="AU57" i="5"/>
  <c r="AU6" i="8" s="1"/>
  <c r="AU10" i="8" s="1"/>
  <c r="AS7" i="12"/>
  <c r="AS10" i="9"/>
  <c r="AT5" i="12"/>
  <c r="M4" i="13" s="1"/>
  <c r="AT14" i="8"/>
  <c r="AT16" i="8" s="1"/>
  <c r="AT12" i="8"/>
  <c r="AS11" i="11"/>
  <c r="AS12" i="9"/>
  <c r="AN14" i="11" l="1"/>
  <c r="AN22" i="12" s="1"/>
  <c r="AN31" i="12"/>
  <c r="AS13" i="9"/>
  <c r="AO31" i="12"/>
  <c r="AO14" i="11"/>
  <c r="AO22" i="12" s="1"/>
  <c r="AT7" i="12"/>
  <c r="AT10" i="9"/>
  <c r="AV58" i="5"/>
  <c r="AV8" i="8" s="1"/>
  <c r="AV11" i="8" s="1"/>
  <c r="AV6" i="12" s="1"/>
  <c r="AW50" i="5"/>
  <c r="N18" i="7"/>
  <c r="AV57" i="5"/>
  <c r="AV6" i="8" s="1"/>
  <c r="AV10" i="8" s="1"/>
  <c r="AW49" i="5"/>
  <c r="M12" i="6"/>
  <c r="AS19" i="12"/>
  <c r="AT11" i="11"/>
  <c r="AP12" i="11" s="1"/>
  <c r="AP13" i="11" s="1"/>
  <c r="AT12" i="9"/>
  <c r="AT13" i="9" s="1"/>
  <c r="AU5" i="12"/>
  <c r="AU14" i="8"/>
  <c r="AU16" i="8" s="1"/>
  <c r="AU12" i="8"/>
  <c r="M11" i="6"/>
  <c r="M15" i="13" s="1"/>
  <c r="M24" i="7"/>
  <c r="AP31" i="12" l="1"/>
  <c r="AP14" i="11"/>
  <c r="AP22" i="12" s="1"/>
  <c r="M5" i="13"/>
  <c r="AU7" i="12"/>
  <c r="AU10" i="9"/>
  <c r="AU11" i="11"/>
  <c r="AU12" i="9"/>
  <c r="AW58" i="5"/>
  <c r="AW8" i="8" s="1"/>
  <c r="AW11" i="8" s="1"/>
  <c r="AW6" i="12" s="1"/>
  <c r="AX50" i="5"/>
  <c r="AT19" i="12"/>
  <c r="AQ12" i="11"/>
  <c r="AQ13" i="11" s="1"/>
  <c r="M13" i="6"/>
  <c r="AV5" i="12"/>
  <c r="AV14" i="8"/>
  <c r="AV16" i="8" s="1"/>
  <c r="AV12" i="8"/>
  <c r="N15" i="6"/>
  <c r="N16" i="6" s="1"/>
  <c r="N19" i="7"/>
  <c r="C27" i="13"/>
  <c r="AX49" i="5"/>
  <c r="AW57" i="5"/>
  <c r="AW6" i="8" s="1"/>
  <c r="AW10" i="8" s="1"/>
  <c r="AQ31" i="12" l="1"/>
  <c r="AQ14" i="11"/>
  <c r="AQ22" i="12" s="1"/>
  <c r="AW12" i="8"/>
  <c r="AW14" i="8"/>
  <c r="AW16" i="8" s="1"/>
  <c r="AW5" i="12"/>
  <c r="N17" i="6"/>
  <c r="C30" i="13" s="1"/>
  <c r="AY49" i="5"/>
  <c r="AX57" i="5"/>
  <c r="AX6" i="8" s="1"/>
  <c r="AX10" i="8" s="1"/>
  <c r="AU19" i="12"/>
  <c r="AX58" i="5"/>
  <c r="AX8" i="8" s="1"/>
  <c r="AX11" i="8" s="1"/>
  <c r="AX6" i="12" s="1"/>
  <c r="AY50" i="5"/>
  <c r="N21" i="7"/>
  <c r="N20" i="7"/>
  <c r="AU13" i="9"/>
  <c r="AV7" i="12"/>
  <c r="AV10" i="9"/>
  <c r="AV12" i="9"/>
  <c r="AV11" i="11"/>
  <c r="AR12" i="11"/>
  <c r="AR13" i="11" s="1"/>
  <c r="AY58" i="5" l="1"/>
  <c r="AY8" i="8" s="1"/>
  <c r="AY11" i="8" s="1"/>
  <c r="AY6" i="12" s="1"/>
  <c r="AZ50" i="5"/>
  <c r="AR31" i="12"/>
  <c r="AR14" i="11"/>
  <c r="AR22" i="12" s="1"/>
  <c r="AV19" i="12"/>
  <c r="N10" i="6"/>
  <c r="C28" i="13"/>
  <c r="N23" i="7"/>
  <c r="N25" i="7"/>
  <c r="AY57" i="5"/>
  <c r="AY6" i="8" s="1"/>
  <c r="AY10" i="8" s="1"/>
  <c r="AZ49" i="5"/>
  <c r="AV13" i="9"/>
  <c r="AX5" i="12"/>
  <c r="AX14" i="8"/>
  <c r="AX16" i="8" s="1"/>
  <c r="AX12" i="8"/>
  <c r="N4" i="13"/>
  <c r="AW11" i="11"/>
  <c r="AW12" i="9"/>
  <c r="AW13" i="9" s="1"/>
  <c r="AW7" i="12"/>
  <c r="AW10" i="9"/>
  <c r="N22" i="7"/>
  <c r="N11" i="6" l="1"/>
  <c r="N15" i="13" s="1"/>
  <c r="C29" i="13"/>
  <c r="N24" i="7"/>
  <c r="AW19" i="12"/>
  <c r="N12" i="6"/>
  <c r="AX10" i="9"/>
  <c r="AX7" i="12"/>
  <c r="N5" i="13" s="1"/>
  <c r="AX11" i="11"/>
  <c r="AX12" i="9"/>
  <c r="AX13" i="9" s="1"/>
  <c r="AY5" i="12"/>
  <c r="AY12" i="8"/>
  <c r="AY14" i="8"/>
  <c r="AY16" i="8" s="1"/>
  <c r="AZ57" i="5"/>
  <c r="AZ6" i="8" s="1"/>
  <c r="AZ10" i="8" s="1"/>
  <c r="BA49" i="5"/>
  <c r="C31" i="13"/>
  <c r="O17" i="7"/>
  <c r="AS12" i="11"/>
  <c r="AS13" i="11" s="1"/>
  <c r="AZ58" i="5"/>
  <c r="AZ8" i="8" s="1"/>
  <c r="AZ11" i="8" s="1"/>
  <c r="AZ6" i="12" s="1"/>
  <c r="BA50" i="5"/>
  <c r="O18" i="7" l="1"/>
  <c r="AX19" i="12"/>
  <c r="BA58" i="5"/>
  <c r="BA8" i="8" s="1"/>
  <c r="BA11" i="8" s="1"/>
  <c r="BA6" i="12" s="1"/>
  <c r="BB50" i="5"/>
  <c r="AS31" i="12"/>
  <c r="AS14" i="11"/>
  <c r="AS22" i="12" s="1"/>
  <c r="BA57" i="5"/>
  <c r="BA6" i="8" s="1"/>
  <c r="BA10" i="8" s="1"/>
  <c r="BB49" i="5"/>
  <c r="AY12" i="9"/>
  <c r="AY13" i="9" s="1"/>
  <c r="AY11" i="11"/>
  <c r="AT12" i="11"/>
  <c r="AT13" i="11" s="1"/>
  <c r="N13" i="6"/>
  <c r="AY7" i="12"/>
  <c r="AY10" i="9"/>
  <c r="AZ5" i="12"/>
  <c r="AZ14" i="8"/>
  <c r="AZ16" i="8" s="1"/>
  <c r="AZ12" i="8"/>
  <c r="AT31" i="12" l="1"/>
  <c r="AT14" i="11"/>
  <c r="AT22" i="12" s="1"/>
  <c r="AY19" i="12"/>
  <c r="BB57" i="5"/>
  <c r="BB6" i="8" s="1"/>
  <c r="BB10" i="8" s="1"/>
  <c r="BC49" i="5"/>
  <c r="AU12" i="11"/>
  <c r="AU13" i="11" s="1"/>
  <c r="AZ7" i="12"/>
  <c r="AZ10" i="9"/>
  <c r="BA5" i="12"/>
  <c r="BA14" i="8"/>
  <c r="BA16" i="8" s="1"/>
  <c r="BA12" i="8"/>
  <c r="AZ11" i="11"/>
  <c r="AV12" i="11" s="1"/>
  <c r="AV13" i="11" s="1"/>
  <c r="AZ12" i="9"/>
  <c r="AZ13" i="9" s="1"/>
  <c r="BB58" i="5"/>
  <c r="BB8" i="8" s="1"/>
  <c r="BB11" i="8" s="1"/>
  <c r="BB6" i="12" s="1"/>
  <c r="BC50" i="5"/>
  <c r="O15" i="6"/>
  <c r="O16" i="6" s="1"/>
  <c r="O19" i="7"/>
  <c r="AV31" i="12" l="1"/>
  <c r="AV14" i="11"/>
  <c r="AV22" i="12" s="1"/>
  <c r="BA7" i="12"/>
  <c r="BA10" i="9"/>
  <c r="BC57" i="5"/>
  <c r="BC6" i="8" s="1"/>
  <c r="BC10" i="8" s="1"/>
  <c r="BD49" i="5"/>
  <c r="AU31" i="12"/>
  <c r="AU14" i="11"/>
  <c r="AU22" i="12" s="1"/>
  <c r="AZ19" i="12"/>
  <c r="BA11" i="11"/>
  <c r="AW12" i="11" s="1"/>
  <c r="AW13" i="11" s="1"/>
  <c r="BA12" i="9"/>
  <c r="BA13" i="9" s="1"/>
  <c r="O21" i="7"/>
  <c r="O20" i="7"/>
  <c r="O17" i="6"/>
  <c r="BB5" i="12"/>
  <c r="O4" i="13" s="1"/>
  <c r="BB12" i="8"/>
  <c r="BB14" i="8"/>
  <c r="BB16" i="8" s="1"/>
  <c r="BC58" i="5"/>
  <c r="BC8" i="8" s="1"/>
  <c r="BC11" i="8" s="1"/>
  <c r="BC6" i="12" s="1"/>
  <c r="BD50" i="5"/>
  <c r="AW31" i="12" l="1"/>
  <c r="AW14" i="11"/>
  <c r="AW22" i="12" s="1"/>
  <c r="BB10" i="9"/>
  <c r="BB7" i="12"/>
  <c r="BD57" i="5"/>
  <c r="BD6" i="8" s="1"/>
  <c r="BD10" i="8" s="1"/>
  <c r="BE49" i="5"/>
  <c r="BD58" i="5"/>
  <c r="BD8" i="8" s="1"/>
  <c r="BD11" i="8" s="1"/>
  <c r="BD6" i="12" s="1"/>
  <c r="BE50" i="5"/>
  <c r="BB11" i="11"/>
  <c r="AX12" i="11" s="1"/>
  <c r="AX13" i="11" s="1"/>
  <c r="BB12" i="9"/>
  <c r="BB13" i="9" s="1"/>
  <c r="BA19" i="12"/>
  <c r="BC5" i="12"/>
  <c r="BC14" i="8"/>
  <c r="BC16" i="8" s="1"/>
  <c r="BC12" i="8"/>
  <c r="O10" i="6"/>
  <c r="O23" i="7"/>
  <c r="O25" i="7"/>
  <c r="P17" i="7" s="1"/>
  <c r="O22" i="7"/>
  <c r="AX31" i="12" l="1"/>
  <c r="AX14" i="11"/>
  <c r="AX22" i="12" s="1"/>
  <c r="BE58" i="5"/>
  <c r="BE8" i="8" s="1"/>
  <c r="BE11" i="8" s="1"/>
  <c r="BE6" i="12" s="1"/>
  <c r="BF50" i="5"/>
  <c r="BD5" i="12"/>
  <c r="BD14" i="8"/>
  <c r="BD16" i="8" s="1"/>
  <c r="BD12" i="8"/>
  <c r="O5" i="13"/>
  <c r="P18" i="7"/>
  <c r="BE57" i="5"/>
  <c r="BE6" i="8" s="1"/>
  <c r="BE10" i="8" s="1"/>
  <c r="BF49" i="5"/>
  <c r="BC7" i="12"/>
  <c r="BC10" i="9"/>
  <c r="O11" i="6"/>
  <c r="O15" i="13" s="1"/>
  <c r="O24" i="7"/>
  <c r="BB19" i="12"/>
  <c r="O12" i="6"/>
  <c r="BC11" i="11"/>
  <c r="BC12" i="9"/>
  <c r="BC13" i="9" s="1"/>
  <c r="BG49" i="5" l="1"/>
  <c r="BF57" i="5"/>
  <c r="BF6" i="8" s="1"/>
  <c r="BF10" i="8" s="1"/>
  <c r="P15" i="6"/>
  <c r="P16" i="6" s="1"/>
  <c r="P19" i="7"/>
  <c r="BC19" i="12"/>
  <c r="AY12" i="11"/>
  <c r="AY13" i="11" s="1"/>
  <c r="BE5" i="12"/>
  <c r="BE14" i="8"/>
  <c r="BE16" i="8" s="1"/>
  <c r="BE12" i="8"/>
  <c r="BD11" i="11"/>
  <c r="BD12" i="9"/>
  <c r="BD13" i="9" s="1"/>
  <c r="BD7" i="12"/>
  <c r="BD10" i="9"/>
  <c r="O13" i="6"/>
  <c r="BG50" i="5"/>
  <c r="BF58" i="5"/>
  <c r="BF8" i="8" s="1"/>
  <c r="BF11" i="8" s="1"/>
  <c r="BF6" i="12" s="1"/>
  <c r="BD19" i="12" l="1"/>
  <c r="AY31" i="12"/>
  <c r="AY14" i="11"/>
  <c r="AY22" i="12" s="1"/>
  <c r="BE11" i="11"/>
  <c r="BE12" i="9"/>
  <c r="BE13" i="9" s="1"/>
  <c r="BF5" i="12"/>
  <c r="P4" i="13" s="1"/>
  <c r="BF12" i="8"/>
  <c r="BF14" i="8"/>
  <c r="BF16" i="8" s="1"/>
  <c r="BE7" i="12"/>
  <c r="BE10" i="9"/>
  <c r="AZ12" i="11"/>
  <c r="AZ13" i="11" s="1"/>
  <c r="P21" i="7"/>
  <c r="P22" i="7" s="1"/>
  <c r="P20" i="7"/>
  <c r="BG58" i="5"/>
  <c r="BG8" i="8" s="1"/>
  <c r="BG11" i="8" s="1"/>
  <c r="BG6" i="12" s="1"/>
  <c r="BH50" i="5"/>
  <c r="P17" i="6"/>
  <c r="BG57" i="5"/>
  <c r="BG6" i="8" s="1"/>
  <c r="BG10" i="8" s="1"/>
  <c r="BH49" i="5"/>
  <c r="P11" i="6" l="1"/>
  <c r="P15" i="13" s="1"/>
  <c r="P24" i="7"/>
  <c r="AZ31" i="12"/>
  <c r="AZ14" i="11"/>
  <c r="AZ22" i="12" s="1"/>
  <c r="BF11" i="11"/>
  <c r="BF12" i="9"/>
  <c r="BF13" i="9" s="1"/>
  <c r="BA12" i="11"/>
  <c r="BA13" i="11" s="1"/>
  <c r="BG5" i="12"/>
  <c r="BG12" i="8"/>
  <c r="BG14" i="8"/>
  <c r="BG16" i="8" s="1"/>
  <c r="BB12" i="11"/>
  <c r="BB13" i="11" s="1"/>
  <c r="BH58" i="5"/>
  <c r="BH8" i="8" s="1"/>
  <c r="BH11" i="8" s="1"/>
  <c r="BH6" i="12" s="1"/>
  <c r="BI50" i="5"/>
  <c r="P10" i="6"/>
  <c r="P25" i="7"/>
  <c r="Q17" i="7" s="1"/>
  <c r="P23" i="7"/>
  <c r="BH57" i="5"/>
  <c r="BH6" i="8" s="1"/>
  <c r="BH10" i="8" s="1"/>
  <c r="BI49" i="5"/>
  <c r="BF7" i="12"/>
  <c r="BF10" i="9"/>
  <c r="BE19" i="12"/>
  <c r="BG11" i="11" l="1"/>
  <c r="BG12" i="9"/>
  <c r="BG13" i="9" s="1"/>
  <c r="BA31" i="12"/>
  <c r="BA14" i="11"/>
  <c r="BA22" i="12" s="1"/>
  <c r="BJ49" i="5"/>
  <c r="BI57" i="5"/>
  <c r="BI6" i="8" s="1"/>
  <c r="BI10" i="8" s="1"/>
  <c r="BG7" i="12"/>
  <c r="BG10" i="9"/>
  <c r="BF19" i="12"/>
  <c r="BB14" i="11"/>
  <c r="BB22" i="12" s="1"/>
  <c r="BB31" i="12"/>
  <c r="P5" i="13"/>
  <c r="BJ50" i="5"/>
  <c r="BI58" i="5"/>
  <c r="BI8" i="8" s="1"/>
  <c r="BI11" i="8" s="1"/>
  <c r="BI6" i="12" s="1"/>
  <c r="BH5" i="12"/>
  <c r="BH14" i="8"/>
  <c r="BH16" i="8" s="1"/>
  <c r="BH12" i="8"/>
  <c r="P12" i="6"/>
  <c r="BC12" i="11"/>
  <c r="BC13" i="11" s="1"/>
  <c r="Q18" i="7"/>
  <c r="P13" i="6"/>
  <c r="BI5" i="12" l="1"/>
  <c r="BI14" i="8"/>
  <c r="BI16" i="8" s="1"/>
  <c r="BI12" i="8"/>
  <c r="BC31" i="12"/>
  <c r="BC14" i="11"/>
  <c r="BC22" i="12" s="1"/>
  <c r="BK50" i="5"/>
  <c r="BJ58" i="5"/>
  <c r="BJ8" i="8" s="1"/>
  <c r="BJ11" i="8" s="1"/>
  <c r="BJ6" i="12" s="1"/>
  <c r="Q15" i="6"/>
  <c r="Q16" i="6" s="1"/>
  <c r="Q19" i="7"/>
  <c r="BH10" i="9"/>
  <c r="BH7" i="12"/>
  <c r="BH12" i="9"/>
  <c r="BH13" i="9" s="1"/>
  <c r="BH11" i="11"/>
  <c r="BK49" i="5"/>
  <c r="BJ57" i="5"/>
  <c r="BJ6" i="8" s="1"/>
  <c r="BJ10" i="8" s="1"/>
  <c r="BG19" i="12"/>
  <c r="BD12" i="11"/>
  <c r="BD13" i="11" s="1"/>
  <c r="BD31" i="12" l="1"/>
  <c r="BD14" i="11"/>
  <c r="BD22" i="12" s="1"/>
  <c r="Q21" i="7"/>
  <c r="Q20" i="7"/>
  <c r="Q17" i="6"/>
  <c r="BL50" i="5"/>
  <c r="BK58" i="5"/>
  <c r="BK8" i="8" s="1"/>
  <c r="BK11" i="8" s="1"/>
  <c r="BK6" i="12" s="1"/>
  <c r="BJ5" i="12"/>
  <c r="Q4" i="13" s="1"/>
  <c r="BJ14" i="8"/>
  <c r="BJ16" i="8" s="1"/>
  <c r="BJ12" i="8"/>
  <c r="BL49" i="5"/>
  <c r="BK57" i="5"/>
  <c r="BK6" i="8" s="1"/>
  <c r="BK10" i="8" s="1"/>
  <c r="BI7" i="12"/>
  <c r="BI10" i="9"/>
  <c r="BH19" i="12"/>
  <c r="BI12" i="9"/>
  <c r="BI13" i="9" s="1"/>
  <c r="BI11" i="11"/>
  <c r="BJ11" i="11" l="1"/>
  <c r="BJ12" i="9"/>
  <c r="BJ13" i="9" s="1"/>
  <c r="BL58" i="5"/>
  <c r="BL8" i="8" s="1"/>
  <c r="BL11" i="8" s="1"/>
  <c r="BL6" i="12" s="1"/>
  <c r="BM50" i="5"/>
  <c r="BJ7" i="12"/>
  <c r="BJ10" i="9"/>
  <c r="BK5" i="12"/>
  <c r="BK12" i="8"/>
  <c r="BK14" i="8"/>
  <c r="BK16" i="8" s="1"/>
  <c r="BI19" i="12"/>
  <c r="BF12" i="11"/>
  <c r="BF13" i="11" s="1"/>
  <c r="BE12" i="11"/>
  <c r="BE13" i="11" s="1"/>
  <c r="Q10" i="6"/>
  <c r="Q23" i="7"/>
  <c r="Q25" i="7"/>
  <c r="R17" i="7" s="1"/>
  <c r="Q22" i="7"/>
  <c r="BL57" i="5"/>
  <c r="BL6" i="8" s="1"/>
  <c r="BL10" i="8" s="1"/>
  <c r="BM49" i="5"/>
  <c r="BF14" i="11" l="1"/>
  <c r="BF22" i="12" s="1"/>
  <c r="BF31" i="12"/>
  <c r="BM57" i="5"/>
  <c r="BM6" i="8" s="1"/>
  <c r="BM10" i="8" s="1"/>
  <c r="BN49" i="5"/>
  <c r="BK11" i="11"/>
  <c r="BK12" i="9"/>
  <c r="BK13" i="9" s="1"/>
  <c r="BK7" i="12"/>
  <c r="BK10" i="9"/>
  <c r="Q11" i="6"/>
  <c r="Q15" i="13" s="1"/>
  <c r="Q24" i="7"/>
  <c r="Q12" i="6"/>
  <c r="BM58" i="5"/>
  <c r="BM8" i="8" s="1"/>
  <c r="BM11" i="8" s="1"/>
  <c r="BM6" i="12" s="1"/>
  <c r="BN50" i="5"/>
  <c r="BE31" i="12"/>
  <c r="BE14" i="11"/>
  <c r="BE22" i="12" s="1"/>
  <c r="BL5" i="12"/>
  <c r="BL14" i="8"/>
  <c r="BL16" i="8" s="1"/>
  <c r="BL12" i="8"/>
  <c r="R18" i="7"/>
  <c r="Q5" i="13"/>
  <c r="BJ19" i="12"/>
  <c r="BK19" i="12" l="1"/>
  <c r="BG12" i="11"/>
  <c r="BG13" i="11" s="1"/>
  <c r="BN57" i="5"/>
  <c r="BN6" i="8" s="1"/>
  <c r="BN10" i="8" s="1"/>
  <c r="BO49" i="5"/>
  <c r="BL7" i="12"/>
  <c r="BL10" i="9"/>
  <c r="BL12" i="9"/>
  <c r="BL13" i="9" s="1"/>
  <c r="BL11" i="11"/>
  <c r="Q13" i="6"/>
  <c r="R15" i="6"/>
  <c r="R16" i="6" s="1"/>
  <c r="R19" i="7"/>
  <c r="BM5" i="12"/>
  <c r="BM12" i="8"/>
  <c r="BM14" i="8"/>
  <c r="BM16" i="8" s="1"/>
  <c r="BO50" i="5"/>
  <c r="BN58" i="5"/>
  <c r="BN8" i="8" s="1"/>
  <c r="BN11" i="8" s="1"/>
  <c r="BN6" i="12" s="1"/>
  <c r="BL19" i="12" l="1"/>
  <c r="BN5" i="12"/>
  <c r="BN12" i="8"/>
  <c r="BN14" i="8"/>
  <c r="BN16" i="8" s="1"/>
  <c r="BG31" i="12"/>
  <c r="BG14" i="11"/>
  <c r="BG22" i="12" s="1"/>
  <c r="BH12" i="11"/>
  <c r="BH13" i="11" s="1"/>
  <c r="BO57" i="5"/>
  <c r="BO6" i="8" s="1"/>
  <c r="BO10" i="8" s="1"/>
  <c r="BP49" i="5"/>
  <c r="BM7" i="12"/>
  <c r="BM10" i="9"/>
  <c r="R21" i="7"/>
  <c r="R20" i="7"/>
  <c r="BO58" i="5"/>
  <c r="BO8" i="8" s="1"/>
  <c r="BO11" i="8" s="1"/>
  <c r="BO6" i="12" s="1"/>
  <c r="BP50" i="5"/>
  <c r="BM12" i="9"/>
  <c r="BM13" i="9" s="1"/>
  <c r="BM11" i="11"/>
  <c r="BI12" i="11" s="1"/>
  <c r="BI13" i="11" s="1"/>
  <c r="R4" i="13"/>
  <c r="R17" i="6"/>
  <c r="BI31" i="12" l="1"/>
  <c r="BI14" i="11"/>
  <c r="BI22" i="12" s="1"/>
  <c r="BP57" i="5"/>
  <c r="BP6" i="8" s="1"/>
  <c r="BP10" i="8" s="1"/>
  <c r="BQ49" i="5"/>
  <c r="BO5" i="12"/>
  <c r="BO12" i="8"/>
  <c r="BO14" i="8"/>
  <c r="BO16" i="8" s="1"/>
  <c r="BM19" i="12"/>
  <c r="BH31" i="12"/>
  <c r="BH14" i="11"/>
  <c r="BH22" i="12" s="1"/>
  <c r="BP58" i="5"/>
  <c r="BP8" i="8" s="1"/>
  <c r="BP11" i="8" s="1"/>
  <c r="BP6" i="12" s="1"/>
  <c r="BQ50" i="5"/>
  <c r="BN10" i="9"/>
  <c r="BN7" i="12"/>
  <c r="R10" i="6"/>
  <c r="R25" i="7"/>
  <c r="S17" i="7" s="1"/>
  <c r="R23" i="7"/>
  <c r="BN12" i="9"/>
  <c r="BN13" i="9" s="1"/>
  <c r="BN11" i="11"/>
  <c r="R22" i="7"/>
  <c r="BN19" i="12" l="1"/>
  <c r="BR49" i="5"/>
  <c r="BQ57" i="5"/>
  <c r="BQ6" i="8" s="1"/>
  <c r="BQ10" i="8" s="1"/>
  <c r="R11" i="6"/>
  <c r="R15" i="13" s="1"/>
  <c r="R24" i="7"/>
  <c r="BO11" i="11"/>
  <c r="BO12" i="9"/>
  <c r="BO13" i="9" s="1"/>
  <c r="R12" i="6"/>
  <c r="BO7" i="12"/>
  <c r="BO10" i="9"/>
  <c r="BP5" i="12"/>
  <c r="BP14" i="8"/>
  <c r="BP16" i="8" s="1"/>
  <c r="BP12" i="8"/>
  <c r="BJ12" i="11"/>
  <c r="BJ13" i="11" s="1"/>
  <c r="BQ58" i="5"/>
  <c r="BQ8" i="8" s="1"/>
  <c r="BQ11" i="8" s="1"/>
  <c r="BQ6" i="12" s="1"/>
  <c r="BR50" i="5"/>
  <c r="S18" i="7"/>
  <c r="R5" i="13"/>
  <c r="BP11" i="11" l="1"/>
  <c r="BP12" i="9"/>
  <c r="BP13" i="9" s="1"/>
  <c r="BS50" i="5"/>
  <c r="BR58" i="5"/>
  <c r="BR8" i="8" s="1"/>
  <c r="BR11" i="8" s="1"/>
  <c r="BR6" i="12" s="1"/>
  <c r="BP7" i="12"/>
  <c r="BP10" i="9"/>
  <c r="R13" i="6"/>
  <c r="BQ5" i="12"/>
  <c r="BQ14" i="8"/>
  <c r="BQ16" i="8" s="1"/>
  <c r="BQ12" i="8"/>
  <c r="S15" i="6"/>
  <c r="S16" i="6" s="1"/>
  <c r="S19" i="7"/>
  <c r="BO19" i="12"/>
  <c r="BK12" i="11"/>
  <c r="BK13" i="11" s="1"/>
  <c r="BL12" i="11"/>
  <c r="BL13" i="11" s="1"/>
  <c r="BS49" i="5"/>
  <c r="BR57" i="5"/>
  <c r="BR6" i="8" s="1"/>
  <c r="BR10" i="8" s="1"/>
  <c r="BJ31" i="12"/>
  <c r="BJ14" i="11"/>
  <c r="BJ22" i="12" s="1"/>
  <c r="BL31" i="12" l="1"/>
  <c r="BL14" i="11"/>
  <c r="BL22" i="12" s="1"/>
  <c r="BQ7" i="12"/>
  <c r="BQ10" i="9"/>
  <c r="BS57" i="5"/>
  <c r="BS6" i="8" s="1"/>
  <c r="BS10" i="8" s="1"/>
  <c r="BT49" i="5"/>
  <c r="BK31" i="12"/>
  <c r="BK14" i="11"/>
  <c r="BK22" i="12" s="1"/>
  <c r="S21" i="7"/>
  <c r="S22" i="7" s="1"/>
  <c r="S20" i="7"/>
  <c r="BQ11" i="11"/>
  <c r="BQ12" i="9"/>
  <c r="BQ13" i="9" s="1"/>
  <c r="S17" i="6"/>
  <c r="BR12" i="8"/>
  <c r="BR14" i="8"/>
  <c r="BR16" i="8" s="1"/>
  <c r="BR5" i="12"/>
  <c r="S4" i="13" s="1"/>
  <c r="BS58" i="5"/>
  <c r="BS8" i="8" s="1"/>
  <c r="BS11" i="8" s="1"/>
  <c r="BS6" i="12" s="1"/>
  <c r="BT50" i="5"/>
  <c r="BP19" i="12"/>
  <c r="S11" i="6" l="1"/>
  <c r="S15" i="13" s="1"/>
  <c r="S24" i="7"/>
  <c r="BQ19" i="12"/>
  <c r="BU50" i="5"/>
  <c r="BT58" i="5"/>
  <c r="BT8" i="8" s="1"/>
  <c r="BT11" i="8" s="1"/>
  <c r="BT6" i="12" s="1"/>
  <c r="BT57" i="5"/>
  <c r="BT6" i="8" s="1"/>
  <c r="BT10" i="8" s="1"/>
  <c r="BU49" i="5"/>
  <c r="S10" i="6"/>
  <c r="S23" i="7"/>
  <c r="S25" i="7"/>
  <c r="T17" i="7" s="1"/>
  <c r="BM12" i="11"/>
  <c r="BM13" i="11" s="1"/>
  <c r="BS5" i="12"/>
  <c r="BS14" i="8"/>
  <c r="BS16" i="8" s="1"/>
  <c r="BS12" i="8"/>
  <c r="BR11" i="11"/>
  <c r="BR12" i="9"/>
  <c r="BR13" i="9" s="1"/>
  <c r="BR7" i="12"/>
  <c r="BR10" i="9"/>
  <c r="S5" i="13"/>
  <c r="S12" i="6" l="1"/>
  <c r="BV49" i="5"/>
  <c r="BU57" i="5"/>
  <c r="BU6" i="8" s="1"/>
  <c r="BU10" i="8" s="1"/>
  <c r="BR19" i="12"/>
  <c r="BT5" i="12"/>
  <c r="BT12" i="8"/>
  <c r="BT14" i="8"/>
  <c r="BT16" i="8" s="1"/>
  <c r="BS7" i="12"/>
  <c r="BS10" i="9"/>
  <c r="T18" i="7"/>
  <c r="BV50" i="5"/>
  <c r="BU58" i="5"/>
  <c r="BU8" i="8" s="1"/>
  <c r="BU11" i="8" s="1"/>
  <c r="BU6" i="12" s="1"/>
  <c r="BN12" i="11"/>
  <c r="BN13" i="11" s="1"/>
  <c r="BS11" i="11"/>
  <c r="BS12" i="9"/>
  <c r="BS13" i="9" s="1"/>
  <c r="S13" i="6"/>
  <c r="BO12" i="11"/>
  <c r="BO13" i="11" s="1"/>
  <c r="BM14" i="11"/>
  <c r="BM22" i="12" s="1"/>
  <c r="BM31" i="12"/>
  <c r="BO31" i="12" l="1"/>
  <c r="BO14" i="11"/>
  <c r="BO22" i="12" s="1"/>
  <c r="BW49" i="5"/>
  <c r="BV57" i="5"/>
  <c r="BV6" i="8" s="1"/>
  <c r="BV10" i="8" s="1"/>
  <c r="T15" i="6"/>
  <c r="T16" i="6" s="1"/>
  <c r="T19" i="7"/>
  <c r="BT11" i="11"/>
  <c r="BT12" i="9"/>
  <c r="BT13" i="9" s="1"/>
  <c r="BT10" i="9"/>
  <c r="BT7" i="12"/>
  <c r="BS19" i="12"/>
  <c r="BU5" i="12"/>
  <c r="BU12" i="8"/>
  <c r="BU14" i="8"/>
  <c r="BU16" i="8" s="1"/>
  <c r="BN31" i="12"/>
  <c r="BN14" i="11"/>
  <c r="BN22" i="12" s="1"/>
  <c r="BW50" i="5"/>
  <c r="BV58" i="5"/>
  <c r="BV8" i="8" s="1"/>
  <c r="BV11" i="8" s="1"/>
  <c r="BV6" i="12" s="1"/>
  <c r="T17" i="6" l="1"/>
  <c r="BT19" i="12"/>
  <c r="BQ12" i="11"/>
  <c r="BQ13" i="11" s="1"/>
  <c r="T21" i="7"/>
  <c r="T22" i="7" s="1"/>
  <c r="T20" i="7"/>
  <c r="BW58" i="5"/>
  <c r="BW8" i="8" s="1"/>
  <c r="BW11" i="8" s="1"/>
  <c r="BW6" i="12" s="1"/>
  <c r="BX50" i="5"/>
  <c r="BW57" i="5"/>
  <c r="BW6" i="8" s="1"/>
  <c r="BW10" i="8" s="1"/>
  <c r="BX49" i="5"/>
  <c r="BU10" i="9"/>
  <c r="BU7" i="12"/>
  <c r="BV5" i="12"/>
  <c r="T4" i="13" s="1"/>
  <c r="BV14" i="8"/>
  <c r="BV16" i="8" s="1"/>
  <c r="BV12" i="8"/>
  <c r="BU11" i="11"/>
  <c r="BU12" i="9"/>
  <c r="BU13" i="9" s="1"/>
  <c r="BP12" i="11"/>
  <c r="BP13" i="11" s="1"/>
  <c r="T11" i="6" l="1"/>
  <c r="T15" i="13" s="1"/>
  <c r="T24" i="7"/>
  <c r="BX57" i="5"/>
  <c r="BX6" i="8" s="1"/>
  <c r="BX10" i="8" s="1"/>
  <c r="BY49" i="5"/>
  <c r="BX58" i="5"/>
  <c r="BX8" i="8" s="1"/>
  <c r="BX11" i="8" s="1"/>
  <c r="BX6" i="12" s="1"/>
  <c r="BY50" i="5"/>
  <c r="BP31" i="12"/>
  <c r="BP14" i="11"/>
  <c r="BP22" i="12" s="1"/>
  <c r="BU19" i="12"/>
  <c r="BV10" i="9"/>
  <c r="BV7" i="12"/>
  <c r="BV11" i="11"/>
  <c r="BV12" i="9"/>
  <c r="BV13" i="9" s="1"/>
  <c r="BW5" i="12"/>
  <c r="BW14" i="8"/>
  <c r="BW16" i="8" s="1"/>
  <c r="BW12" i="8"/>
  <c r="T10" i="6"/>
  <c r="T23" i="7"/>
  <c r="T25" i="7"/>
  <c r="U17" i="7" s="1"/>
  <c r="BQ31" i="12"/>
  <c r="BQ14" i="11"/>
  <c r="BQ22" i="12" s="1"/>
  <c r="T5" i="13"/>
  <c r="BV19" i="12" l="1"/>
  <c r="BR12" i="11"/>
  <c r="BR13" i="11" s="1"/>
  <c r="BX14" i="8"/>
  <c r="BX16" i="8" s="1"/>
  <c r="BX12" i="8"/>
  <c r="BX5" i="12"/>
  <c r="BZ50" i="5"/>
  <c r="BY58" i="5"/>
  <c r="BY8" i="8" s="1"/>
  <c r="BY11" i="8" s="1"/>
  <c r="BY6" i="12" s="1"/>
  <c r="BZ49" i="5"/>
  <c r="BY57" i="5"/>
  <c r="BY6" i="8" s="1"/>
  <c r="BY10" i="8" s="1"/>
  <c r="T13" i="6"/>
  <c r="U18" i="7"/>
  <c r="T12" i="6"/>
  <c r="BW7" i="12"/>
  <c r="BW10" i="9"/>
  <c r="BW12" i="9"/>
  <c r="BW13" i="9" s="1"/>
  <c r="BW11" i="11"/>
  <c r="BY12" i="8" l="1"/>
  <c r="BY14" i="8"/>
  <c r="BY16" i="8" s="1"/>
  <c r="BY5" i="12"/>
  <c r="BX7" i="12"/>
  <c r="BX10" i="9"/>
  <c r="BW19" i="12"/>
  <c r="CA49" i="5"/>
  <c r="BZ57" i="5"/>
  <c r="BZ6" i="8" s="1"/>
  <c r="BZ10" i="8" s="1"/>
  <c r="CA50" i="5"/>
  <c r="BZ58" i="5"/>
  <c r="BZ8" i="8" s="1"/>
  <c r="BZ11" i="8" s="1"/>
  <c r="BZ6" i="12" s="1"/>
  <c r="BX12" i="9"/>
  <c r="BX13" i="9" s="1"/>
  <c r="BX11" i="11"/>
  <c r="U15" i="6"/>
  <c r="U16" i="6" s="1"/>
  <c r="U19" i="7"/>
  <c r="BR31" i="12"/>
  <c r="BR14" i="11"/>
  <c r="BR22" i="12" s="1"/>
  <c r="BS12" i="11"/>
  <c r="BS13" i="11" s="1"/>
  <c r="BT12" i="11"/>
  <c r="BT13" i="11" s="1"/>
  <c r="BZ5" i="12" l="1"/>
  <c r="U4" i="13" s="1"/>
  <c r="BZ12" i="8"/>
  <c r="BZ14" i="8"/>
  <c r="BZ16" i="8" s="1"/>
  <c r="CB50" i="5"/>
  <c r="CA58" i="5"/>
  <c r="CA8" i="8" s="1"/>
  <c r="CA11" i="8" s="1"/>
  <c r="CA6" i="12" s="1"/>
  <c r="BY11" i="11"/>
  <c r="BY12" i="9"/>
  <c r="BY13" i="9" s="1"/>
  <c r="CB49" i="5"/>
  <c r="CA57" i="5"/>
  <c r="CA6" i="8" s="1"/>
  <c r="CA10" i="8" s="1"/>
  <c r="BS31" i="12"/>
  <c r="BS14" i="11"/>
  <c r="BS22" i="12" s="1"/>
  <c r="BX19" i="12"/>
  <c r="BY7" i="12"/>
  <c r="BY10" i="9"/>
  <c r="BT14" i="11"/>
  <c r="BT22" i="12" s="1"/>
  <c r="BT31" i="12"/>
  <c r="U21" i="7"/>
  <c r="U20" i="7"/>
  <c r="U17" i="6"/>
  <c r="CA5" i="12" l="1"/>
  <c r="CA14" i="8"/>
  <c r="CA16" i="8" s="1"/>
  <c r="CA12" i="8"/>
  <c r="U10" i="6"/>
  <c r="U25" i="7"/>
  <c r="V17" i="7" s="1"/>
  <c r="U23" i="7"/>
  <c r="U22" i="7"/>
  <c r="CB57" i="5"/>
  <c r="CB6" i="8" s="1"/>
  <c r="CB10" i="8" s="1"/>
  <c r="CC49" i="5"/>
  <c r="BY19" i="12"/>
  <c r="BU12" i="11"/>
  <c r="BU13" i="11" s="1"/>
  <c r="BV12" i="11"/>
  <c r="BV13" i="11" s="1"/>
  <c r="CB58" i="5"/>
  <c r="CB8" i="8" s="1"/>
  <c r="CB11" i="8" s="1"/>
  <c r="CB6" i="12" s="1"/>
  <c r="CC50" i="5"/>
  <c r="BZ11" i="11"/>
  <c r="BZ12" i="9"/>
  <c r="BZ13" i="9" s="1"/>
  <c r="BZ7" i="12"/>
  <c r="BZ10" i="9"/>
  <c r="U5" i="13"/>
  <c r="BU31" i="12" l="1"/>
  <c r="BU14" i="11"/>
  <c r="BU22" i="12" s="1"/>
  <c r="CC57" i="5"/>
  <c r="CC6" i="8" s="1"/>
  <c r="CC10" i="8" s="1"/>
  <c r="CD49" i="5"/>
  <c r="CD57" i="5" s="1"/>
  <c r="CD6" i="8" s="1"/>
  <c r="CD10" i="8" s="1"/>
  <c r="U12" i="6"/>
  <c r="CA7" i="12"/>
  <c r="CA10" i="9"/>
  <c r="CC58" i="5"/>
  <c r="CC8" i="8" s="1"/>
  <c r="CC11" i="8" s="1"/>
  <c r="CC6" i="12" s="1"/>
  <c r="CD50" i="5"/>
  <c r="CD58" i="5" s="1"/>
  <c r="CD8" i="8" s="1"/>
  <c r="CD11" i="8" s="1"/>
  <c r="CD6" i="12" s="1"/>
  <c r="CA11" i="11"/>
  <c r="CA12" i="9"/>
  <c r="CA13" i="9" s="1"/>
  <c r="BV31" i="12"/>
  <c r="BV14" i="11"/>
  <c r="BV22" i="12" s="1"/>
  <c r="CB5" i="12"/>
  <c r="CB14" i="8"/>
  <c r="CB16" i="8" s="1"/>
  <c r="CB12" i="8"/>
  <c r="U11" i="6"/>
  <c r="U15" i="13" s="1"/>
  <c r="U24" i="7"/>
  <c r="V18" i="7"/>
  <c r="BZ19" i="12"/>
  <c r="CA19" i="12" l="1"/>
  <c r="BW12" i="11"/>
  <c r="BW13" i="11" s="1"/>
  <c r="CC5" i="12"/>
  <c r="V4" i="13" s="1"/>
  <c r="CC12" i="8"/>
  <c r="CC14" i="8"/>
  <c r="CC16" i="8" s="1"/>
  <c r="U13" i="6"/>
  <c r="CB7" i="12"/>
  <c r="CB10" i="9"/>
  <c r="V15" i="6"/>
  <c r="V16" i="6" s="1"/>
  <c r="V19" i="7"/>
  <c r="CD5" i="12"/>
  <c r="CD12" i="8"/>
  <c r="CD14" i="8"/>
  <c r="CD16" i="8" s="1"/>
  <c r="CB11" i="11"/>
  <c r="CB12" i="9"/>
  <c r="CB13" i="9" s="1"/>
  <c r="CC11" i="11" l="1"/>
  <c r="CC12" i="9"/>
  <c r="CC13" i="9" s="1"/>
  <c r="BW31" i="12"/>
  <c r="BW14" i="11"/>
  <c r="BW22" i="12" s="1"/>
  <c r="CC7" i="12"/>
  <c r="CC10" i="9"/>
  <c r="CB19" i="12"/>
  <c r="V17" i="6"/>
  <c r="V5" i="13"/>
  <c r="CD12" i="9"/>
  <c r="CD13" i="9" s="1"/>
  <c r="CD23" i="9" s="1"/>
  <c r="D25" i="14" s="1"/>
  <c r="E25" i="14" s="1"/>
  <c r="CD11" i="11"/>
  <c r="CD22" i="8"/>
  <c r="D23" i="14" s="1"/>
  <c r="E23" i="14" s="1"/>
  <c r="BX12" i="11"/>
  <c r="BX13" i="11" s="1"/>
  <c r="CD7" i="12"/>
  <c r="CD10" i="9"/>
  <c r="CD21" i="8"/>
  <c r="D22" i="14" s="1"/>
  <c r="E22" i="14" s="1"/>
  <c r="V21" i="7"/>
  <c r="V20" i="7"/>
  <c r="BY12" i="11"/>
  <c r="BY13" i="11" s="1"/>
  <c r="BX31" i="12" l="1"/>
  <c r="BX14" i="11"/>
  <c r="BX22" i="12" s="1"/>
  <c r="CD19" i="12"/>
  <c r="CC12" i="11"/>
  <c r="CC13" i="11" s="1"/>
  <c r="V10" i="6"/>
  <c r="V25" i="7"/>
  <c r="W17" i="7" s="1"/>
  <c r="V23" i="7"/>
  <c r="BZ12" i="11"/>
  <c r="BZ13" i="11" s="1"/>
  <c r="BY31" i="12"/>
  <c r="BY14" i="11"/>
  <c r="BY22" i="12" s="1"/>
  <c r="CA12" i="11"/>
  <c r="CA13" i="11" s="1"/>
  <c r="V22" i="7"/>
  <c r="CB12" i="11"/>
  <c r="CB13" i="11" s="1"/>
  <c r="CC19" i="12"/>
  <c r="V11" i="6" l="1"/>
  <c r="V15" i="13" s="1"/>
  <c r="V24" i="7"/>
  <c r="CA31" i="12"/>
  <c r="CA14" i="11"/>
  <c r="CA22" i="12" s="1"/>
  <c r="V12" i="6"/>
  <c r="CB31" i="12"/>
  <c r="CB14" i="11"/>
  <c r="CB22" i="12" s="1"/>
  <c r="BZ31" i="12"/>
  <c r="BZ14" i="11"/>
  <c r="BZ22" i="12" s="1"/>
  <c r="W18" i="7"/>
  <c r="CC31" i="12"/>
  <c r="CC14" i="11"/>
  <c r="CC22" i="12" s="1"/>
  <c r="CD14" i="11"/>
  <c r="CD23" i="11"/>
  <c r="D35" i="14" s="1"/>
  <c r="E35" i="14" s="1"/>
  <c r="CD22" i="12" l="1"/>
  <c r="CD22" i="11"/>
  <c r="D34" i="14" s="1"/>
  <c r="E34" i="14" s="1"/>
  <c r="W15" i="6"/>
  <c r="W16" i="6" s="1"/>
  <c r="W19" i="7"/>
  <c r="V13" i="6"/>
  <c r="W21" i="7" l="1"/>
  <c r="W20" i="7"/>
  <c r="W17" i="6"/>
  <c r="W10" i="6" l="1"/>
  <c r="W23" i="7"/>
  <c r="W25" i="7"/>
  <c r="X17" i="7" s="1"/>
  <c r="W22" i="7"/>
  <c r="W11" i="6" l="1"/>
  <c r="W15" i="13" s="1"/>
  <c r="W24" i="7"/>
  <c r="X18" i="7"/>
  <c r="W12" i="6"/>
  <c r="X15" i="6" l="1"/>
  <c r="X16" i="6" s="1"/>
  <c r="X19" i="7"/>
  <c r="W13" i="6"/>
  <c r="X21" i="7" l="1"/>
  <c r="X20" i="7"/>
  <c r="X17" i="6"/>
  <c r="X10" i="6" l="1"/>
  <c r="X25" i="7"/>
  <c r="Y17" i="7" s="1"/>
  <c r="X23" i="7"/>
  <c r="X22" i="7"/>
  <c r="X11" i="6" l="1"/>
  <c r="X15" i="13" s="1"/>
  <c r="X24" i="7"/>
  <c r="X12" i="6"/>
  <c r="Y18" i="7"/>
  <c r="Y15" i="6" l="1"/>
  <c r="Y16" i="6" s="1"/>
  <c r="Y19" i="7"/>
  <c r="X13" i="6"/>
  <c r="Y21" i="7" l="1"/>
  <c r="Y20" i="7"/>
  <c r="Y17" i="6"/>
  <c r="Y10" i="6" l="1"/>
  <c r="Y23" i="7"/>
  <c r="Y25" i="7"/>
  <c r="Z17" i="7" s="1"/>
  <c r="Y22" i="7"/>
  <c r="Y11" i="6" l="1"/>
  <c r="Y15" i="13" s="1"/>
  <c r="Y24" i="7"/>
  <c r="Z18" i="7"/>
  <c r="Y12" i="6"/>
  <c r="Z15" i="6" l="1"/>
  <c r="Z16" i="6" s="1"/>
  <c r="Z17" i="6" s="1"/>
  <c r="Z19" i="7"/>
  <c r="B10" i="7"/>
  <c r="B11" i="7" s="1"/>
  <c r="Z30" i="7" s="1"/>
  <c r="D10" i="14" s="1"/>
  <c r="E10" i="14" s="1"/>
  <c r="D27" i="13"/>
  <c r="Y13" i="6"/>
  <c r="Z21" i="7" l="1"/>
  <c r="Z22" i="7" s="1"/>
  <c r="Z20" i="7"/>
  <c r="D30" i="13"/>
  <c r="BX11" i="9"/>
  <c r="BX14" i="9" s="1"/>
  <c r="BH11" i="9"/>
  <c r="BH14" i="9" s="1"/>
  <c r="AR11" i="9"/>
  <c r="AR14" i="9" s="1"/>
  <c r="AB11" i="9"/>
  <c r="AB14" i="9" s="1"/>
  <c r="L11" i="9"/>
  <c r="L14" i="9" s="1"/>
  <c r="BZ11" i="9"/>
  <c r="BZ14" i="9" s="1"/>
  <c r="BI11" i="9"/>
  <c r="BI14" i="9" s="1"/>
  <c r="AQ11" i="9"/>
  <c r="AQ14" i="9" s="1"/>
  <c r="Z11" i="9"/>
  <c r="Z14" i="9" s="1"/>
  <c r="I11" i="9"/>
  <c r="I14" i="9" s="1"/>
  <c r="BY11" i="9"/>
  <c r="BY14" i="9" s="1"/>
  <c r="BG11" i="9"/>
  <c r="BG14" i="9" s="1"/>
  <c r="AP11" i="9"/>
  <c r="AP14" i="9" s="1"/>
  <c r="Y11" i="9"/>
  <c r="Y14" i="9" s="1"/>
  <c r="H11" i="9"/>
  <c r="H14" i="9" s="1"/>
  <c r="BW11" i="9"/>
  <c r="BW14" i="9" s="1"/>
  <c r="BF11" i="9"/>
  <c r="BF14" i="9" s="1"/>
  <c r="AO11" i="9"/>
  <c r="AO14" i="9" s="1"/>
  <c r="X11" i="9"/>
  <c r="X14" i="9" s="1"/>
  <c r="G11" i="9"/>
  <c r="G14" i="9" s="1"/>
  <c r="BT11" i="9"/>
  <c r="BT14" i="9" s="1"/>
  <c r="BC11" i="9"/>
  <c r="BC14" i="9" s="1"/>
  <c r="AL11" i="9"/>
  <c r="AL14" i="9" s="1"/>
  <c r="U11" i="9"/>
  <c r="U14" i="9" s="1"/>
  <c r="D11" i="9"/>
  <c r="D14" i="9" s="1"/>
  <c r="BL11" i="9"/>
  <c r="BL14" i="9" s="1"/>
  <c r="AM11" i="9"/>
  <c r="AM14" i="9" s="1"/>
  <c r="Q11" i="9"/>
  <c r="Q14" i="9" s="1"/>
  <c r="BK11" i="9"/>
  <c r="BK14" i="9" s="1"/>
  <c r="AK11" i="9"/>
  <c r="AK14" i="9" s="1"/>
  <c r="P11" i="9"/>
  <c r="P14" i="9" s="1"/>
  <c r="BJ11" i="9"/>
  <c r="BJ14" i="9" s="1"/>
  <c r="AJ11" i="9"/>
  <c r="AJ14" i="9" s="1"/>
  <c r="O11" i="9"/>
  <c r="O14" i="9" s="1"/>
  <c r="CB11" i="9"/>
  <c r="CB14" i="9" s="1"/>
  <c r="BB11" i="9"/>
  <c r="BB14" i="9" s="1"/>
  <c r="AG11" i="9"/>
  <c r="AG14" i="9" s="1"/>
  <c r="K11" i="9"/>
  <c r="K14" i="9" s="1"/>
  <c r="CA11" i="9"/>
  <c r="CA14" i="9" s="1"/>
  <c r="BA11" i="9"/>
  <c r="BA14" i="9" s="1"/>
  <c r="AF11" i="9"/>
  <c r="AF14" i="9" s="1"/>
  <c r="J11" i="9"/>
  <c r="J14" i="9" s="1"/>
  <c r="AZ11" i="9"/>
  <c r="AZ14" i="9" s="1"/>
  <c r="V11" i="9"/>
  <c r="V14" i="9" s="1"/>
  <c r="AY11" i="9"/>
  <c r="AY14" i="9" s="1"/>
  <c r="T11" i="9"/>
  <c r="T14" i="9" s="1"/>
  <c r="AX11" i="9"/>
  <c r="AX14" i="9" s="1"/>
  <c r="S11" i="9"/>
  <c r="S14" i="9" s="1"/>
  <c r="BV11" i="9"/>
  <c r="BV14" i="9" s="1"/>
  <c r="AU11" i="9"/>
  <c r="AU14" i="9" s="1"/>
  <c r="M11" i="9"/>
  <c r="M14" i="9" s="1"/>
  <c r="BU11" i="9"/>
  <c r="BU14" i="9" s="1"/>
  <c r="AT11" i="9"/>
  <c r="AT14" i="9" s="1"/>
  <c r="F11" i="9"/>
  <c r="F14" i="9" s="1"/>
  <c r="BQ11" i="9"/>
  <c r="BQ14" i="9" s="1"/>
  <c r="AI11" i="9"/>
  <c r="AI14" i="9" s="1"/>
  <c r="CC11" i="9"/>
  <c r="CC14" i="9" s="1"/>
  <c r="AC11" i="9"/>
  <c r="AC14" i="9" s="1"/>
  <c r="BS11" i="9"/>
  <c r="BS14" i="9" s="1"/>
  <c r="AA11" i="9"/>
  <c r="AA14" i="9" s="1"/>
  <c r="BR11" i="9"/>
  <c r="BR14" i="9" s="1"/>
  <c r="W11" i="9"/>
  <c r="W14" i="9" s="1"/>
  <c r="BP11" i="9"/>
  <c r="BP14" i="9" s="1"/>
  <c r="R11" i="9"/>
  <c r="R14" i="9" s="1"/>
  <c r="BN11" i="9"/>
  <c r="BN14" i="9" s="1"/>
  <c r="E11" i="9"/>
  <c r="E14" i="9" s="1"/>
  <c r="BM11" i="9"/>
  <c r="BM14" i="9" s="1"/>
  <c r="C11" i="9"/>
  <c r="C14" i="9" s="1"/>
  <c r="BO11" i="9"/>
  <c r="BO14" i="9" s="1"/>
  <c r="AV11" i="9"/>
  <c r="AV14" i="9" s="1"/>
  <c r="BE11" i="9"/>
  <c r="BE14" i="9" s="1"/>
  <c r="BD11" i="9"/>
  <c r="BD14" i="9" s="1"/>
  <c r="AW11" i="9"/>
  <c r="AW14" i="9" s="1"/>
  <c r="AS11" i="9"/>
  <c r="AS14" i="9" s="1"/>
  <c r="AH11" i="9"/>
  <c r="AH14" i="9" s="1"/>
  <c r="AN11" i="9"/>
  <c r="AN14" i="9" s="1"/>
  <c r="AE11" i="9"/>
  <c r="AE14" i="9" s="1"/>
  <c r="AD11" i="9"/>
  <c r="AD14" i="9" s="1"/>
  <c r="N11" i="9"/>
  <c r="N14" i="9" s="1"/>
  <c r="CD11" i="9"/>
  <c r="CD14" i="9" s="1"/>
  <c r="J8" i="12" l="1"/>
  <c r="D8" i="12"/>
  <c r="Z8" i="12"/>
  <c r="BO8" i="12"/>
  <c r="E8" i="12"/>
  <c r="M8" i="12"/>
  <c r="CB8" i="12"/>
  <c r="X8" i="12"/>
  <c r="AB8" i="12"/>
  <c r="AS8" i="12"/>
  <c r="AW8" i="12"/>
  <c r="AF8" i="12"/>
  <c r="AI8" i="12"/>
  <c r="AL8" i="12"/>
  <c r="BC8" i="12"/>
  <c r="AG8" i="12"/>
  <c r="BU8" i="12"/>
  <c r="BN8" i="12"/>
  <c r="AJ8" i="12"/>
  <c r="AM8" i="12"/>
  <c r="BY8" i="12"/>
  <c r="BE8" i="12"/>
  <c r="AQ8" i="12"/>
  <c r="K8" i="12"/>
  <c r="AT8" i="12"/>
  <c r="BM8" i="12"/>
  <c r="L8" i="12"/>
  <c r="O8" i="12"/>
  <c r="CD22" i="9"/>
  <c r="D24" i="14" s="1"/>
  <c r="E24" i="14" s="1"/>
  <c r="R8" i="12"/>
  <c r="AD8" i="12"/>
  <c r="AX8" i="12"/>
  <c r="P8" i="12"/>
  <c r="BS8" i="12"/>
  <c r="BL8" i="12"/>
  <c r="I8" i="12"/>
  <c r="BQ8" i="12"/>
  <c r="CD8" i="12"/>
  <c r="N8" i="12"/>
  <c r="BW8" i="12"/>
  <c r="AE8" i="12"/>
  <c r="W8" i="12"/>
  <c r="T8" i="12"/>
  <c r="AK8" i="12"/>
  <c r="H8" i="12"/>
  <c r="BG8" i="12"/>
  <c r="CC8" i="12"/>
  <c r="U8" i="12"/>
  <c r="CA8" i="12"/>
  <c r="BI8" i="12"/>
  <c r="BZ8" i="12"/>
  <c r="G8" i="12"/>
  <c r="AO8" i="12"/>
  <c r="BF8" i="12"/>
  <c r="S8" i="12"/>
  <c r="BX8" i="12"/>
  <c r="AN8" i="12"/>
  <c r="BR8" i="12"/>
  <c r="AY8" i="12"/>
  <c r="BK8" i="12"/>
  <c r="Y8" i="12"/>
  <c r="Z10" i="6"/>
  <c r="D28" i="13"/>
  <c r="Z25" i="7"/>
  <c r="Z23" i="7"/>
  <c r="AZ8" i="12"/>
  <c r="AC8" i="12"/>
  <c r="BD8" i="12"/>
  <c r="BA8" i="12"/>
  <c r="AV8" i="12"/>
  <c r="F8" i="12"/>
  <c r="C8" i="12"/>
  <c r="BT8" i="12"/>
  <c r="BB8" i="12"/>
  <c r="AU8" i="12"/>
  <c r="AR8" i="12"/>
  <c r="BV8" i="12"/>
  <c r="BH8" i="12"/>
  <c r="BJ8" i="12"/>
  <c r="BP8" i="12"/>
  <c r="AH8" i="12"/>
  <c r="AA8" i="12"/>
  <c r="V8" i="12"/>
  <c r="Q8" i="12"/>
  <c r="AP8" i="12"/>
  <c r="Z11" i="6"/>
  <c r="Z15" i="13" s="1"/>
  <c r="D29" i="13"/>
  <c r="Z24" i="7"/>
  <c r="Z13" i="6" s="1"/>
  <c r="AE17" i="12" l="1"/>
  <c r="AE9" i="12"/>
  <c r="CB17" i="12"/>
  <c r="CB9" i="12"/>
  <c r="AD17" i="12"/>
  <c r="AD9" i="12"/>
  <c r="AI17" i="12"/>
  <c r="AI9" i="12"/>
  <c r="E17" i="12"/>
  <c r="E9" i="12"/>
  <c r="AC17" i="12"/>
  <c r="AC9" i="12"/>
  <c r="BW17" i="12"/>
  <c r="BW9" i="12"/>
  <c r="Z12" i="6"/>
  <c r="Z21" i="6" s="1"/>
  <c r="D7" i="14" s="1"/>
  <c r="E7" i="14" s="1"/>
  <c r="Z32" i="7"/>
  <c r="D12" i="14" s="1"/>
  <c r="E12" i="14" s="1"/>
  <c r="Z33" i="7"/>
  <c r="D13" i="14" s="1"/>
  <c r="E13" i="14" s="1"/>
  <c r="Z31" i="7"/>
  <c r="D11" i="14" s="1"/>
  <c r="E11" i="14" s="1"/>
  <c r="S17" i="12"/>
  <c r="S9" i="12"/>
  <c r="BE17" i="12"/>
  <c r="BE9" i="12"/>
  <c r="H17" i="12"/>
  <c r="H9" i="12"/>
  <c r="G17" i="12"/>
  <c r="G9" i="12"/>
  <c r="V17" i="12"/>
  <c r="V9" i="12"/>
  <c r="AQ17" i="12"/>
  <c r="AQ9" i="12"/>
  <c r="N17" i="12"/>
  <c r="N9" i="12"/>
  <c r="BF17" i="12"/>
  <c r="BF9" i="12"/>
  <c r="AU17" i="12"/>
  <c r="AU9" i="12"/>
  <c r="X17" i="12"/>
  <c r="X9" i="12"/>
  <c r="BT17" i="12"/>
  <c r="BT9" i="12"/>
  <c r="R17" i="12"/>
  <c r="R9" i="12"/>
  <c r="Y17" i="12"/>
  <c r="Y9" i="12"/>
  <c r="AY17" i="12"/>
  <c r="AY9" i="12"/>
  <c r="AN17" i="12"/>
  <c r="AN9" i="12"/>
  <c r="AG17" i="12"/>
  <c r="AG9" i="12"/>
  <c r="AA17" i="12"/>
  <c r="AA9" i="12"/>
  <c r="BB17" i="12"/>
  <c r="BB9" i="12"/>
  <c r="AZ17" i="12"/>
  <c r="AZ9" i="12"/>
  <c r="BX17" i="12"/>
  <c r="BX9" i="12"/>
  <c r="AX17" i="12"/>
  <c r="AX9" i="12"/>
  <c r="BC17" i="12"/>
  <c r="BC9" i="12"/>
  <c r="AH17" i="12"/>
  <c r="AH9" i="12"/>
  <c r="BG17" i="12"/>
  <c r="BG9" i="12"/>
  <c r="CA35" i="12"/>
  <c r="BK35" i="12"/>
  <c r="AU35" i="12"/>
  <c r="AE35" i="12"/>
  <c r="O35" i="12"/>
  <c r="BY35" i="12"/>
  <c r="BI35" i="12"/>
  <c r="AS35" i="12"/>
  <c r="AC35" i="12"/>
  <c r="M35" i="12"/>
  <c r="BU35" i="12"/>
  <c r="BE35" i="12"/>
  <c r="AO35" i="12"/>
  <c r="Y35" i="12"/>
  <c r="I35" i="12"/>
  <c r="CD35" i="12"/>
  <c r="BJ35" i="12"/>
  <c r="AP35" i="12"/>
  <c r="V35" i="12"/>
  <c r="C35" i="12"/>
  <c r="CC35" i="12"/>
  <c r="BH35" i="12"/>
  <c r="AN35" i="12"/>
  <c r="U35" i="12"/>
  <c r="BW35" i="12"/>
  <c r="BC35" i="12"/>
  <c r="AJ35" i="12"/>
  <c r="BS35" i="12"/>
  <c r="AW35" i="12"/>
  <c r="X35" i="12"/>
  <c r="BR35" i="12"/>
  <c r="AV35" i="12"/>
  <c r="W35" i="12"/>
  <c r="BQ35" i="12"/>
  <c r="AT35" i="12"/>
  <c r="T35" i="12"/>
  <c r="BN35" i="12"/>
  <c r="AM35" i="12"/>
  <c r="Q35" i="12"/>
  <c r="BM35" i="12"/>
  <c r="AL35" i="12"/>
  <c r="P35" i="12"/>
  <c r="BA35" i="12"/>
  <c r="R35" i="12"/>
  <c r="AZ35" i="12"/>
  <c r="N35" i="12"/>
  <c r="AY35" i="12"/>
  <c r="L35" i="12"/>
  <c r="BZ35" i="12"/>
  <c r="AQ35" i="12"/>
  <c r="H35" i="12"/>
  <c r="BX35" i="12"/>
  <c r="AK35" i="12"/>
  <c r="G35" i="12"/>
  <c r="BF35" i="12"/>
  <c r="F35" i="12"/>
  <c r="BD35" i="12"/>
  <c r="E35" i="12"/>
  <c r="BB35" i="12"/>
  <c r="D35" i="12"/>
  <c r="AI35" i="12"/>
  <c r="AH35" i="12"/>
  <c r="S35" i="12"/>
  <c r="CB35" i="12"/>
  <c r="K35" i="12"/>
  <c r="BV35" i="12"/>
  <c r="J35" i="12"/>
  <c r="BO35" i="12"/>
  <c r="BL35" i="12"/>
  <c r="AR35" i="12"/>
  <c r="AG35" i="12"/>
  <c r="AF35" i="12"/>
  <c r="AA35" i="12"/>
  <c r="Z35" i="12"/>
  <c r="BT35" i="12"/>
  <c r="BP35" i="12"/>
  <c r="AD35" i="12"/>
  <c r="AB35" i="12"/>
  <c r="BG35" i="12"/>
  <c r="AX35" i="12"/>
  <c r="BJ17" i="12"/>
  <c r="BJ9" i="12"/>
  <c r="AO17" i="12"/>
  <c r="AO9" i="12"/>
  <c r="AM17" i="12"/>
  <c r="AM9" i="12"/>
  <c r="AF17" i="12"/>
  <c r="AF9" i="12"/>
  <c r="AK17" i="12"/>
  <c r="AK9" i="12"/>
  <c r="L17" i="12"/>
  <c r="L9" i="12"/>
  <c r="Z17" i="12"/>
  <c r="Z9" i="12"/>
  <c r="AP17" i="12"/>
  <c r="AP9" i="12"/>
  <c r="BV17" i="12"/>
  <c r="BV9" i="12"/>
  <c r="BA17" i="12"/>
  <c r="BA9" i="12"/>
  <c r="BZ17" i="12"/>
  <c r="BZ9" i="12"/>
  <c r="T17" i="12"/>
  <c r="T9" i="12"/>
  <c r="BL17" i="12"/>
  <c r="BL9" i="12"/>
  <c r="BM17" i="12"/>
  <c r="BM9" i="12"/>
  <c r="BN17" i="12"/>
  <c r="BN9" i="12"/>
  <c r="AS17" i="12"/>
  <c r="AS9" i="12"/>
  <c r="D17" i="12"/>
  <c r="D9" i="12"/>
  <c r="CA17" i="12"/>
  <c r="CA9" i="12"/>
  <c r="U17" i="12"/>
  <c r="U9" i="12"/>
  <c r="D31" i="13"/>
  <c r="C18" i="10"/>
  <c r="Z29" i="7"/>
  <c r="D9" i="14" s="1"/>
  <c r="E9" i="14" s="1"/>
  <c r="M17" i="12"/>
  <c r="M9" i="12"/>
  <c r="C17" i="12"/>
  <c r="C9" i="12"/>
  <c r="C32" i="12"/>
  <c r="D32" i="12" s="1"/>
  <c r="E32" i="12" s="1"/>
  <c r="F32" i="12" s="1"/>
  <c r="G32" i="12" s="1"/>
  <c r="H32" i="12" s="1"/>
  <c r="I32" i="12" s="1"/>
  <c r="J32" i="12" s="1"/>
  <c r="K32" i="12" s="1"/>
  <c r="L32" i="12" s="1"/>
  <c r="M32" i="12" s="1"/>
  <c r="N32" i="12" s="1"/>
  <c r="O32" i="12" s="1"/>
  <c r="P32" i="12" s="1"/>
  <c r="Q32" i="12" s="1"/>
  <c r="R32" i="12" s="1"/>
  <c r="S32" i="12" s="1"/>
  <c r="T32" i="12" s="1"/>
  <c r="U32" i="12" s="1"/>
  <c r="V32" i="12" s="1"/>
  <c r="W32" i="12" s="1"/>
  <c r="X32" i="12" s="1"/>
  <c r="Y32" i="12" s="1"/>
  <c r="Z32" i="12" s="1"/>
  <c r="AA32" i="12" s="1"/>
  <c r="AB32" i="12" s="1"/>
  <c r="AC32" i="12" s="1"/>
  <c r="AD32" i="12" s="1"/>
  <c r="AE32" i="12" s="1"/>
  <c r="AF32" i="12" s="1"/>
  <c r="AG32" i="12" s="1"/>
  <c r="AH32" i="12" s="1"/>
  <c r="AI32" i="12" s="1"/>
  <c r="AJ32" i="12" s="1"/>
  <c r="AK32" i="12" s="1"/>
  <c r="AL32" i="12" s="1"/>
  <c r="AM32" i="12" s="1"/>
  <c r="AN32" i="12" s="1"/>
  <c r="AO32" i="12" s="1"/>
  <c r="AP32" i="12" s="1"/>
  <c r="AQ32" i="12" s="1"/>
  <c r="AR32" i="12" s="1"/>
  <c r="AS32" i="12" s="1"/>
  <c r="AT32" i="12" s="1"/>
  <c r="AU32" i="12" s="1"/>
  <c r="AV32" i="12" s="1"/>
  <c r="AW32" i="12" s="1"/>
  <c r="AX32" i="12" s="1"/>
  <c r="AY32" i="12" s="1"/>
  <c r="AZ32" i="12" s="1"/>
  <c r="BA32" i="12" s="1"/>
  <c r="BB32" i="12" s="1"/>
  <c r="BC32" i="12" s="1"/>
  <c r="BD32" i="12" s="1"/>
  <c r="BE32" i="12" s="1"/>
  <c r="BF32" i="12" s="1"/>
  <c r="BG32" i="12" s="1"/>
  <c r="BH32" i="12" s="1"/>
  <c r="BI32" i="12" s="1"/>
  <c r="BJ32" i="12" s="1"/>
  <c r="BK32" i="12" s="1"/>
  <c r="BL32" i="12" s="1"/>
  <c r="BM32" i="12" s="1"/>
  <c r="BN32" i="12" s="1"/>
  <c r="BO32" i="12" s="1"/>
  <c r="BP32" i="12" s="1"/>
  <c r="BQ32" i="12" s="1"/>
  <c r="BR32" i="12" s="1"/>
  <c r="BS32" i="12" s="1"/>
  <c r="BT32" i="12" s="1"/>
  <c r="BU32" i="12" s="1"/>
  <c r="BV32" i="12" s="1"/>
  <c r="BW32" i="12" s="1"/>
  <c r="BX32" i="12" s="1"/>
  <c r="BY32" i="12" s="1"/>
  <c r="BZ32" i="12" s="1"/>
  <c r="CA32" i="12" s="1"/>
  <c r="CB32" i="12" s="1"/>
  <c r="CC32" i="12" s="1"/>
  <c r="CD32" i="12" s="1"/>
  <c r="BY17" i="12"/>
  <c r="BY9" i="12"/>
  <c r="F17" i="12"/>
  <c r="F9" i="12"/>
  <c r="BQ17" i="12"/>
  <c r="BQ9" i="12"/>
  <c r="I17" i="12"/>
  <c r="I9" i="12"/>
  <c r="AJ17" i="12"/>
  <c r="AJ9" i="12"/>
  <c r="Q17" i="12"/>
  <c r="Q9" i="12"/>
  <c r="BD17" i="12"/>
  <c r="BD9" i="12"/>
  <c r="BI17" i="12"/>
  <c r="BI9" i="12"/>
  <c r="BS17" i="12"/>
  <c r="BS9" i="12"/>
  <c r="P17" i="12"/>
  <c r="P9" i="12"/>
  <c r="K17" i="12"/>
  <c r="K9" i="12"/>
  <c r="CC17" i="12"/>
  <c r="CC9" i="12"/>
  <c r="AL17" i="12"/>
  <c r="AL9" i="12"/>
  <c r="BP17" i="12"/>
  <c r="BP9" i="12"/>
  <c r="CD17" i="12"/>
  <c r="CD9" i="12"/>
  <c r="O17" i="12"/>
  <c r="O9" i="12"/>
  <c r="BO17" i="12"/>
  <c r="BO9" i="12"/>
  <c r="BH17" i="12"/>
  <c r="BH9" i="12"/>
  <c r="AV17" i="12"/>
  <c r="AV9" i="12"/>
  <c r="BK17" i="12"/>
  <c r="BK9" i="12"/>
  <c r="AW17" i="12"/>
  <c r="AW9" i="12"/>
  <c r="AR17" i="12"/>
  <c r="AR9" i="12"/>
  <c r="BR17" i="12"/>
  <c r="BR9" i="12"/>
  <c r="W17" i="12"/>
  <c r="W9" i="12"/>
  <c r="AT17" i="12"/>
  <c r="AT9" i="12"/>
  <c r="BU17" i="12"/>
  <c r="BU9" i="12"/>
  <c r="AB17" i="12"/>
  <c r="AB9" i="12"/>
  <c r="J17" i="12"/>
  <c r="J9" i="12"/>
  <c r="B11" i="10" l="1"/>
  <c r="C19" i="10"/>
  <c r="C10" i="12" l="1"/>
  <c r="C11" i="12" s="1"/>
  <c r="C15" i="9"/>
  <c r="C16" i="9" s="1"/>
  <c r="C17" i="9" l="1"/>
  <c r="C18" i="9" s="1"/>
  <c r="C12" i="12" l="1"/>
  <c r="C14" i="12" s="1"/>
  <c r="C5" i="11"/>
  <c r="C17" i="11" l="1"/>
  <c r="AA14" i="13" s="1"/>
  <c r="C20" i="10"/>
  <c r="C16" i="12"/>
  <c r="C18" i="12" s="1"/>
  <c r="C21" i="10" l="1"/>
  <c r="C22" i="10" l="1"/>
  <c r="C6" i="11"/>
  <c r="C7" i="11" s="1"/>
  <c r="C24" i="10"/>
  <c r="C20" i="12" l="1"/>
  <c r="C23" i="10"/>
  <c r="C34" i="12" l="1"/>
  <c r="D18" i="10"/>
  <c r="D19" i="10" l="1"/>
  <c r="D10" i="12" l="1"/>
  <c r="D11" i="12" s="1"/>
  <c r="D15" i="9"/>
  <c r="D16" i="9" s="1"/>
  <c r="D17" i="9" l="1"/>
  <c r="D12" i="12" l="1"/>
  <c r="D14" i="12" s="1"/>
  <c r="D5" i="11"/>
  <c r="D18" i="9"/>
  <c r="D17" i="11" l="1"/>
  <c r="AB14" i="13" s="1"/>
  <c r="D20" i="10"/>
  <c r="D16" i="12"/>
  <c r="D18" i="12" s="1"/>
  <c r="D21" i="10" l="1"/>
  <c r="D22" i="10" l="1"/>
  <c r="D6" i="11"/>
  <c r="D7" i="11" s="1"/>
  <c r="D24" i="10"/>
  <c r="D20" i="12" l="1"/>
  <c r="D23" i="10"/>
  <c r="D34" i="12" l="1"/>
  <c r="E18" i="10"/>
  <c r="E19" i="10" l="1"/>
  <c r="E10" i="12" l="1"/>
  <c r="E11" i="12" s="1"/>
  <c r="E15" i="9"/>
  <c r="E16" i="9" s="1"/>
  <c r="E17" i="9" l="1"/>
  <c r="E12" i="12" l="1"/>
  <c r="E14" i="12" s="1"/>
  <c r="E5" i="11"/>
  <c r="E18" i="9"/>
  <c r="E20" i="10" l="1"/>
  <c r="E17" i="11"/>
  <c r="AC14" i="13" s="1"/>
  <c r="E16" i="12"/>
  <c r="E18" i="12" s="1"/>
  <c r="E21" i="10" l="1"/>
  <c r="E24" i="10" l="1"/>
  <c r="E22" i="10"/>
  <c r="E6" i="11"/>
  <c r="E7" i="11" s="1"/>
  <c r="C26" i="10"/>
  <c r="C27" i="10" s="1"/>
  <c r="C30" i="12" l="1"/>
  <c r="C28" i="10"/>
  <c r="E20" i="12"/>
  <c r="E23" i="10"/>
  <c r="E34" i="12" l="1"/>
  <c r="F18" i="10"/>
  <c r="C21" i="12"/>
  <c r="C30" i="10"/>
  <c r="C9" i="11" s="1"/>
  <c r="C16" i="11" s="1"/>
  <c r="C23" i="12" l="1"/>
  <c r="C36" i="12" s="1"/>
  <c r="AA15" i="13"/>
  <c r="F19" i="10"/>
  <c r="F10" i="12" l="1"/>
  <c r="F11" i="12" s="1"/>
  <c r="F15" i="9"/>
  <c r="F16" i="9" s="1"/>
  <c r="C37" i="12"/>
  <c r="C38" i="12" s="1"/>
  <c r="C24" i="12"/>
  <c r="C25" i="12" s="1"/>
  <c r="C27" i="12" s="1"/>
  <c r="D26" i="12" l="1"/>
  <c r="C29" i="12"/>
  <c r="C33" i="12" s="1"/>
  <c r="F17" i="9"/>
  <c r="F12" i="12" l="1"/>
  <c r="F14" i="12" s="1"/>
  <c r="F5" i="11"/>
  <c r="F18" i="9"/>
  <c r="F16" i="12" l="1"/>
  <c r="F18" i="12" s="1"/>
  <c r="C6" i="13"/>
  <c r="F17" i="11"/>
  <c r="AD14" i="13" s="1"/>
  <c r="F20" i="10"/>
  <c r="F21" i="10" l="1"/>
  <c r="F24" i="10" l="1"/>
  <c r="F22" i="10"/>
  <c r="F6" i="11"/>
  <c r="F7" i="11" s="1"/>
  <c r="D26" i="10"/>
  <c r="D27" i="10" s="1"/>
  <c r="D30" i="12" l="1"/>
  <c r="D28" i="10"/>
  <c r="F20" i="12"/>
  <c r="F23" i="10"/>
  <c r="F34" i="12" l="1"/>
  <c r="G18" i="10"/>
  <c r="D21" i="12"/>
  <c r="D30" i="10"/>
  <c r="D9" i="11" s="1"/>
  <c r="D16" i="11" s="1"/>
  <c r="AB15" i="13" l="1"/>
  <c r="D23" i="12"/>
  <c r="D36" i="12" s="1"/>
  <c r="G19" i="10"/>
  <c r="C8" i="13"/>
  <c r="D24" i="12" l="1"/>
  <c r="D25" i="12" s="1"/>
  <c r="D27" i="12" s="1"/>
  <c r="G10" i="12"/>
  <c r="G11" i="12" s="1"/>
  <c r="G15" i="9"/>
  <c r="G16" i="9" s="1"/>
  <c r="E26" i="12"/>
  <c r="D29" i="12"/>
  <c r="D33" i="12" s="1"/>
  <c r="D37" i="12"/>
  <c r="D38" i="12" s="1"/>
  <c r="G17" i="9" l="1"/>
  <c r="G12" i="12" l="1"/>
  <c r="G14" i="12" s="1"/>
  <c r="G5" i="11"/>
  <c r="G18" i="9"/>
  <c r="G17" i="11" l="1"/>
  <c r="AE14" i="13" s="1"/>
  <c r="G20" i="10"/>
  <c r="G16" i="12"/>
  <c r="G18" i="12" s="1"/>
  <c r="G21" i="10" l="1"/>
  <c r="G6" i="11" l="1"/>
  <c r="G7" i="11" s="1"/>
  <c r="G24" i="10"/>
  <c r="G22" i="10"/>
  <c r="E26" i="10"/>
  <c r="E27" i="10" s="1"/>
  <c r="G20" i="12" l="1"/>
  <c r="G23" i="10"/>
  <c r="E30" i="12"/>
  <c r="E28" i="10"/>
  <c r="E21" i="12" l="1"/>
  <c r="E30" i="10"/>
  <c r="E9" i="11" s="1"/>
  <c r="E16" i="11" s="1"/>
  <c r="G34" i="12"/>
  <c r="H18" i="10"/>
  <c r="H19" i="10" l="1"/>
  <c r="E23" i="12"/>
  <c r="E36" i="12" s="1"/>
  <c r="AC15" i="13"/>
  <c r="E24" i="12"/>
  <c r="E25" i="12" s="1"/>
  <c r="E27" i="12" s="1"/>
  <c r="F26" i="12" l="1"/>
  <c r="E29" i="12"/>
  <c r="E33" i="12" s="1"/>
  <c r="E37" i="12"/>
  <c r="E38" i="12" s="1"/>
  <c r="H10" i="12"/>
  <c r="H11" i="12" s="1"/>
  <c r="H15" i="9"/>
  <c r="H16" i="9" s="1"/>
  <c r="H17" i="9" l="1"/>
  <c r="H12" i="12" l="1"/>
  <c r="H14" i="12" s="1"/>
  <c r="H5" i="11"/>
  <c r="H18" i="9"/>
  <c r="H17" i="11" l="1"/>
  <c r="AF14" i="13" s="1"/>
  <c r="H20" i="10"/>
  <c r="H21" i="10" s="1"/>
  <c r="H16" i="12"/>
  <c r="H18" i="12" s="1"/>
  <c r="H6" i="11" l="1"/>
  <c r="H7" i="11" s="1"/>
  <c r="H22" i="10"/>
  <c r="H24" i="10"/>
  <c r="F26" i="10"/>
  <c r="F27" i="10" s="1"/>
  <c r="F30" i="12" l="1"/>
  <c r="F28" i="10"/>
  <c r="H20" i="12"/>
  <c r="H23" i="10"/>
  <c r="I18" i="10" l="1"/>
  <c r="H34" i="12"/>
  <c r="F21" i="12"/>
  <c r="F30" i="10"/>
  <c r="F9" i="11" s="1"/>
  <c r="F16" i="11" s="1"/>
  <c r="AD15" i="13" l="1"/>
  <c r="F23" i="12"/>
  <c r="F36" i="12" s="1"/>
  <c r="I19" i="10"/>
  <c r="I15" i="9" l="1"/>
  <c r="I16" i="9" s="1"/>
  <c r="I10" i="12"/>
  <c r="I11" i="12" s="1"/>
  <c r="F37" i="12"/>
  <c r="F24" i="12"/>
  <c r="F25" i="12" s="1"/>
  <c r="F27" i="12" s="1"/>
  <c r="G26" i="12" l="1"/>
  <c r="F29" i="12"/>
  <c r="C9" i="13"/>
  <c r="F38" i="12"/>
  <c r="I17" i="9"/>
  <c r="I18" i="9" s="1"/>
  <c r="I12" i="12" l="1"/>
  <c r="I14" i="12" s="1"/>
  <c r="I5" i="11"/>
  <c r="C7" i="13"/>
  <c r="F33" i="12"/>
  <c r="I20" i="10" l="1"/>
  <c r="I21" i="10" s="1"/>
  <c r="I17" i="11"/>
  <c r="AG14" i="13" s="1"/>
  <c r="I16" i="12"/>
  <c r="I18" i="12" s="1"/>
  <c r="I6" i="11" l="1"/>
  <c r="I7" i="11" s="1"/>
  <c r="I24" i="10"/>
  <c r="I22" i="10"/>
  <c r="G26" i="10"/>
  <c r="G27" i="10" s="1"/>
  <c r="I20" i="12" l="1"/>
  <c r="I23" i="10"/>
  <c r="G30" i="12"/>
  <c r="G28" i="10"/>
  <c r="G21" i="12" l="1"/>
  <c r="G30" i="10"/>
  <c r="G9" i="11" s="1"/>
  <c r="G16" i="11" s="1"/>
  <c r="I34" i="12"/>
  <c r="J18" i="10"/>
  <c r="J19" i="10" l="1"/>
  <c r="AE15" i="13"/>
  <c r="G23" i="12"/>
  <c r="G36" i="12" s="1"/>
  <c r="G24" i="12"/>
  <c r="G25" i="12" s="1"/>
  <c r="G27" i="12" s="1"/>
  <c r="G29" i="12" l="1"/>
  <c r="G33" i="12" s="1"/>
  <c r="H26" i="12"/>
  <c r="G37" i="12"/>
  <c r="G38" i="12" s="1"/>
  <c r="J10" i="12"/>
  <c r="J11" i="12" s="1"/>
  <c r="J15" i="9"/>
  <c r="J16" i="9" s="1"/>
  <c r="J17" i="9" l="1"/>
  <c r="J12" i="12" l="1"/>
  <c r="J14" i="12" s="1"/>
  <c r="J5" i="11"/>
  <c r="J18" i="9"/>
  <c r="J20" i="10" l="1"/>
  <c r="J21" i="10" s="1"/>
  <c r="J17" i="11"/>
  <c r="AH14" i="13" s="1"/>
  <c r="J16" i="12"/>
  <c r="J18" i="12" s="1"/>
  <c r="D6" i="13"/>
  <c r="J6" i="11" l="1"/>
  <c r="J7" i="11" s="1"/>
  <c r="J24" i="10"/>
  <c r="J22" i="10"/>
  <c r="H26" i="10"/>
  <c r="H27" i="10" s="1"/>
  <c r="H28" i="10" l="1"/>
  <c r="H30" i="12"/>
  <c r="J20" i="12"/>
  <c r="J23" i="10"/>
  <c r="J34" i="12" l="1"/>
  <c r="K18" i="10"/>
  <c r="H21" i="12"/>
  <c r="H30" i="10"/>
  <c r="H9" i="11" s="1"/>
  <c r="H16" i="11" s="1"/>
  <c r="AF15" i="13" l="1"/>
  <c r="H23" i="12"/>
  <c r="H36" i="12" s="1"/>
  <c r="H24" i="12"/>
  <c r="H25" i="12" s="1"/>
  <c r="H27" i="12" s="1"/>
  <c r="K19" i="10"/>
  <c r="D8" i="13"/>
  <c r="K10" i="12" l="1"/>
  <c r="K11" i="12" s="1"/>
  <c r="K15" i="9"/>
  <c r="K16" i="9" s="1"/>
  <c r="H29" i="12"/>
  <c r="H33" i="12" s="1"/>
  <c r="I26" i="12"/>
  <c r="H37" i="12"/>
  <c r="H38" i="12" s="1"/>
  <c r="K17" i="9" l="1"/>
  <c r="K12" i="12" l="1"/>
  <c r="K14" i="12" s="1"/>
  <c r="K5" i="11"/>
  <c r="K18" i="9"/>
  <c r="K20" i="10" l="1"/>
  <c r="K21" i="10" s="1"/>
  <c r="K17" i="11"/>
  <c r="AI14" i="13" s="1"/>
  <c r="K16" i="12"/>
  <c r="K18" i="12" s="1"/>
  <c r="K6" i="11" l="1"/>
  <c r="K7" i="11" s="1"/>
  <c r="K24" i="10"/>
  <c r="K22" i="10"/>
  <c r="I26" i="10"/>
  <c r="I27" i="10" s="1"/>
  <c r="I30" i="12" l="1"/>
  <c r="I28" i="10"/>
  <c r="K20" i="12"/>
  <c r="K23" i="10"/>
  <c r="K34" i="12" l="1"/>
  <c r="L18" i="10"/>
  <c r="I21" i="12"/>
  <c r="I30" i="10"/>
  <c r="I9" i="11" s="1"/>
  <c r="I16" i="11" s="1"/>
  <c r="AG15" i="13" l="1"/>
  <c r="I23" i="12"/>
  <c r="I36" i="12" s="1"/>
  <c r="I24" i="12"/>
  <c r="I25" i="12" s="1"/>
  <c r="I27" i="12" s="1"/>
  <c r="L19" i="10"/>
  <c r="L10" i="12" l="1"/>
  <c r="L11" i="12" s="1"/>
  <c r="L15" i="9"/>
  <c r="L16" i="9" s="1"/>
  <c r="I29" i="12"/>
  <c r="I33" i="12" s="1"/>
  <c r="J26" i="12"/>
  <c r="I37" i="12"/>
  <c r="I38" i="12" s="1"/>
  <c r="L17" i="9" l="1"/>
  <c r="L12" i="12" l="1"/>
  <c r="L14" i="12" s="1"/>
  <c r="L5" i="11"/>
  <c r="L18" i="9"/>
  <c r="L20" i="10" l="1"/>
  <c r="L21" i="10" s="1"/>
  <c r="L17" i="11"/>
  <c r="AJ14" i="13" s="1"/>
  <c r="L16" i="12"/>
  <c r="L18" i="12" s="1"/>
  <c r="L6" i="11" l="1"/>
  <c r="L7" i="11" s="1"/>
  <c r="L24" i="10"/>
  <c r="L22" i="10"/>
  <c r="J26" i="10"/>
  <c r="J27" i="10" s="1"/>
  <c r="J30" i="12" l="1"/>
  <c r="J28" i="10"/>
  <c r="L20" i="12"/>
  <c r="L23" i="10"/>
  <c r="L34" i="12" l="1"/>
  <c r="M18" i="10"/>
  <c r="J21" i="12"/>
  <c r="J30" i="10"/>
  <c r="J9" i="11" s="1"/>
  <c r="J16" i="11" s="1"/>
  <c r="AH15" i="13" l="1"/>
  <c r="J23" i="12"/>
  <c r="J36" i="12" s="1"/>
  <c r="M19" i="10"/>
  <c r="J24" i="12" l="1"/>
  <c r="J25" i="12" s="1"/>
  <c r="J27" i="12" s="1"/>
  <c r="M15" i="9"/>
  <c r="M16" i="9" s="1"/>
  <c r="M10" i="12"/>
  <c r="M11" i="12" s="1"/>
  <c r="J29" i="12"/>
  <c r="K26" i="12"/>
  <c r="J37" i="12"/>
  <c r="D9" i="13" l="1"/>
  <c r="J38" i="12"/>
  <c r="D7" i="13"/>
  <c r="J33" i="12"/>
  <c r="M17" i="9"/>
  <c r="M18" i="9" s="1"/>
  <c r="M12" i="12" l="1"/>
  <c r="M14" i="12" s="1"/>
  <c r="M5" i="11"/>
  <c r="M20" i="10" l="1"/>
  <c r="M21" i="10" s="1"/>
  <c r="M17" i="11"/>
  <c r="AK14" i="13" s="1"/>
  <c r="M16" i="12"/>
  <c r="M18" i="12" s="1"/>
  <c r="M6" i="11" l="1"/>
  <c r="M7" i="11" s="1"/>
  <c r="M24" i="10"/>
  <c r="M22" i="10"/>
  <c r="K26" i="10"/>
  <c r="K27" i="10" s="1"/>
  <c r="M20" i="12" l="1"/>
  <c r="M23" i="10"/>
  <c r="K30" i="12"/>
  <c r="K28" i="10"/>
  <c r="M34" i="12" l="1"/>
  <c r="N18" i="10"/>
  <c r="K21" i="12"/>
  <c r="K30" i="10"/>
  <c r="K9" i="11" s="1"/>
  <c r="K16" i="11" s="1"/>
  <c r="AI15" i="13" l="1"/>
  <c r="K23" i="12"/>
  <c r="K36" i="12" s="1"/>
  <c r="K24" i="12"/>
  <c r="K25" i="12" s="1"/>
  <c r="K27" i="12" s="1"/>
  <c r="N19" i="10"/>
  <c r="K29" i="12" l="1"/>
  <c r="K33" i="12" s="1"/>
  <c r="L26" i="12"/>
  <c r="N10" i="12"/>
  <c r="N11" i="12" s="1"/>
  <c r="N15" i="9"/>
  <c r="N16" i="9" s="1"/>
  <c r="K37" i="12"/>
  <c r="K38" i="12" s="1"/>
  <c r="N17" i="9" l="1"/>
  <c r="N12" i="12" l="1"/>
  <c r="N14" i="12" s="1"/>
  <c r="N5" i="11"/>
  <c r="N18" i="9"/>
  <c r="N20" i="10" l="1"/>
  <c r="N21" i="10" s="1"/>
  <c r="N17" i="11"/>
  <c r="AL14" i="13" s="1"/>
  <c r="N16" i="12"/>
  <c r="N18" i="12" s="1"/>
  <c r="E6" i="13"/>
  <c r="N24" i="10" l="1"/>
  <c r="N6" i="11"/>
  <c r="N7" i="11" s="1"/>
  <c r="N22" i="10"/>
  <c r="L26" i="10"/>
  <c r="L27" i="10" s="1"/>
  <c r="L30" i="12" l="1"/>
  <c r="L28" i="10"/>
  <c r="N20" i="12"/>
  <c r="N23" i="10"/>
  <c r="N34" i="12" l="1"/>
  <c r="O18" i="10"/>
  <c r="L30" i="10"/>
  <c r="L9" i="11" s="1"/>
  <c r="L16" i="11" s="1"/>
  <c r="L21" i="12"/>
  <c r="AJ15" i="13" l="1"/>
  <c r="L23" i="12"/>
  <c r="L36" i="12" s="1"/>
  <c r="L24" i="12"/>
  <c r="L25" i="12" s="1"/>
  <c r="L27" i="12" s="1"/>
  <c r="O19" i="10"/>
  <c r="E8" i="13"/>
  <c r="O10" i="12" l="1"/>
  <c r="O11" i="12" s="1"/>
  <c r="O15" i="9"/>
  <c r="O16" i="9" s="1"/>
  <c r="M26" i="12"/>
  <c r="L29" i="12"/>
  <c r="L33" i="12" s="1"/>
  <c r="L37" i="12"/>
  <c r="L38" i="12" s="1"/>
  <c r="O17" i="9" l="1"/>
  <c r="O18" i="9" s="1"/>
  <c r="O12" i="12" l="1"/>
  <c r="O14" i="12" s="1"/>
  <c r="O5" i="11"/>
  <c r="O20" i="10" l="1"/>
  <c r="O21" i="10" s="1"/>
  <c r="O17" i="11"/>
  <c r="AM14" i="13" s="1"/>
  <c r="O16" i="12"/>
  <c r="O18" i="12" s="1"/>
  <c r="O24" i="10" l="1"/>
  <c r="O6" i="11"/>
  <c r="O7" i="11" s="1"/>
  <c r="O22" i="10"/>
  <c r="M26" i="10"/>
  <c r="M27" i="10" s="1"/>
  <c r="O20" i="12" l="1"/>
  <c r="O23" i="10"/>
  <c r="M30" i="12"/>
  <c r="M28" i="10"/>
  <c r="M21" i="12" l="1"/>
  <c r="M30" i="10"/>
  <c r="M9" i="11" s="1"/>
  <c r="M16" i="11" s="1"/>
  <c r="O34" i="12"/>
  <c r="P18" i="10"/>
  <c r="AK15" i="13" l="1"/>
  <c r="M23" i="12"/>
  <c r="M36" i="12" s="1"/>
  <c r="P19" i="10"/>
  <c r="M24" i="12"/>
  <c r="M25" i="12" s="1"/>
  <c r="M27" i="12" s="1"/>
  <c r="M37" i="12" l="1"/>
  <c r="M38" i="12" s="1"/>
  <c r="N26" i="12"/>
  <c r="M29" i="12"/>
  <c r="M33" i="12" s="1"/>
  <c r="P10" i="12"/>
  <c r="P11" i="12" s="1"/>
  <c r="P15" i="9"/>
  <c r="P16" i="9" s="1"/>
  <c r="P17" i="9" l="1"/>
  <c r="P12" i="12" l="1"/>
  <c r="P14" i="12" s="1"/>
  <c r="P5" i="11"/>
  <c r="P18" i="9"/>
  <c r="P20" i="10" l="1"/>
  <c r="P21" i="10" s="1"/>
  <c r="P17" i="11"/>
  <c r="AN14" i="13" s="1"/>
  <c r="P16" i="12"/>
  <c r="P18" i="12" s="1"/>
  <c r="P22" i="10" l="1"/>
  <c r="P6" i="11"/>
  <c r="P7" i="11" s="1"/>
  <c r="P24" i="10"/>
  <c r="N26" i="10"/>
  <c r="N27" i="10" s="1"/>
  <c r="N30" i="12" l="1"/>
  <c r="N28" i="10"/>
  <c r="P20" i="12"/>
  <c r="P23" i="10"/>
  <c r="P34" i="12" l="1"/>
  <c r="Q18" i="10"/>
  <c r="N21" i="12"/>
  <c r="N30" i="10"/>
  <c r="N9" i="11" s="1"/>
  <c r="N16" i="11" s="1"/>
  <c r="AL15" i="13" l="1"/>
  <c r="N23" i="12"/>
  <c r="N36" i="12" s="1"/>
  <c r="Q19" i="10"/>
  <c r="Q10" i="12" l="1"/>
  <c r="Q11" i="12" s="1"/>
  <c r="Q15" i="9"/>
  <c r="Q16" i="9" s="1"/>
  <c r="N37" i="12"/>
  <c r="N24" i="12"/>
  <c r="N25" i="12" s="1"/>
  <c r="N27" i="12" s="1"/>
  <c r="O26" i="12" l="1"/>
  <c r="N29" i="12"/>
  <c r="E9" i="13"/>
  <c r="N38" i="12"/>
  <c r="Q17" i="9"/>
  <c r="Q12" i="12" l="1"/>
  <c r="Q14" i="12" s="1"/>
  <c r="Q5" i="11"/>
  <c r="Q18" i="9"/>
  <c r="N33" i="12"/>
  <c r="E7" i="13"/>
  <c r="Q17" i="11" l="1"/>
  <c r="AO14" i="13" s="1"/>
  <c r="Q20" i="10"/>
  <c r="Q21" i="10" s="1"/>
  <c r="Q16" i="12"/>
  <c r="Q18" i="12" s="1"/>
  <c r="Q22" i="10" l="1"/>
  <c r="Q6" i="11"/>
  <c r="Q7" i="11" s="1"/>
  <c r="Q24" i="10"/>
  <c r="O26" i="10"/>
  <c r="O27" i="10" s="1"/>
  <c r="O30" i="12" l="1"/>
  <c r="O28" i="10"/>
  <c r="Q20" i="12"/>
  <c r="Q23" i="10"/>
  <c r="Q34" i="12" l="1"/>
  <c r="R18" i="10"/>
  <c r="O21" i="12"/>
  <c r="O30" i="10"/>
  <c r="O9" i="11" s="1"/>
  <c r="O16" i="11" s="1"/>
  <c r="R19" i="10" l="1"/>
  <c r="AM15" i="13"/>
  <c r="O23" i="12"/>
  <c r="O36" i="12" s="1"/>
  <c r="O24" i="12" l="1"/>
  <c r="O25" i="12" s="1"/>
  <c r="O27" i="12" s="1"/>
  <c r="O29" i="12" s="1"/>
  <c r="O33" i="12" s="1"/>
  <c r="O37" i="12"/>
  <c r="O38" i="12" s="1"/>
  <c r="R10" i="12"/>
  <c r="R11" i="12" s="1"/>
  <c r="R15" i="9"/>
  <c r="R16" i="9" s="1"/>
  <c r="P26" i="12" l="1"/>
  <c r="R17" i="9"/>
  <c r="R12" i="12" l="1"/>
  <c r="R14" i="12" s="1"/>
  <c r="R5" i="11"/>
  <c r="R18" i="9"/>
  <c r="R17" i="11" l="1"/>
  <c r="AP14" i="13" s="1"/>
  <c r="R20" i="10"/>
  <c r="R21" i="10" s="1"/>
  <c r="R16" i="12"/>
  <c r="R18" i="12" s="1"/>
  <c r="F6" i="13"/>
  <c r="R22" i="10" l="1"/>
  <c r="R6" i="11"/>
  <c r="R7" i="11" s="1"/>
  <c r="R24" i="10"/>
  <c r="P26" i="10"/>
  <c r="P27" i="10" s="1"/>
  <c r="P30" i="12" l="1"/>
  <c r="P28" i="10"/>
  <c r="R20" i="12"/>
  <c r="R23" i="10"/>
  <c r="R34" i="12" l="1"/>
  <c r="S18" i="10"/>
  <c r="P21" i="12"/>
  <c r="P30" i="10"/>
  <c r="P9" i="11" s="1"/>
  <c r="P16" i="11" s="1"/>
  <c r="AN15" i="13" l="1"/>
  <c r="P23" i="12"/>
  <c r="P36" i="12" s="1"/>
  <c r="S19" i="10"/>
  <c r="F8" i="13"/>
  <c r="P24" i="12" l="1"/>
  <c r="P25" i="12" s="1"/>
  <c r="P27" i="12" s="1"/>
  <c r="S10" i="12"/>
  <c r="S11" i="12" s="1"/>
  <c r="S15" i="9"/>
  <c r="S16" i="9" s="1"/>
  <c r="P29" i="12"/>
  <c r="P33" i="12" s="1"/>
  <c r="Q26" i="12"/>
  <c r="P37" i="12"/>
  <c r="P38" i="12" s="1"/>
  <c r="S17" i="9" l="1"/>
  <c r="S12" i="12" l="1"/>
  <c r="S14" i="12" s="1"/>
  <c r="S5" i="11"/>
  <c r="S18" i="9"/>
  <c r="S17" i="11" l="1"/>
  <c r="AQ14" i="13" s="1"/>
  <c r="S20" i="10"/>
  <c r="S21" i="10" s="1"/>
  <c r="S16" i="12"/>
  <c r="S18" i="12" s="1"/>
  <c r="S22" i="10" l="1"/>
  <c r="S6" i="11"/>
  <c r="S7" i="11" s="1"/>
  <c r="S24" i="10"/>
  <c r="Q26" i="10"/>
  <c r="Q27" i="10" s="1"/>
  <c r="Q30" i="12" l="1"/>
  <c r="Q28" i="10"/>
  <c r="S20" i="12"/>
  <c r="S23" i="10"/>
  <c r="S34" i="12" l="1"/>
  <c r="T18" i="10"/>
  <c r="Q30" i="10"/>
  <c r="Q9" i="11" s="1"/>
  <c r="Q16" i="11" s="1"/>
  <c r="Q21" i="12"/>
  <c r="Q23" i="12" l="1"/>
  <c r="Q36" i="12" s="1"/>
  <c r="AO15" i="13"/>
  <c r="Q24" i="12"/>
  <c r="Q25" i="12" s="1"/>
  <c r="Q27" i="12" s="1"/>
  <c r="T19" i="10"/>
  <c r="T10" i="12" l="1"/>
  <c r="T11" i="12" s="1"/>
  <c r="T15" i="9"/>
  <c r="T16" i="9" s="1"/>
  <c r="R26" i="12"/>
  <c r="Q29" i="12"/>
  <c r="Q33" i="12" s="1"/>
  <c r="Q37" i="12"/>
  <c r="Q38" i="12" s="1"/>
  <c r="T17" i="9" l="1"/>
  <c r="T12" i="12" l="1"/>
  <c r="T14" i="12" s="1"/>
  <c r="T5" i="11"/>
  <c r="T18" i="9"/>
  <c r="T17" i="11" l="1"/>
  <c r="AR14" i="13" s="1"/>
  <c r="T20" i="10"/>
  <c r="T21" i="10" s="1"/>
  <c r="T16" i="12"/>
  <c r="T18" i="12" s="1"/>
  <c r="T22" i="10" l="1"/>
  <c r="T6" i="11"/>
  <c r="T7" i="11" s="1"/>
  <c r="T24" i="10"/>
  <c r="R26" i="10"/>
  <c r="R27" i="10" s="1"/>
  <c r="R30" i="12" l="1"/>
  <c r="R28" i="10"/>
  <c r="T20" i="12"/>
  <c r="T23" i="10"/>
  <c r="T34" i="12" l="1"/>
  <c r="U18" i="10"/>
  <c r="R21" i="12"/>
  <c r="R30" i="10"/>
  <c r="R9" i="11" s="1"/>
  <c r="R16" i="11" s="1"/>
  <c r="AP15" i="13" l="1"/>
  <c r="R23" i="12"/>
  <c r="R36" i="12" s="1"/>
  <c r="U19" i="10"/>
  <c r="R24" i="12" l="1"/>
  <c r="R25" i="12" s="1"/>
  <c r="R27" i="12" s="1"/>
  <c r="U15" i="9"/>
  <c r="U16" i="9" s="1"/>
  <c r="U10" i="12"/>
  <c r="U11" i="12" s="1"/>
  <c r="S26" i="12"/>
  <c r="R29" i="12"/>
  <c r="R37" i="12"/>
  <c r="R33" i="12" l="1"/>
  <c r="F7" i="13"/>
  <c r="F9" i="13"/>
  <c r="R38" i="12"/>
  <c r="U17" i="9"/>
  <c r="U12" i="12" l="1"/>
  <c r="U14" i="12" s="1"/>
  <c r="U5" i="11"/>
  <c r="U18" i="9"/>
  <c r="U20" i="10" l="1"/>
  <c r="U21" i="10" s="1"/>
  <c r="U17" i="11"/>
  <c r="AS14" i="13" s="1"/>
  <c r="U16" i="12"/>
  <c r="U18" i="12" s="1"/>
  <c r="U22" i="10" l="1"/>
  <c r="U6" i="11"/>
  <c r="U7" i="11" s="1"/>
  <c r="U24" i="10"/>
  <c r="S26" i="10"/>
  <c r="S27" i="10" s="1"/>
  <c r="S30" i="12" l="1"/>
  <c r="S28" i="10"/>
  <c r="U20" i="12"/>
  <c r="U23" i="10"/>
  <c r="U34" i="12" l="1"/>
  <c r="V18" i="10"/>
  <c r="S21" i="12"/>
  <c r="S30" i="10"/>
  <c r="S9" i="11" s="1"/>
  <c r="S16" i="11" s="1"/>
  <c r="AQ15" i="13" l="1"/>
  <c r="S23" i="12"/>
  <c r="S36" i="12" s="1"/>
  <c r="V19" i="10"/>
  <c r="S24" i="12" l="1"/>
  <c r="S25" i="12" s="1"/>
  <c r="S27" i="12" s="1"/>
  <c r="S29" i="12" s="1"/>
  <c r="S33" i="12" s="1"/>
  <c r="V10" i="12"/>
  <c r="V11" i="12" s="1"/>
  <c r="V15" i="9"/>
  <c r="V16" i="9" s="1"/>
  <c r="S37" i="12"/>
  <c r="S38" i="12" s="1"/>
  <c r="T26" i="12" l="1"/>
  <c r="V17" i="9"/>
  <c r="V12" i="12" l="1"/>
  <c r="V14" i="12" s="1"/>
  <c r="V5" i="11"/>
  <c r="V18" i="9"/>
  <c r="V17" i="11" l="1"/>
  <c r="AT14" i="13" s="1"/>
  <c r="V20" i="10"/>
  <c r="V21" i="10" s="1"/>
  <c r="V16" i="12"/>
  <c r="V18" i="12" s="1"/>
  <c r="G6" i="13"/>
  <c r="V24" i="10" l="1"/>
  <c r="V6" i="11"/>
  <c r="V7" i="11" s="1"/>
  <c r="V22" i="10"/>
  <c r="T26" i="10"/>
  <c r="T27" i="10" s="1"/>
  <c r="T30" i="12" l="1"/>
  <c r="T28" i="10"/>
  <c r="V20" i="12"/>
  <c r="V23" i="10"/>
  <c r="V34" i="12" l="1"/>
  <c r="W18" i="10"/>
  <c r="T21" i="12"/>
  <c r="T30" i="10"/>
  <c r="T9" i="11" s="1"/>
  <c r="T16" i="11" s="1"/>
  <c r="W19" i="10" l="1"/>
  <c r="AR15" i="13"/>
  <c r="T23" i="12"/>
  <c r="T36" i="12" s="1"/>
  <c r="G8" i="13"/>
  <c r="T24" i="12" l="1"/>
  <c r="T25" i="12" s="1"/>
  <c r="T27" i="12" s="1"/>
  <c r="T29" i="12" s="1"/>
  <c r="T33" i="12" s="1"/>
  <c r="T37" i="12"/>
  <c r="T38" i="12" s="1"/>
  <c r="W10" i="12"/>
  <c r="W11" i="12" s="1"/>
  <c r="W15" i="9"/>
  <c r="W16" i="9" s="1"/>
  <c r="U26" i="12" l="1"/>
  <c r="W17" i="9"/>
  <c r="W18" i="9" s="1"/>
  <c r="W12" i="12" l="1"/>
  <c r="W14" i="12" s="1"/>
  <c r="W5" i="11"/>
  <c r="W17" i="11" l="1"/>
  <c r="AU14" i="13" s="1"/>
  <c r="W20" i="10"/>
  <c r="W21" i="10" s="1"/>
  <c r="W16" i="12"/>
  <c r="W18" i="12" s="1"/>
  <c r="W6" i="11" l="1"/>
  <c r="W7" i="11" s="1"/>
  <c r="W24" i="10"/>
  <c r="W22" i="10"/>
  <c r="U26" i="10"/>
  <c r="U27" i="10" s="1"/>
  <c r="U30" i="12" l="1"/>
  <c r="U28" i="10"/>
  <c r="W20" i="12"/>
  <c r="W23" i="10"/>
  <c r="W34" i="12" l="1"/>
  <c r="X18" i="10"/>
  <c r="U21" i="12"/>
  <c r="U30" i="10"/>
  <c r="U9" i="11" s="1"/>
  <c r="U16" i="11" s="1"/>
  <c r="U23" i="12" l="1"/>
  <c r="U36" i="12" s="1"/>
  <c r="AS15" i="13"/>
  <c r="X19" i="10"/>
  <c r="U24" i="12"/>
  <c r="U25" i="12" s="1"/>
  <c r="U27" i="12" s="1"/>
  <c r="U29" i="12" l="1"/>
  <c r="U33" i="12" s="1"/>
  <c r="V26" i="12"/>
  <c r="X15" i="9"/>
  <c r="X16" i="9" s="1"/>
  <c r="X10" i="12"/>
  <c r="X11" i="12" s="1"/>
  <c r="U37" i="12"/>
  <c r="U38" i="12" s="1"/>
  <c r="X17" i="9" l="1"/>
  <c r="X12" i="12" l="1"/>
  <c r="X14" i="12" s="1"/>
  <c r="X5" i="11"/>
  <c r="X18" i="9"/>
  <c r="X17" i="11" l="1"/>
  <c r="AV14" i="13" s="1"/>
  <c r="X20" i="10"/>
  <c r="X21" i="10" s="1"/>
  <c r="X16" i="12"/>
  <c r="X18" i="12" s="1"/>
  <c r="X6" i="11" l="1"/>
  <c r="X7" i="11" s="1"/>
  <c r="X22" i="10"/>
  <c r="X24" i="10"/>
  <c r="V26" i="10"/>
  <c r="V27" i="10" s="1"/>
  <c r="X20" i="12" l="1"/>
  <c r="X23" i="10"/>
  <c r="V30" i="12"/>
  <c r="V28" i="10"/>
  <c r="V21" i="12" l="1"/>
  <c r="V30" i="10"/>
  <c r="V9" i="11" s="1"/>
  <c r="V16" i="11" s="1"/>
  <c r="X34" i="12"/>
  <c r="Y18" i="10"/>
  <c r="Y19" i="10" l="1"/>
  <c r="AT15" i="13"/>
  <c r="V23" i="12"/>
  <c r="V36" i="12" s="1"/>
  <c r="V24" i="12" l="1"/>
  <c r="V25" i="12" s="1"/>
  <c r="V27" i="12" s="1"/>
  <c r="W26" i="12" s="1"/>
  <c r="V37" i="12"/>
  <c r="Y10" i="12"/>
  <c r="Y11" i="12" s="1"/>
  <c r="Y15" i="9"/>
  <c r="Y16" i="9" s="1"/>
  <c r="V29" i="12" l="1"/>
  <c r="G7" i="13"/>
  <c r="V33" i="12"/>
  <c r="Y17" i="9"/>
  <c r="G9" i="13"/>
  <c r="V38" i="12"/>
  <c r="Y12" i="12" l="1"/>
  <c r="Y14" i="12" s="1"/>
  <c r="Y5" i="11"/>
  <c r="Y18" i="9"/>
  <c r="Y17" i="11" l="1"/>
  <c r="AW14" i="13" s="1"/>
  <c r="Y20" i="10"/>
  <c r="Y21" i="10" s="1"/>
  <c r="Y16" i="12"/>
  <c r="Y18" i="12" s="1"/>
  <c r="Y6" i="11" l="1"/>
  <c r="Y7" i="11" s="1"/>
  <c r="Y22" i="10"/>
  <c r="Y24" i="10"/>
  <c r="W26" i="10"/>
  <c r="W27" i="10" s="1"/>
  <c r="W30" i="12" l="1"/>
  <c r="W28" i="10"/>
  <c r="Y20" i="12"/>
  <c r="Y23" i="10"/>
  <c r="Y34" i="12" l="1"/>
  <c r="Z18" i="10"/>
  <c r="W21" i="12"/>
  <c r="W30" i="10"/>
  <c r="W9" i="11" s="1"/>
  <c r="W16" i="11" s="1"/>
  <c r="AU15" i="13" l="1"/>
  <c r="W23" i="12"/>
  <c r="W36" i="12" s="1"/>
  <c r="Z19" i="10"/>
  <c r="W24" i="12" l="1"/>
  <c r="W25" i="12" s="1"/>
  <c r="W27" i="12" s="1"/>
  <c r="X26" i="12" s="1"/>
  <c r="W29" i="12"/>
  <c r="W33" i="12" s="1"/>
  <c r="Z15" i="9"/>
  <c r="Z16" i="9" s="1"/>
  <c r="Z10" i="12"/>
  <c r="Z11" i="12" s="1"/>
  <c r="W37" i="12"/>
  <c r="W38" i="12" s="1"/>
  <c r="Z17" i="9" l="1"/>
  <c r="Z12" i="12" l="1"/>
  <c r="Z14" i="12" s="1"/>
  <c r="Z5" i="11"/>
  <c r="Z18" i="9"/>
  <c r="Z17" i="11" l="1"/>
  <c r="AX14" i="13" s="1"/>
  <c r="Z20" i="10"/>
  <c r="Z21" i="10" s="1"/>
  <c r="Z16" i="12"/>
  <c r="Z18" i="12" s="1"/>
  <c r="H6" i="13"/>
  <c r="Z6" i="11" l="1"/>
  <c r="Z7" i="11" s="1"/>
  <c r="Z24" i="10"/>
  <c r="Z22" i="10"/>
  <c r="X26" i="10"/>
  <c r="X27" i="10" s="1"/>
  <c r="X28" i="10" l="1"/>
  <c r="X30" i="12"/>
  <c r="Z20" i="12"/>
  <c r="Z23" i="10"/>
  <c r="Z34" i="12" l="1"/>
  <c r="AA18" i="10"/>
  <c r="X21" i="12"/>
  <c r="X30" i="10"/>
  <c r="X9" i="11" s="1"/>
  <c r="X16" i="11" s="1"/>
  <c r="AV15" i="13" l="1"/>
  <c r="X23" i="12"/>
  <c r="X36" i="12" s="1"/>
  <c r="AA19" i="10"/>
  <c r="H8" i="13"/>
  <c r="X24" i="12" l="1"/>
  <c r="X25" i="12" s="1"/>
  <c r="X27" i="12" s="1"/>
  <c r="AA10" i="12"/>
  <c r="AA11" i="12" s="1"/>
  <c r="AA15" i="9"/>
  <c r="AA16" i="9" s="1"/>
  <c r="X29" i="12"/>
  <c r="X33" i="12" s="1"/>
  <c r="Y26" i="12"/>
  <c r="X37" i="12"/>
  <c r="X38" i="12" s="1"/>
  <c r="AA17" i="9" l="1"/>
  <c r="AA12" i="12" l="1"/>
  <c r="AA14" i="12" s="1"/>
  <c r="AA5" i="11"/>
  <c r="AA18" i="9"/>
  <c r="AA17" i="11" l="1"/>
  <c r="AY14" i="13" s="1"/>
  <c r="AA20" i="10"/>
  <c r="AA21" i="10" s="1"/>
  <c r="AA16" i="12"/>
  <c r="AA18" i="12" s="1"/>
  <c r="AA24" i="10" l="1"/>
  <c r="AA22" i="10"/>
  <c r="AA6" i="11"/>
  <c r="AA7" i="11" s="1"/>
  <c r="Y26" i="10"/>
  <c r="Y27" i="10" s="1"/>
  <c r="AA20" i="12" l="1"/>
  <c r="AA23" i="10"/>
  <c r="Y28" i="10"/>
  <c r="Y30" i="12"/>
  <c r="Y21" i="12" l="1"/>
  <c r="Y30" i="10"/>
  <c r="Y9" i="11" s="1"/>
  <c r="Y16" i="11" s="1"/>
  <c r="AA34" i="12"/>
  <c r="AB18" i="10"/>
  <c r="AB19" i="10" l="1"/>
  <c r="Y23" i="12"/>
  <c r="Y36" i="12" s="1"/>
  <c r="AW15" i="13"/>
  <c r="Y24" i="12"/>
  <c r="Y25" i="12" s="1"/>
  <c r="Y27" i="12" s="1"/>
  <c r="Y29" i="12" l="1"/>
  <c r="Y33" i="12" s="1"/>
  <c r="Z26" i="12"/>
  <c r="Y37" i="12"/>
  <c r="Y38" i="12" s="1"/>
  <c r="AB10" i="12"/>
  <c r="AB11" i="12" s="1"/>
  <c r="AB15" i="9"/>
  <c r="AB16" i="9" s="1"/>
  <c r="AB17" i="9" l="1"/>
  <c r="AB12" i="12" l="1"/>
  <c r="AB14" i="12" s="1"/>
  <c r="AB5" i="11"/>
  <c r="AB18" i="9"/>
  <c r="AB17" i="11" l="1"/>
  <c r="AZ14" i="13" s="1"/>
  <c r="AB20" i="10"/>
  <c r="AB21" i="10" s="1"/>
  <c r="AB16" i="12"/>
  <c r="AB18" i="12" s="1"/>
  <c r="AB24" i="10" l="1"/>
  <c r="AB22" i="10"/>
  <c r="AB6" i="11"/>
  <c r="AB7" i="11" s="1"/>
  <c r="Z26" i="10"/>
  <c r="Z27" i="10" s="1"/>
  <c r="Z30" i="12" l="1"/>
  <c r="Z28" i="10"/>
  <c r="AB20" i="12"/>
  <c r="AB23" i="10"/>
  <c r="AB34" i="12" l="1"/>
  <c r="AC18" i="10"/>
  <c r="Z21" i="12"/>
  <c r="Z30" i="10"/>
  <c r="Z9" i="11" s="1"/>
  <c r="Z16" i="11" s="1"/>
  <c r="AX15" i="13" l="1"/>
  <c r="Z23" i="12"/>
  <c r="Z36" i="12" s="1"/>
  <c r="Z24" i="12"/>
  <c r="Z25" i="12" s="1"/>
  <c r="Z27" i="12" s="1"/>
  <c r="AC19" i="10"/>
  <c r="AC10" i="12" l="1"/>
  <c r="AC11" i="12" s="1"/>
  <c r="AC15" i="9"/>
  <c r="AC16" i="9" s="1"/>
  <c r="AA26" i="12"/>
  <c r="Z29" i="12"/>
  <c r="Z37" i="12"/>
  <c r="AC17" i="9" l="1"/>
  <c r="H9" i="13"/>
  <c r="Z38" i="12"/>
  <c r="H7" i="13"/>
  <c r="Z33" i="12"/>
  <c r="AC12" i="12" l="1"/>
  <c r="AC14" i="12" s="1"/>
  <c r="AC5" i="11"/>
  <c r="AC18" i="9"/>
  <c r="AC17" i="11" l="1"/>
  <c r="BA14" i="13" s="1"/>
  <c r="AC20" i="10"/>
  <c r="AC21" i="10" s="1"/>
  <c r="AC16" i="12"/>
  <c r="AC18" i="12" s="1"/>
  <c r="AC24" i="10" l="1"/>
  <c r="AC22" i="10"/>
  <c r="AC6" i="11"/>
  <c r="AC7" i="11" s="1"/>
  <c r="AA26" i="10"/>
  <c r="AA27" i="10" s="1"/>
  <c r="AA30" i="12" l="1"/>
  <c r="AA28" i="10"/>
  <c r="AC20" i="12"/>
  <c r="AC23" i="10"/>
  <c r="AC34" i="12" l="1"/>
  <c r="AD18" i="10"/>
  <c r="AA30" i="10"/>
  <c r="AA9" i="11" s="1"/>
  <c r="AA16" i="11" s="1"/>
  <c r="AA21" i="12"/>
  <c r="AY15" i="13" l="1"/>
  <c r="AA23" i="12"/>
  <c r="AA36" i="12" s="1"/>
  <c r="AD19" i="10"/>
  <c r="AD10" i="12" l="1"/>
  <c r="AD11" i="12" s="1"/>
  <c r="AD15" i="9"/>
  <c r="AD16" i="9" s="1"/>
  <c r="AA37" i="12"/>
  <c r="AA38" i="12" s="1"/>
  <c r="AA24" i="12"/>
  <c r="AA25" i="12" s="1"/>
  <c r="AA27" i="12" s="1"/>
  <c r="AA29" i="12" l="1"/>
  <c r="AA33" i="12" s="1"/>
  <c r="AB26" i="12"/>
  <c r="AD17" i="9"/>
  <c r="AD12" i="12" l="1"/>
  <c r="AD14" i="12" s="1"/>
  <c r="AD5" i="11"/>
  <c r="AD18" i="9"/>
  <c r="AD17" i="11" l="1"/>
  <c r="BB14" i="13" s="1"/>
  <c r="AD20" i="10"/>
  <c r="AD21" i="10" s="1"/>
  <c r="AD16" i="12"/>
  <c r="AD18" i="12" s="1"/>
  <c r="I6" i="13"/>
  <c r="AD6" i="11" l="1"/>
  <c r="AD7" i="11" s="1"/>
  <c r="AD24" i="10"/>
  <c r="AD22" i="10"/>
  <c r="AB26" i="10"/>
  <c r="AB27" i="10" s="1"/>
  <c r="AB30" i="12" l="1"/>
  <c r="AB28" i="10"/>
  <c r="AD20" i="12"/>
  <c r="AD23" i="10"/>
  <c r="AD34" i="12" l="1"/>
  <c r="AE18" i="10"/>
  <c r="AB21" i="12"/>
  <c r="AB30" i="10"/>
  <c r="AB9" i="11" s="1"/>
  <c r="AB16" i="11" s="1"/>
  <c r="AZ15" i="13" l="1"/>
  <c r="AB23" i="12"/>
  <c r="AB36" i="12" s="1"/>
  <c r="AB24" i="12"/>
  <c r="AB25" i="12" s="1"/>
  <c r="AB27" i="12" s="1"/>
  <c r="AE19" i="10"/>
  <c r="I8" i="13"/>
  <c r="AE10" i="12" l="1"/>
  <c r="AE11" i="12" s="1"/>
  <c r="AE15" i="9"/>
  <c r="AE16" i="9" s="1"/>
  <c r="AB29" i="12"/>
  <c r="AB33" i="12" s="1"/>
  <c r="AC26" i="12"/>
  <c r="AB37" i="12"/>
  <c r="AB38" i="12" s="1"/>
  <c r="AE17" i="9" l="1"/>
  <c r="AE12" i="12" l="1"/>
  <c r="AE14" i="12" s="1"/>
  <c r="AE5" i="11"/>
  <c r="AE18" i="9"/>
  <c r="AE20" i="10" l="1"/>
  <c r="AE21" i="10" s="1"/>
  <c r="AE17" i="11"/>
  <c r="BC14" i="13" s="1"/>
  <c r="AE16" i="12"/>
  <c r="AE18" i="12" s="1"/>
  <c r="AE24" i="10" l="1"/>
  <c r="AE6" i="11"/>
  <c r="AE7" i="11" s="1"/>
  <c r="AE22" i="10"/>
  <c r="AC26" i="10"/>
  <c r="AC27" i="10" s="1"/>
  <c r="AC30" i="12" l="1"/>
  <c r="AC28" i="10"/>
  <c r="AE20" i="12"/>
  <c r="AE23" i="10"/>
  <c r="AC21" i="12" l="1"/>
  <c r="AC30" i="10"/>
  <c r="AC9" i="11" s="1"/>
  <c r="AC16" i="11" s="1"/>
  <c r="AE34" i="12"/>
  <c r="AF18" i="10"/>
  <c r="AF19" i="10" l="1"/>
  <c r="BA15" i="13"/>
  <c r="AC23" i="12"/>
  <c r="AC36" i="12" s="1"/>
  <c r="AC37" i="12" l="1"/>
  <c r="AC38" i="12" s="1"/>
  <c r="AF10" i="12"/>
  <c r="AF11" i="12" s="1"/>
  <c r="AF15" i="9"/>
  <c r="AF16" i="9" s="1"/>
  <c r="AC24" i="12"/>
  <c r="AC25" i="12" s="1"/>
  <c r="AC27" i="12" s="1"/>
  <c r="AF17" i="9" l="1"/>
  <c r="AD26" i="12"/>
  <c r="AC29" i="12"/>
  <c r="AC33" i="12" s="1"/>
  <c r="AF12" i="12" l="1"/>
  <c r="AF14" i="12" s="1"/>
  <c r="AF5" i="11"/>
  <c r="AF18" i="9"/>
  <c r="AF20" i="10" l="1"/>
  <c r="AF21" i="10" s="1"/>
  <c r="AF17" i="11"/>
  <c r="BD14" i="13" s="1"/>
  <c r="AF16" i="12"/>
  <c r="AF18" i="12" s="1"/>
  <c r="AF24" i="10" l="1"/>
  <c r="AF6" i="11"/>
  <c r="AF7" i="11" s="1"/>
  <c r="AF22" i="10"/>
  <c r="AD26" i="10"/>
  <c r="AD27" i="10" s="1"/>
  <c r="AD30" i="12" l="1"/>
  <c r="AD28" i="10"/>
  <c r="AF20" i="12"/>
  <c r="AF23" i="10"/>
  <c r="AF34" i="12" l="1"/>
  <c r="AG18" i="10"/>
  <c r="AD21" i="12"/>
  <c r="AD30" i="10"/>
  <c r="AD9" i="11" s="1"/>
  <c r="AD16" i="11" s="1"/>
  <c r="AG19" i="10" l="1"/>
  <c r="BB15" i="13"/>
  <c r="AD23" i="12"/>
  <c r="AD36" i="12" s="1"/>
  <c r="AD37" i="12" l="1"/>
  <c r="AD24" i="12"/>
  <c r="AD25" i="12" s="1"/>
  <c r="AD27" i="12" s="1"/>
  <c r="AG15" i="9"/>
  <c r="AG16" i="9" s="1"/>
  <c r="AG10" i="12"/>
  <c r="AG11" i="12" s="1"/>
  <c r="AG17" i="9" l="1"/>
  <c r="AE26" i="12"/>
  <c r="AD29" i="12"/>
  <c r="I9" i="13"/>
  <c r="AD38" i="12"/>
  <c r="I7" i="13" l="1"/>
  <c r="AD33" i="12"/>
  <c r="AG12" i="12"/>
  <c r="AG14" i="12" s="1"/>
  <c r="AG5" i="11"/>
  <c r="AG18" i="9"/>
  <c r="AG16" i="12" l="1"/>
  <c r="AG18" i="12" s="1"/>
  <c r="AG20" i="10"/>
  <c r="AG21" i="10" s="1"/>
  <c r="AG17" i="11"/>
  <c r="BE14" i="13" s="1"/>
  <c r="AG6" i="11" l="1"/>
  <c r="AG7" i="11" s="1"/>
  <c r="AG22" i="10"/>
  <c r="AG24" i="10"/>
  <c r="AE26" i="10"/>
  <c r="AE27" i="10" s="1"/>
  <c r="AE30" i="12" l="1"/>
  <c r="AE28" i="10"/>
  <c r="AG20" i="12"/>
  <c r="AG23" i="10"/>
  <c r="AG34" i="12" l="1"/>
  <c r="AH18" i="10"/>
  <c r="AE21" i="12"/>
  <c r="AE30" i="10"/>
  <c r="AE9" i="11" s="1"/>
  <c r="AE16" i="11" s="1"/>
  <c r="BC15" i="13" l="1"/>
  <c r="AE23" i="12"/>
  <c r="AE36" i="12" s="1"/>
  <c r="AH19" i="10"/>
  <c r="AE24" i="12" l="1"/>
  <c r="AE25" i="12" s="1"/>
  <c r="AE27" i="12" s="1"/>
  <c r="AF26" i="12" s="1"/>
  <c r="AH10" i="12"/>
  <c r="AH11" i="12" s="1"/>
  <c r="AH15" i="9"/>
  <c r="AH16" i="9" s="1"/>
  <c r="AE37" i="12"/>
  <c r="AE38" i="12" s="1"/>
  <c r="AE29" i="12" l="1"/>
  <c r="AE33" i="12" s="1"/>
  <c r="AH17" i="9"/>
  <c r="AH12" i="12" l="1"/>
  <c r="AH14" i="12" s="1"/>
  <c r="AH5" i="11"/>
  <c r="AH18" i="9"/>
  <c r="AH20" i="10" l="1"/>
  <c r="AH21" i="10" s="1"/>
  <c r="AH17" i="11"/>
  <c r="BF14" i="13" s="1"/>
  <c r="AH16" i="12"/>
  <c r="AH18" i="12" s="1"/>
  <c r="J6" i="13"/>
  <c r="AH6" i="11" l="1"/>
  <c r="AH7" i="11" s="1"/>
  <c r="AH24" i="10"/>
  <c r="AH22" i="10"/>
  <c r="AF26" i="10"/>
  <c r="AF27" i="10" s="1"/>
  <c r="AF30" i="12" l="1"/>
  <c r="AF28" i="10"/>
  <c r="AH20" i="12"/>
  <c r="AH23" i="10"/>
  <c r="AF30" i="10" l="1"/>
  <c r="AF9" i="11" s="1"/>
  <c r="AF16" i="11" s="1"/>
  <c r="AF21" i="12"/>
  <c r="AH34" i="12"/>
  <c r="AI18" i="10"/>
  <c r="J8" i="13" l="1"/>
  <c r="AI19" i="10"/>
  <c r="BD15" i="13"/>
  <c r="AF23" i="12"/>
  <c r="AF36" i="12" s="1"/>
  <c r="AF37" i="12" l="1"/>
  <c r="AF38" i="12" s="1"/>
  <c r="AI10" i="12"/>
  <c r="AI11" i="12" s="1"/>
  <c r="AI15" i="9"/>
  <c r="AI16" i="9" s="1"/>
  <c r="AF24" i="12"/>
  <c r="AF25" i="12" s="1"/>
  <c r="AF27" i="12" s="1"/>
  <c r="AG26" i="12" l="1"/>
  <c r="AF29" i="12"/>
  <c r="AF33" i="12" s="1"/>
  <c r="AI17" i="9"/>
  <c r="AI12" i="12" l="1"/>
  <c r="AI14" i="12" s="1"/>
  <c r="AI5" i="11"/>
  <c r="AI18" i="9"/>
  <c r="AI17" i="11" l="1"/>
  <c r="BG14" i="13" s="1"/>
  <c r="AI20" i="10"/>
  <c r="AI21" i="10" s="1"/>
  <c r="AI16" i="12"/>
  <c r="AI18" i="12" s="1"/>
  <c r="AI6" i="11" l="1"/>
  <c r="AI7" i="11" s="1"/>
  <c r="AI22" i="10"/>
  <c r="AI24" i="10"/>
  <c r="AG26" i="10"/>
  <c r="AG27" i="10" s="1"/>
  <c r="AG30" i="12" l="1"/>
  <c r="AG28" i="10"/>
  <c r="AI20" i="12"/>
  <c r="AI23" i="10"/>
  <c r="AG21" i="12" l="1"/>
  <c r="AG30" i="10"/>
  <c r="AG9" i="11" s="1"/>
  <c r="AG16" i="11" s="1"/>
  <c r="AI34" i="12"/>
  <c r="AJ18" i="10"/>
  <c r="AJ19" i="10" l="1"/>
  <c r="BE15" i="13"/>
  <c r="AG23" i="12"/>
  <c r="AG36" i="12" s="1"/>
  <c r="AG37" i="12" l="1"/>
  <c r="AG38" i="12" s="1"/>
  <c r="AJ10" i="12"/>
  <c r="AJ11" i="12" s="1"/>
  <c r="AJ15" i="9"/>
  <c r="AJ16" i="9" s="1"/>
  <c r="AG24" i="12"/>
  <c r="AG25" i="12" s="1"/>
  <c r="AG27" i="12" s="1"/>
  <c r="AH26" i="12" l="1"/>
  <c r="AG29" i="12"/>
  <c r="AG33" i="12" s="1"/>
  <c r="AJ17" i="9"/>
  <c r="AJ18" i="9" s="1"/>
  <c r="AJ12" i="12" l="1"/>
  <c r="AJ14" i="12" s="1"/>
  <c r="AJ5" i="11"/>
  <c r="AJ17" i="11" l="1"/>
  <c r="BH14" i="13" s="1"/>
  <c r="AJ20" i="10"/>
  <c r="AJ21" i="10" s="1"/>
  <c r="AJ16" i="12"/>
  <c r="AJ18" i="12" s="1"/>
  <c r="AJ22" i="10" l="1"/>
  <c r="AJ6" i="11"/>
  <c r="AJ7" i="11" s="1"/>
  <c r="AJ24" i="10"/>
  <c r="AH26" i="10"/>
  <c r="AH27" i="10" s="1"/>
  <c r="AH30" i="12" l="1"/>
  <c r="AH28" i="10"/>
  <c r="AJ20" i="12"/>
  <c r="AJ23" i="10"/>
  <c r="AJ34" i="12" l="1"/>
  <c r="AK18" i="10"/>
  <c r="AH21" i="12"/>
  <c r="AH30" i="10"/>
  <c r="AH9" i="11" s="1"/>
  <c r="AH16" i="11" s="1"/>
  <c r="AK19" i="10" l="1"/>
  <c r="BF15" i="13"/>
  <c r="AH23" i="12"/>
  <c r="AH36" i="12" s="1"/>
  <c r="AH37" i="12" l="1"/>
  <c r="AH24" i="12"/>
  <c r="AH25" i="12" s="1"/>
  <c r="AH27" i="12" s="1"/>
  <c r="AK15" i="9"/>
  <c r="AK16" i="9" s="1"/>
  <c r="AK10" i="12"/>
  <c r="AK11" i="12" s="1"/>
  <c r="AK17" i="9" l="1"/>
  <c r="AH29" i="12"/>
  <c r="AI26" i="12"/>
  <c r="J9" i="13"/>
  <c r="AH38" i="12"/>
  <c r="J7" i="13" l="1"/>
  <c r="AH33" i="12"/>
  <c r="AK12" i="12"/>
  <c r="AK14" i="12" s="1"/>
  <c r="AK5" i="11"/>
  <c r="AK18" i="9"/>
  <c r="AK16" i="12" l="1"/>
  <c r="AK18" i="12" s="1"/>
  <c r="AK17" i="11"/>
  <c r="BI14" i="13" s="1"/>
  <c r="AK20" i="10"/>
  <c r="AK21" i="10" s="1"/>
  <c r="AK22" i="10" l="1"/>
  <c r="AK6" i="11"/>
  <c r="AK7" i="11" s="1"/>
  <c r="AK24" i="10"/>
  <c r="AI26" i="10"/>
  <c r="AI27" i="10" s="1"/>
  <c r="AI30" i="12" l="1"/>
  <c r="AI28" i="10"/>
  <c r="AK20" i="12"/>
  <c r="AK23" i="10"/>
  <c r="AK34" i="12" l="1"/>
  <c r="AL18" i="10"/>
  <c r="AI21" i="12"/>
  <c r="AI30" i="10"/>
  <c r="AI9" i="11" s="1"/>
  <c r="AI16" i="11" s="1"/>
  <c r="AI23" i="12" l="1"/>
  <c r="AI36" i="12" s="1"/>
  <c r="BG15" i="13"/>
  <c r="AL19" i="10"/>
  <c r="AI24" i="12"/>
  <c r="AI25" i="12" s="1"/>
  <c r="AI27" i="12" s="1"/>
  <c r="AL10" i="12" l="1"/>
  <c r="AL11" i="12" s="1"/>
  <c r="AL15" i="9"/>
  <c r="AL16" i="9" s="1"/>
  <c r="AI29" i="12"/>
  <c r="AI33" i="12" s="1"/>
  <c r="AJ26" i="12"/>
  <c r="AI37" i="12"/>
  <c r="AI38" i="12" s="1"/>
  <c r="AL17" i="9" l="1"/>
  <c r="AL12" i="12" l="1"/>
  <c r="AL14" i="12" s="1"/>
  <c r="AL5" i="11"/>
  <c r="AL18" i="9"/>
  <c r="AL17" i="11" l="1"/>
  <c r="BJ14" i="13" s="1"/>
  <c r="AL20" i="10"/>
  <c r="AL21" i="10" s="1"/>
  <c r="AL16" i="12"/>
  <c r="AL18" i="12" s="1"/>
  <c r="K6" i="13"/>
  <c r="AL22" i="10" l="1"/>
  <c r="AL6" i="11"/>
  <c r="AL7" i="11" s="1"/>
  <c r="AL24" i="10"/>
  <c r="AJ26" i="10"/>
  <c r="AJ27" i="10" s="1"/>
  <c r="AJ30" i="12" l="1"/>
  <c r="AJ28" i="10"/>
  <c r="AL20" i="12"/>
  <c r="AL23" i="10"/>
  <c r="AL34" i="12" l="1"/>
  <c r="AM18" i="10"/>
  <c r="AJ21" i="12"/>
  <c r="AJ30" i="10"/>
  <c r="AJ9" i="11" s="1"/>
  <c r="AJ16" i="11" s="1"/>
  <c r="BH15" i="13" l="1"/>
  <c r="AJ23" i="12"/>
  <c r="AJ36" i="12" s="1"/>
  <c r="AM19" i="10"/>
  <c r="K8" i="13"/>
  <c r="AJ24" i="12" l="1"/>
  <c r="AJ25" i="12" s="1"/>
  <c r="AJ27" i="12" s="1"/>
  <c r="AM10" i="12"/>
  <c r="AM11" i="12" s="1"/>
  <c r="AM15" i="9"/>
  <c r="AM16" i="9" s="1"/>
  <c r="AJ29" i="12"/>
  <c r="AJ33" i="12" s="1"/>
  <c r="AK26" i="12"/>
  <c r="AJ37" i="12"/>
  <c r="AJ38" i="12" s="1"/>
  <c r="AM17" i="9" l="1"/>
  <c r="AM12" i="12" l="1"/>
  <c r="AM14" i="12" s="1"/>
  <c r="AM5" i="11"/>
  <c r="AM18" i="9"/>
  <c r="AM17" i="11" l="1"/>
  <c r="BK14" i="13" s="1"/>
  <c r="AM20" i="10"/>
  <c r="AM21" i="10" s="1"/>
  <c r="AM16" i="12"/>
  <c r="AM18" i="12" s="1"/>
  <c r="AM6" i="11" l="1"/>
  <c r="AM7" i="11" s="1"/>
  <c r="AM22" i="10"/>
  <c r="AM24" i="10"/>
  <c r="AK26" i="10"/>
  <c r="AK27" i="10" s="1"/>
  <c r="AM20" i="12" l="1"/>
  <c r="AM23" i="10"/>
  <c r="AK30" i="12"/>
  <c r="AK28" i="10"/>
  <c r="AK21" i="12" l="1"/>
  <c r="AK30" i="10"/>
  <c r="AK9" i="11" s="1"/>
  <c r="AK16" i="11" s="1"/>
  <c r="AM34" i="12"/>
  <c r="AN18" i="10"/>
  <c r="AN19" i="10" l="1"/>
  <c r="BI15" i="13"/>
  <c r="AK23" i="12"/>
  <c r="AK36" i="12" s="1"/>
  <c r="AK37" i="12" l="1"/>
  <c r="AK38" i="12" s="1"/>
  <c r="AN10" i="12"/>
  <c r="AN11" i="12" s="1"/>
  <c r="AN15" i="9"/>
  <c r="AN16" i="9" s="1"/>
  <c r="AK24" i="12"/>
  <c r="AK25" i="12" s="1"/>
  <c r="AK27" i="12" s="1"/>
  <c r="AN17" i="9" l="1"/>
  <c r="AK29" i="12"/>
  <c r="AK33" i="12" s="1"/>
  <c r="AL26" i="12"/>
  <c r="AN12" i="12" l="1"/>
  <c r="AN14" i="12" s="1"/>
  <c r="AN5" i="11"/>
  <c r="AN18" i="9"/>
  <c r="AN17" i="11" l="1"/>
  <c r="BL14" i="13" s="1"/>
  <c r="AN20" i="10"/>
  <c r="AN21" i="10" s="1"/>
  <c r="AN16" i="12"/>
  <c r="AN18" i="12" s="1"/>
  <c r="AN6" i="11" l="1"/>
  <c r="AN7" i="11" s="1"/>
  <c r="AN22" i="10"/>
  <c r="AN24" i="10"/>
  <c r="AL26" i="10"/>
  <c r="AL27" i="10" s="1"/>
  <c r="AL30" i="12" l="1"/>
  <c r="AL28" i="10"/>
  <c r="AN20" i="12"/>
  <c r="AN23" i="10"/>
  <c r="AN34" i="12" l="1"/>
  <c r="AO18" i="10"/>
  <c r="AL21" i="12"/>
  <c r="AL30" i="10"/>
  <c r="AL9" i="11" s="1"/>
  <c r="AL16" i="11" s="1"/>
  <c r="BJ15" i="13" l="1"/>
  <c r="AL23" i="12"/>
  <c r="AL36" i="12" s="1"/>
  <c r="AL24" i="12"/>
  <c r="AL25" i="12" s="1"/>
  <c r="AL27" i="12" s="1"/>
  <c r="AO19" i="10"/>
  <c r="AO10" i="12" l="1"/>
  <c r="AO11" i="12" s="1"/>
  <c r="AO15" i="9"/>
  <c r="AO16" i="9" s="1"/>
  <c r="AL29" i="12"/>
  <c r="AM26" i="12"/>
  <c r="AL37" i="12"/>
  <c r="K7" i="13" l="1"/>
  <c r="AL33" i="12"/>
  <c r="K9" i="13"/>
  <c r="AL38" i="12"/>
  <c r="AO17" i="9"/>
  <c r="AO12" i="12" l="1"/>
  <c r="AO14" i="12" s="1"/>
  <c r="AO5" i="11"/>
  <c r="AO18" i="9"/>
  <c r="AO17" i="11" l="1"/>
  <c r="BM14" i="13" s="1"/>
  <c r="AO20" i="10"/>
  <c r="AO21" i="10" s="1"/>
  <c r="AO16" i="12"/>
  <c r="AO18" i="12" s="1"/>
  <c r="AO6" i="11" l="1"/>
  <c r="AO7" i="11" s="1"/>
  <c r="AO24" i="10"/>
  <c r="AO22" i="10"/>
  <c r="AM26" i="10"/>
  <c r="AM27" i="10" s="1"/>
  <c r="AO20" i="12" l="1"/>
  <c r="AO23" i="10"/>
  <c r="AM30" i="12"/>
  <c r="AM28" i="10"/>
  <c r="AM21" i="12" l="1"/>
  <c r="AM30" i="10"/>
  <c r="AM9" i="11" s="1"/>
  <c r="AM16" i="11" s="1"/>
  <c r="AO34" i="12"/>
  <c r="AP18" i="10"/>
  <c r="AP19" i="10" l="1"/>
  <c r="BK15" i="13"/>
  <c r="AM23" i="12"/>
  <c r="AM36" i="12" s="1"/>
  <c r="AM24" i="12"/>
  <c r="AM25" i="12" s="1"/>
  <c r="AM27" i="12" s="1"/>
  <c r="AM29" i="12" l="1"/>
  <c r="AM33" i="12" s="1"/>
  <c r="AN26" i="12"/>
  <c r="AM37" i="12"/>
  <c r="AM38" i="12" s="1"/>
  <c r="AP10" i="12"/>
  <c r="AP11" i="12" s="1"/>
  <c r="AP15" i="9"/>
  <c r="AP16" i="9" s="1"/>
  <c r="AP17" i="9" l="1"/>
  <c r="AP12" i="12" l="1"/>
  <c r="AP14" i="12" s="1"/>
  <c r="AP5" i="11"/>
  <c r="AP18" i="9"/>
  <c r="AP17" i="11" l="1"/>
  <c r="BN14" i="13" s="1"/>
  <c r="AP20" i="10"/>
  <c r="AP21" i="10" s="1"/>
  <c r="AP16" i="12"/>
  <c r="AP18" i="12" s="1"/>
  <c r="L6" i="13"/>
  <c r="AP6" i="11" l="1"/>
  <c r="AP7" i="11" s="1"/>
  <c r="AP22" i="10"/>
  <c r="AP24" i="10"/>
  <c r="AN26" i="10"/>
  <c r="AN27" i="10" s="1"/>
  <c r="AP20" i="12" l="1"/>
  <c r="AP23" i="10"/>
  <c r="AN30" i="12"/>
  <c r="AN28" i="10"/>
  <c r="AN21" i="12" l="1"/>
  <c r="AN30" i="10"/>
  <c r="AN9" i="11" s="1"/>
  <c r="AN16" i="11" s="1"/>
  <c r="AP34" i="12"/>
  <c r="AQ18" i="10"/>
  <c r="AQ19" i="10" l="1"/>
  <c r="L8" i="13"/>
  <c r="BL15" i="13"/>
  <c r="AN23" i="12"/>
  <c r="AN36" i="12" s="1"/>
  <c r="AN24" i="12" l="1"/>
  <c r="AN25" i="12" s="1"/>
  <c r="AN27" i="12" s="1"/>
  <c r="AN29" i="12" s="1"/>
  <c r="AN33" i="12" s="1"/>
  <c r="AN37" i="12"/>
  <c r="AN38" i="12" s="1"/>
  <c r="AQ15" i="9"/>
  <c r="AQ16" i="9" s="1"/>
  <c r="AQ10" i="12"/>
  <c r="AQ11" i="12" s="1"/>
  <c r="AO26" i="12" l="1"/>
  <c r="AQ17" i="9"/>
  <c r="AQ18" i="9" s="1"/>
  <c r="AQ12" i="12" l="1"/>
  <c r="AQ14" i="12" s="1"/>
  <c r="AQ5" i="11"/>
  <c r="AQ17" i="11" l="1"/>
  <c r="BO14" i="13" s="1"/>
  <c r="AQ20" i="10"/>
  <c r="AQ21" i="10" s="1"/>
  <c r="AQ16" i="12"/>
  <c r="AQ18" i="12" s="1"/>
  <c r="AQ24" i="10" l="1"/>
  <c r="AQ6" i="11"/>
  <c r="AQ7" i="11" s="1"/>
  <c r="AQ22" i="10"/>
  <c r="AO26" i="10"/>
  <c r="AO27" i="10" s="1"/>
  <c r="AO30" i="12" l="1"/>
  <c r="AO28" i="10"/>
  <c r="AQ20" i="12"/>
  <c r="AQ23" i="10"/>
  <c r="AQ34" i="12" l="1"/>
  <c r="AR18" i="10"/>
  <c r="AO21" i="12"/>
  <c r="AO30" i="10"/>
  <c r="AO9" i="11" s="1"/>
  <c r="AO16" i="11" s="1"/>
  <c r="BM15" i="13" l="1"/>
  <c r="AO23" i="12"/>
  <c r="AO36" i="12" s="1"/>
  <c r="AR19" i="10"/>
  <c r="AR10" i="12" l="1"/>
  <c r="AR11" i="12" s="1"/>
  <c r="AR15" i="9"/>
  <c r="AR16" i="9" s="1"/>
  <c r="AO37" i="12"/>
  <c r="AO38" i="12" s="1"/>
  <c r="AO24" i="12"/>
  <c r="AO25" i="12" s="1"/>
  <c r="AO27" i="12" s="1"/>
  <c r="AO29" i="12" l="1"/>
  <c r="AO33" i="12" s="1"/>
  <c r="AP26" i="12"/>
  <c r="AR17" i="9"/>
  <c r="AR12" i="12" l="1"/>
  <c r="AR14" i="12" s="1"/>
  <c r="AR5" i="11"/>
  <c r="AR18" i="9"/>
  <c r="AR17" i="11" l="1"/>
  <c r="BP14" i="13" s="1"/>
  <c r="AR20" i="10"/>
  <c r="AR21" i="10" s="1"/>
  <c r="AR16" i="12"/>
  <c r="AR18" i="12" s="1"/>
  <c r="AR24" i="10" l="1"/>
  <c r="AR6" i="11"/>
  <c r="AR7" i="11" s="1"/>
  <c r="AR22" i="10"/>
  <c r="AP26" i="10"/>
  <c r="AP27" i="10" s="1"/>
  <c r="AR20" i="12" l="1"/>
  <c r="AR23" i="10"/>
  <c r="AP30" i="12"/>
  <c r="AP28" i="10"/>
  <c r="AP21" i="12" l="1"/>
  <c r="AP30" i="10"/>
  <c r="AP9" i="11" s="1"/>
  <c r="AP16" i="11" s="1"/>
  <c r="AR34" i="12"/>
  <c r="AS18" i="10"/>
  <c r="AS19" i="10" l="1"/>
  <c r="BN15" i="13"/>
  <c r="AP23" i="12"/>
  <c r="AP36" i="12" s="1"/>
  <c r="AP24" i="12"/>
  <c r="AP25" i="12" s="1"/>
  <c r="AP27" i="12" s="1"/>
  <c r="AP29" i="12" l="1"/>
  <c r="AQ26" i="12"/>
  <c r="AP37" i="12"/>
  <c r="AS15" i="9"/>
  <c r="AS16" i="9" s="1"/>
  <c r="AS10" i="12"/>
  <c r="AS11" i="12" s="1"/>
  <c r="AS17" i="9" l="1"/>
  <c r="L9" i="13"/>
  <c r="AP38" i="12"/>
  <c r="L7" i="13"/>
  <c r="AP33" i="12"/>
  <c r="AS12" i="12" l="1"/>
  <c r="AS14" i="12" s="1"/>
  <c r="AS5" i="11"/>
  <c r="AS18" i="9"/>
  <c r="AS17" i="11" l="1"/>
  <c r="BQ14" i="13" s="1"/>
  <c r="AS20" i="10"/>
  <c r="AS21" i="10" s="1"/>
  <c r="AS16" i="12"/>
  <c r="AS18" i="12" s="1"/>
  <c r="AS24" i="10" l="1"/>
  <c r="AS22" i="10"/>
  <c r="AS6" i="11"/>
  <c r="AS7" i="11" s="1"/>
  <c r="AQ26" i="10"/>
  <c r="AQ27" i="10" s="1"/>
  <c r="AQ30" i="12" l="1"/>
  <c r="AQ28" i="10"/>
  <c r="AS20" i="12"/>
  <c r="AS23" i="10"/>
  <c r="AS34" i="12" l="1"/>
  <c r="AT18" i="10"/>
  <c r="AQ21" i="12"/>
  <c r="AQ30" i="10"/>
  <c r="AQ9" i="11" s="1"/>
  <c r="AQ16" i="11" s="1"/>
  <c r="BO15" i="13" l="1"/>
  <c r="AQ23" i="12"/>
  <c r="AQ36" i="12" s="1"/>
  <c r="AT19" i="10"/>
  <c r="AQ37" i="12" l="1"/>
  <c r="AQ38" i="12" s="1"/>
  <c r="AT10" i="12"/>
  <c r="AT11" i="12" s="1"/>
  <c r="AT15" i="9"/>
  <c r="AT16" i="9" s="1"/>
  <c r="AQ24" i="12"/>
  <c r="AQ25" i="12" s="1"/>
  <c r="AQ27" i="12" s="1"/>
  <c r="AT17" i="9" l="1"/>
  <c r="AR26" i="12"/>
  <c r="AQ29" i="12"/>
  <c r="AQ33" i="12" s="1"/>
  <c r="AT12" i="12" l="1"/>
  <c r="AT14" i="12" s="1"/>
  <c r="AT5" i="11"/>
  <c r="AT18" i="9"/>
  <c r="AT20" i="10" l="1"/>
  <c r="AT21" i="10" s="1"/>
  <c r="AT17" i="11"/>
  <c r="BR14" i="13" s="1"/>
  <c r="AT16" i="12"/>
  <c r="AT18" i="12" s="1"/>
  <c r="M6" i="13"/>
  <c r="AT6" i="11" l="1"/>
  <c r="AT7" i="11" s="1"/>
  <c r="AT24" i="10"/>
  <c r="AT22" i="10"/>
  <c r="AR26" i="10"/>
  <c r="AR27" i="10" s="1"/>
  <c r="AT20" i="12" l="1"/>
  <c r="AT23" i="10"/>
  <c r="AR30" i="12"/>
  <c r="AR28" i="10"/>
  <c r="AR21" i="12" l="1"/>
  <c r="AR30" i="10"/>
  <c r="AR9" i="11" s="1"/>
  <c r="AR16" i="11" s="1"/>
  <c r="AU18" i="10"/>
  <c r="AT34" i="12"/>
  <c r="M8" i="13" l="1"/>
  <c r="AU19" i="10"/>
  <c r="BP15" i="13"/>
  <c r="AR23" i="12"/>
  <c r="AR36" i="12" s="1"/>
  <c r="AR24" i="12" l="1"/>
  <c r="AR25" i="12" s="1"/>
  <c r="AR27" i="12" s="1"/>
  <c r="AR29" i="12" s="1"/>
  <c r="AR33" i="12" s="1"/>
  <c r="AR37" i="12"/>
  <c r="AR38" i="12" s="1"/>
  <c r="AU10" i="12"/>
  <c r="AU11" i="12" s="1"/>
  <c r="AU15" i="9"/>
  <c r="AU16" i="9" s="1"/>
  <c r="AS26" i="12" l="1"/>
  <c r="AU17" i="9"/>
  <c r="AU12" i="12" l="1"/>
  <c r="AU14" i="12" s="1"/>
  <c r="AU5" i="11"/>
  <c r="AU18" i="9"/>
  <c r="AU20" i="10" l="1"/>
  <c r="AU21" i="10" s="1"/>
  <c r="AU17" i="11"/>
  <c r="BS14" i="13" s="1"/>
  <c r="AU16" i="12"/>
  <c r="AU18" i="12" s="1"/>
  <c r="AU6" i="11" l="1"/>
  <c r="AU7" i="11" s="1"/>
  <c r="AU24" i="10"/>
  <c r="AU22" i="10"/>
  <c r="AS26" i="10"/>
  <c r="AS27" i="10" s="1"/>
  <c r="AU20" i="12" l="1"/>
  <c r="AU23" i="10"/>
  <c r="AS30" i="12"/>
  <c r="AS28" i="10"/>
  <c r="AS30" i="10" l="1"/>
  <c r="AS9" i="11" s="1"/>
  <c r="AS16" i="11" s="1"/>
  <c r="AS21" i="12"/>
  <c r="AU34" i="12"/>
  <c r="AV18" i="10"/>
  <c r="AV19" i="10" l="1"/>
  <c r="BQ15" i="13"/>
  <c r="AS23" i="12"/>
  <c r="AS36" i="12" s="1"/>
  <c r="AS37" i="12" l="1"/>
  <c r="AS38" i="12" s="1"/>
  <c r="AS24" i="12"/>
  <c r="AS25" i="12" s="1"/>
  <c r="AS27" i="12" s="1"/>
  <c r="AV10" i="12"/>
  <c r="AV11" i="12" s="1"/>
  <c r="AV15" i="9"/>
  <c r="AV16" i="9" s="1"/>
  <c r="AV17" i="9" l="1"/>
  <c r="AS29" i="12"/>
  <c r="AS33" i="12" s="1"/>
  <c r="AT26" i="12"/>
  <c r="AV12" i="12" l="1"/>
  <c r="AV14" i="12" s="1"/>
  <c r="AV5" i="11"/>
  <c r="AV18" i="9"/>
  <c r="AV20" i="10" l="1"/>
  <c r="AV21" i="10" s="1"/>
  <c r="AV17" i="11"/>
  <c r="BT14" i="13" s="1"/>
  <c r="AV16" i="12"/>
  <c r="AV18" i="12" s="1"/>
  <c r="AV24" i="10" l="1"/>
  <c r="AV6" i="11"/>
  <c r="AV7" i="11" s="1"/>
  <c r="AV22" i="10"/>
  <c r="AT26" i="10"/>
  <c r="AT27" i="10" s="1"/>
  <c r="AT30" i="12" l="1"/>
  <c r="AT28" i="10"/>
  <c r="AV20" i="12"/>
  <c r="AV23" i="10"/>
  <c r="AW18" i="10" l="1"/>
  <c r="AV34" i="12"/>
  <c r="AT30" i="10"/>
  <c r="AT9" i="11" s="1"/>
  <c r="AT16" i="11" s="1"/>
  <c r="AT21" i="12"/>
  <c r="BR15" i="13" l="1"/>
  <c r="AT23" i="12"/>
  <c r="AT36" i="12" s="1"/>
  <c r="AW19" i="10"/>
  <c r="AW10" i="12" l="1"/>
  <c r="AW11" i="12" s="1"/>
  <c r="AW15" i="9"/>
  <c r="AW16" i="9" s="1"/>
  <c r="AT37" i="12"/>
  <c r="AT24" i="12"/>
  <c r="AT25" i="12" s="1"/>
  <c r="AT27" i="12" s="1"/>
  <c r="AU26" i="12" l="1"/>
  <c r="AT29" i="12"/>
  <c r="M9" i="13"/>
  <c r="AT38" i="12"/>
  <c r="AW17" i="9"/>
  <c r="AW12" i="12" l="1"/>
  <c r="AW14" i="12" s="1"/>
  <c r="AW5" i="11"/>
  <c r="AW18" i="9"/>
  <c r="M7" i="13"/>
  <c r="AT33" i="12"/>
  <c r="AW20" i="10" l="1"/>
  <c r="AW21" i="10" s="1"/>
  <c r="AW17" i="11"/>
  <c r="BU14" i="13" s="1"/>
  <c r="AW16" i="12"/>
  <c r="AW18" i="12" s="1"/>
  <c r="AW24" i="10" l="1"/>
  <c r="AW22" i="10"/>
  <c r="AW6" i="11"/>
  <c r="AW7" i="11" s="1"/>
  <c r="AU26" i="10"/>
  <c r="AU27" i="10" s="1"/>
  <c r="AU30" i="12" l="1"/>
  <c r="AU28" i="10"/>
  <c r="AW20" i="12"/>
  <c r="AW23" i="10"/>
  <c r="AX18" i="10" l="1"/>
  <c r="AW34" i="12"/>
  <c r="AU21" i="12"/>
  <c r="AU30" i="10"/>
  <c r="AU9" i="11" s="1"/>
  <c r="AU16" i="11" s="1"/>
  <c r="BS15" i="13" l="1"/>
  <c r="AU23" i="12"/>
  <c r="AU36" i="12" s="1"/>
  <c r="AX19" i="10"/>
  <c r="AU24" i="12" l="1"/>
  <c r="AU25" i="12" s="1"/>
  <c r="AU27" i="12" s="1"/>
  <c r="AU29" i="12" s="1"/>
  <c r="AU33" i="12" s="1"/>
  <c r="AX10" i="12"/>
  <c r="AX11" i="12" s="1"/>
  <c r="AX15" i="9"/>
  <c r="AX16" i="9" s="1"/>
  <c r="AV26" i="12"/>
  <c r="AU37" i="12"/>
  <c r="AU38" i="12" s="1"/>
  <c r="AX17" i="9" l="1"/>
  <c r="AX12" i="12" l="1"/>
  <c r="AX14" i="12" s="1"/>
  <c r="AX5" i="11"/>
  <c r="AX18" i="9"/>
  <c r="AX20" i="10" l="1"/>
  <c r="AX21" i="10" s="1"/>
  <c r="AX17" i="11"/>
  <c r="BV14" i="13" s="1"/>
  <c r="AX16" i="12"/>
  <c r="AX18" i="12" s="1"/>
  <c r="N6" i="13"/>
  <c r="AX22" i="10" l="1"/>
  <c r="AX24" i="10"/>
  <c r="AX6" i="11"/>
  <c r="AX7" i="11" s="1"/>
  <c r="AV26" i="10"/>
  <c r="AV27" i="10" s="1"/>
  <c r="AV30" i="12" l="1"/>
  <c r="AV28" i="10"/>
  <c r="AX20" i="12"/>
  <c r="AX23" i="10"/>
  <c r="AX34" i="12" l="1"/>
  <c r="AY18" i="10"/>
  <c r="AV30" i="10"/>
  <c r="AV9" i="11" s="1"/>
  <c r="AV16" i="11" s="1"/>
  <c r="AV21" i="12"/>
  <c r="BT15" i="13" l="1"/>
  <c r="AV23" i="12"/>
  <c r="AV36" i="12" s="1"/>
  <c r="N8" i="13"/>
  <c r="AV24" i="12"/>
  <c r="AV25" i="12" s="1"/>
  <c r="AV27" i="12" s="1"/>
  <c r="AY19" i="10"/>
  <c r="AY10" i="12" l="1"/>
  <c r="AY11" i="12" s="1"/>
  <c r="AY15" i="9"/>
  <c r="AY16" i="9" s="1"/>
  <c r="AW26" i="12"/>
  <c r="AV29" i="12"/>
  <c r="AV33" i="12" s="1"/>
  <c r="AV37" i="12"/>
  <c r="AV38" i="12" s="1"/>
  <c r="AY17" i="9" l="1"/>
  <c r="AY12" i="12" l="1"/>
  <c r="AY14" i="12" s="1"/>
  <c r="AY5" i="11"/>
  <c r="AY18" i="9"/>
  <c r="AY17" i="11" l="1"/>
  <c r="BW14" i="13" s="1"/>
  <c r="AY20" i="10"/>
  <c r="AY21" i="10" s="1"/>
  <c r="AY16" i="12"/>
  <c r="AY18" i="12" s="1"/>
  <c r="AY6" i="11" l="1"/>
  <c r="AY7" i="11" s="1"/>
  <c r="AY22" i="10"/>
  <c r="AY24" i="10"/>
  <c r="AW26" i="10"/>
  <c r="AW27" i="10" s="1"/>
  <c r="AW30" i="12" l="1"/>
  <c r="AW28" i="10"/>
  <c r="AY20" i="12"/>
  <c r="AY23" i="10"/>
  <c r="AY34" i="12" l="1"/>
  <c r="AZ18" i="10"/>
  <c r="AW30" i="10"/>
  <c r="AW9" i="11" s="1"/>
  <c r="AW16" i="11" s="1"/>
  <c r="AW21" i="12"/>
  <c r="AZ19" i="10" l="1"/>
  <c r="BU15" i="13"/>
  <c r="AW23" i="12"/>
  <c r="AW36" i="12" s="1"/>
  <c r="AW24" i="12"/>
  <c r="AW25" i="12" s="1"/>
  <c r="AW27" i="12" s="1"/>
  <c r="AX26" i="12" l="1"/>
  <c r="AW29" i="12"/>
  <c r="AW33" i="12" s="1"/>
  <c r="AW37" i="12"/>
  <c r="AW38" i="12" s="1"/>
  <c r="AZ10" i="12"/>
  <c r="AZ11" i="12" s="1"/>
  <c r="AZ15" i="9"/>
  <c r="AZ16" i="9" s="1"/>
  <c r="AZ17" i="9" l="1"/>
  <c r="AZ12" i="12" l="1"/>
  <c r="AZ14" i="12" s="1"/>
  <c r="AZ5" i="11"/>
  <c r="AZ18" i="9"/>
  <c r="AZ17" i="11" l="1"/>
  <c r="BX14" i="13" s="1"/>
  <c r="AZ20" i="10"/>
  <c r="AZ21" i="10" s="1"/>
  <c r="AZ16" i="12"/>
  <c r="AZ18" i="12" s="1"/>
  <c r="AZ6" i="11" l="1"/>
  <c r="AZ7" i="11" s="1"/>
  <c r="AZ22" i="10"/>
  <c r="AZ24" i="10"/>
  <c r="AX26" i="10"/>
  <c r="AX27" i="10" s="1"/>
  <c r="AX28" i="10" l="1"/>
  <c r="AX30" i="12"/>
  <c r="AZ20" i="12"/>
  <c r="AZ23" i="10"/>
  <c r="AZ34" i="12" l="1"/>
  <c r="BA18" i="10"/>
  <c r="AX21" i="12"/>
  <c r="AX30" i="10"/>
  <c r="AX9" i="11" s="1"/>
  <c r="AX16" i="11" s="1"/>
  <c r="BV15" i="13" l="1"/>
  <c r="AX23" i="12"/>
  <c r="AX36" i="12" s="1"/>
  <c r="BA19" i="10"/>
  <c r="AX24" i="12" l="1"/>
  <c r="AX25" i="12" s="1"/>
  <c r="AX27" i="12" s="1"/>
  <c r="AY26" i="12" s="1"/>
  <c r="AX37" i="12"/>
  <c r="BA10" i="12"/>
  <c r="BA11" i="12" s="1"/>
  <c r="BA15" i="9"/>
  <c r="BA16" i="9" s="1"/>
  <c r="AX29" i="12" l="1"/>
  <c r="BA17" i="9"/>
  <c r="N9" i="13"/>
  <c r="AX38" i="12"/>
  <c r="AX33" i="12"/>
  <c r="N7" i="13"/>
  <c r="BA12" i="12" l="1"/>
  <c r="BA14" i="12" s="1"/>
  <c r="BA5" i="11"/>
  <c r="BA18" i="9"/>
  <c r="BA17" i="11" l="1"/>
  <c r="BY14" i="13" s="1"/>
  <c r="BA20" i="10"/>
  <c r="BA21" i="10" s="1"/>
  <c r="BA16" i="12"/>
  <c r="BA18" i="12" s="1"/>
  <c r="BA6" i="11" l="1"/>
  <c r="BA7" i="11" s="1"/>
  <c r="BA22" i="10"/>
  <c r="BA24" i="10"/>
  <c r="AY26" i="10"/>
  <c r="AY27" i="10" s="1"/>
  <c r="AY30" i="12" l="1"/>
  <c r="AY28" i="10"/>
  <c r="BA20" i="12"/>
  <c r="BA23" i="10"/>
  <c r="BA34" i="12" l="1"/>
  <c r="BB18" i="10"/>
  <c r="AY21" i="12"/>
  <c r="AY30" i="10"/>
  <c r="AY9" i="11" s="1"/>
  <c r="AY16" i="11" s="1"/>
  <c r="AY23" i="12" l="1"/>
  <c r="AY36" i="12" s="1"/>
  <c r="BW15" i="13"/>
  <c r="AY24" i="12"/>
  <c r="AY25" i="12" s="1"/>
  <c r="AY27" i="12" s="1"/>
  <c r="BB19" i="10"/>
  <c r="BB10" i="12" l="1"/>
  <c r="BB11" i="12" s="1"/>
  <c r="BB15" i="9"/>
  <c r="BB16" i="9" s="1"/>
  <c r="AY29" i="12"/>
  <c r="AY33" i="12" s="1"/>
  <c r="AZ26" i="12"/>
  <c r="AY37" i="12"/>
  <c r="AY38" i="12" s="1"/>
  <c r="BB17" i="9" l="1"/>
  <c r="BB12" i="12" l="1"/>
  <c r="BB14" i="12" s="1"/>
  <c r="BB5" i="11"/>
  <c r="BB18" i="9"/>
  <c r="BB17" i="11" l="1"/>
  <c r="BZ14" i="13" s="1"/>
  <c r="BB20" i="10"/>
  <c r="BB21" i="10" s="1"/>
  <c r="BB16" i="12"/>
  <c r="BB18" i="12" s="1"/>
  <c r="O6" i="13"/>
  <c r="BB22" i="10" l="1"/>
  <c r="BB24" i="10"/>
  <c r="BB6" i="11"/>
  <c r="BB7" i="11" s="1"/>
  <c r="AZ26" i="10"/>
  <c r="AZ27" i="10" s="1"/>
  <c r="AZ30" i="12" l="1"/>
  <c r="AZ28" i="10"/>
  <c r="BB20" i="12"/>
  <c r="BB23" i="10"/>
  <c r="BB34" i="12" l="1"/>
  <c r="BC18" i="10"/>
  <c r="AZ21" i="12"/>
  <c r="AZ30" i="10"/>
  <c r="AZ9" i="11" s="1"/>
  <c r="AZ16" i="11" s="1"/>
  <c r="BC19" i="10" l="1"/>
  <c r="AZ23" i="12"/>
  <c r="AZ36" i="12" s="1"/>
  <c r="BX15" i="13"/>
  <c r="AZ24" i="12"/>
  <c r="AZ25" i="12" s="1"/>
  <c r="AZ27" i="12" s="1"/>
  <c r="O8" i="13"/>
  <c r="AZ29" i="12" l="1"/>
  <c r="AZ33" i="12" s="1"/>
  <c r="BA26" i="12"/>
  <c r="AZ37" i="12"/>
  <c r="AZ38" i="12" s="1"/>
  <c r="BC10" i="12"/>
  <c r="BC11" i="12" s="1"/>
  <c r="BC15" i="9"/>
  <c r="BC16" i="9" s="1"/>
  <c r="BC17" i="9" l="1"/>
  <c r="BC12" i="12" l="1"/>
  <c r="BC14" i="12" s="1"/>
  <c r="BC5" i="11"/>
  <c r="BC18" i="9"/>
  <c r="BC17" i="11" l="1"/>
  <c r="CA14" i="13" s="1"/>
  <c r="BC20" i="10"/>
  <c r="BC21" i="10" s="1"/>
  <c r="BC16" i="12"/>
  <c r="BC18" i="12" s="1"/>
  <c r="BC22" i="10" l="1"/>
  <c r="BC6" i="11"/>
  <c r="BC7" i="11" s="1"/>
  <c r="BC24" i="10"/>
  <c r="BA26" i="10"/>
  <c r="BA27" i="10" s="1"/>
  <c r="BA30" i="12" l="1"/>
  <c r="BA28" i="10"/>
  <c r="BC20" i="12"/>
  <c r="BC23" i="10"/>
  <c r="BC34" i="12" l="1"/>
  <c r="BD18" i="10"/>
  <c r="BA30" i="10"/>
  <c r="BA9" i="11" s="1"/>
  <c r="BA16" i="11" s="1"/>
  <c r="BA21" i="12"/>
  <c r="BA23" i="12" l="1"/>
  <c r="BA36" i="12" s="1"/>
  <c r="BY15" i="13"/>
  <c r="BD19" i="10"/>
  <c r="BD10" i="12" l="1"/>
  <c r="BD11" i="12" s="1"/>
  <c r="BD15" i="9"/>
  <c r="BD16" i="9" s="1"/>
  <c r="BA37" i="12"/>
  <c r="BA38" i="12" s="1"/>
  <c r="BA24" i="12"/>
  <c r="BA25" i="12" s="1"/>
  <c r="BA27" i="12" s="1"/>
  <c r="BA29" i="12" l="1"/>
  <c r="BA33" i="12" s="1"/>
  <c r="BB26" i="12"/>
  <c r="BD17" i="9"/>
  <c r="BD12" i="12" l="1"/>
  <c r="BD14" i="12" s="1"/>
  <c r="BD5" i="11"/>
  <c r="BD18" i="9"/>
  <c r="BD17" i="11" l="1"/>
  <c r="CB14" i="13" s="1"/>
  <c r="BD20" i="10"/>
  <c r="BD21" i="10" s="1"/>
  <c r="BD16" i="12"/>
  <c r="BD18" i="12" s="1"/>
  <c r="BD6" i="11" l="1"/>
  <c r="BD7" i="11" s="1"/>
  <c r="BD22" i="10"/>
  <c r="BD24" i="10"/>
  <c r="BB26" i="10"/>
  <c r="BB27" i="10" s="1"/>
  <c r="BB30" i="12" l="1"/>
  <c r="BB28" i="10"/>
  <c r="BD20" i="12"/>
  <c r="BD23" i="10"/>
  <c r="BD34" i="12" l="1"/>
  <c r="BE18" i="10"/>
  <c r="BB21" i="12"/>
  <c r="BB30" i="10"/>
  <c r="BB9" i="11" s="1"/>
  <c r="BB16" i="11" s="1"/>
  <c r="BZ15" i="13" l="1"/>
  <c r="BB23" i="12"/>
  <c r="BB36" i="12" s="1"/>
  <c r="BE19" i="10"/>
  <c r="BE10" i="12" l="1"/>
  <c r="BE11" i="12" s="1"/>
  <c r="BE15" i="9"/>
  <c r="BE16" i="9" s="1"/>
  <c r="BB37" i="12"/>
  <c r="BB24" i="12"/>
  <c r="BB25" i="12" s="1"/>
  <c r="BB27" i="12" s="1"/>
  <c r="BE17" i="9" l="1"/>
  <c r="BB29" i="12"/>
  <c r="BC26" i="12"/>
  <c r="O9" i="13"/>
  <c r="BB38" i="12"/>
  <c r="O7" i="13" l="1"/>
  <c r="BB33" i="12"/>
  <c r="BE12" i="12"/>
  <c r="BE14" i="12" s="1"/>
  <c r="BE5" i="11"/>
  <c r="BE18" i="9"/>
  <c r="BE17" i="11" l="1"/>
  <c r="CC14" i="13" s="1"/>
  <c r="BE20" i="10"/>
  <c r="BE21" i="10" s="1"/>
  <c r="BE16" i="12"/>
  <c r="BE18" i="12" s="1"/>
  <c r="BE24" i="10" l="1"/>
  <c r="BE22" i="10"/>
  <c r="BE6" i="11"/>
  <c r="BE7" i="11" s="1"/>
  <c r="BC26" i="10"/>
  <c r="BC27" i="10" s="1"/>
  <c r="BC30" i="12" l="1"/>
  <c r="BC28" i="10"/>
  <c r="BE20" i="12"/>
  <c r="BE23" i="10"/>
  <c r="BE34" i="12" l="1"/>
  <c r="BF18" i="10"/>
  <c r="BC21" i="12"/>
  <c r="BC30" i="10"/>
  <c r="BC9" i="11" s="1"/>
  <c r="BC16" i="11" s="1"/>
  <c r="BC23" i="12" l="1"/>
  <c r="BC36" i="12" s="1"/>
  <c r="CA15" i="13"/>
  <c r="BF19" i="10"/>
  <c r="BC24" i="12"/>
  <c r="BC25" i="12" s="1"/>
  <c r="BC27" i="12" s="1"/>
  <c r="BD26" i="12" l="1"/>
  <c r="BC29" i="12"/>
  <c r="BC33" i="12" s="1"/>
  <c r="BF10" i="12"/>
  <c r="BF11" i="12" s="1"/>
  <c r="BF15" i="9"/>
  <c r="BF16" i="9" s="1"/>
  <c r="BC37" i="12"/>
  <c r="BC38" i="12" s="1"/>
  <c r="BF17" i="9" l="1"/>
  <c r="BF12" i="12" l="1"/>
  <c r="BF14" i="12" s="1"/>
  <c r="BF5" i="11"/>
  <c r="BF18" i="9"/>
  <c r="BF17" i="11" l="1"/>
  <c r="CD14" i="13" s="1"/>
  <c r="BF20" i="10"/>
  <c r="BF21" i="10" s="1"/>
  <c r="BF16" i="12"/>
  <c r="BF18" i="12" s="1"/>
  <c r="P6" i="13"/>
  <c r="BF22" i="10" l="1"/>
  <c r="BF6" i="11"/>
  <c r="BF7" i="11" s="1"/>
  <c r="BF24" i="10"/>
  <c r="BD26" i="10"/>
  <c r="BD27" i="10" s="1"/>
  <c r="BD30" i="12" l="1"/>
  <c r="BD28" i="10"/>
  <c r="BF20" i="12"/>
  <c r="BF23" i="10"/>
  <c r="BF34" i="12" l="1"/>
  <c r="BG18" i="10"/>
  <c r="BD21" i="12"/>
  <c r="BD30" i="10"/>
  <c r="BD9" i="11" s="1"/>
  <c r="BD16" i="11" s="1"/>
  <c r="BG19" i="10" l="1"/>
  <c r="CB15" i="13"/>
  <c r="BD23" i="12"/>
  <c r="BD36" i="12" s="1"/>
  <c r="P8" i="13"/>
  <c r="BD37" i="12" l="1"/>
  <c r="BD38" i="12" s="1"/>
  <c r="BG15" i="9"/>
  <c r="BG16" i="9" s="1"/>
  <c r="BG10" i="12"/>
  <c r="BG11" i="12" s="1"/>
  <c r="BD24" i="12"/>
  <c r="BD25" i="12" s="1"/>
  <c r="BD27" i="12" s="1"/>
  <c r="BE26" i="12" l="1"/>
  <c r="BD29" i="12"/>
  <c r="BD33" i="12" s="1"/>
  <c r="BG17" i="9"/>
  <c r="BG12" i="12" l="1"/>
  <c r="BG14" i="12" s="1"/>
  <c r="BG5" i="11"/>
  <c r="BG18" i="9"/>
  <c r="BG17" i="11" l="1"/>
  <c r="CE14" i="13" s="1"/>
  <c r="BG20" i="10"/>
  <c r="BG21" i="10" s="1"/>
  <c r="BG16" i="12"/>
  <c r="BG18" i="12" s="1"/>
  <c r="BG6" i="11" l="1"/>
  <c r="BG7" i="11" s="1"/>
  <c r="BG22" i="10"/>
  <c r="BG24" i="10"/>
  <c r="BE26" i="10"/>
  <c r="BE27" i="10" s="1"/>
  <c r="BG20" i="12" l="1"/>
  <c r="BG23" i="10"/>
  <c r="BE30" i="12"/>
  <c r="BE28" i="10"/>
  <c r="BE21" i="12" l="1"/>
  <c r="BE30" i="10"/>
  <c r="BE9" i="11" s="1"/>
  <c r="BE16" i="11" s="1"/>
  <c r="BG34" i="12"/>
  <c r="BH18" i="10"/>
  <c r="BH19" i="10" l="1"/>
  <c r="BE23" i="12"/>
  <c r="BE36" i="12" s="1"/>
  <c r="CC15" i="13"/>
  <c r="BE24" i="12"/>
  <c r="BE25" i="12" s="1"/>
  <c r="BE27" i="12" s="1"/>
  <c r="BE37" i="12" l="1"/>
  <c r="BE38" i="12" s="1"/>
  <c r="BE29" i="12"/>
  <c r="BE33" i="12" s="1"/>
  <c r="BF26" i="12"/>
  <c r="BH10" i="12"/>
  <c r="BH11" i="12" s="1"/>
  <c r="BH15" i="9"/>
  <c r="BH16" i="9" s="1"/>
  <c r="BH17" i="9" l="1"/>
  <c r="BH12" i="12" l="1"/>
  <c r="BH14" i="12" s="1"/>
  <c r="BH5" i="11"/>
  <c r="BH18" i="9"/>
  <c r="BH17" i="11" l="1"/>
  <c r="CF14" i="13" s="1"/>
  <c r="BH20" i="10"/>
  <c r="BH21" i="10" s="1"/>
  <c r="BH16" i="12"/>
  <c r="BH18" i="12" s="1"/>
  <c r="BH24" i="10" l="1"/>
  <c r="BH22" i="10"/>
  <c r="BH6" i="11"/>
  <c r="BH7" i="11" s="1"/>
  <c r="BF26" i="10"/>
  <c r="BF27" i="10" s="1"/>
  <c r="BF30" i="12" l="1"/>
  <c r="BF28" i="10"/>
  <c r="BH20" i="12"/>
  <c r="BH23" i="10"/>
  <c r="BH34" i="12" l="1"/>
  <c r="BI18" i="10"/>
  <c r="BF21" i="12"/>
  <c r="BF30" i="10"/>
  <c r="BF9" i="11" s="1"/>
  <c r="BF16" i="11" s="1"/>
  <c r="CD15" i="13" l="1"/>
  <c r="BF23" i="12"/>
  <c r="BF36" i="12" s="1"/>
  <c r="BI19" i="10"/>
  <c r="BF37" i="12" l="1"/>
  <c r="BI10" i="12"/>
  <c r="BI11" i="12" s="1"/>
  <c r="BI15" i="9"/>
  <c r="BI16" i="9" s="1"/>
  <c r="BF24" i="12"/>
  <c r="BF25" i="12" s="1"/>
  <c r="BF27" i="12" s="1"/>
  <c r="BF29" i="12" l="1"/>
  <c r="BG26" i="12"/>
  <c r="BI17" i="9"/>
  <c r="P9" i="13"/>
  <c r="BF38" i="12"/>
  <c r="BI12" i="12" l="1"/>
  <c r="BI14" i="12" s="1"/>
  <c r="BI5" i="11"/>
  <c r="BI18" i="9"/>
  <c r="P7" i="13"/>
  <c r="BF33" i="12"/>
  <c r="BI17" i="11" l="1"/>
  <c r="CG14" i="13" s="1"/>
  <c r="BI20" i="10"/>
  <c r="BI21" i="10" s="1"/>
  <c r="BI16" i="12"/>
  <c r="BI18" i="12" s="1"/>
  <c r="BI24" i="10" l="1"/>
  <c r="BI22" i="10"/>
  <c r="BI6" i="11"/>
  <c r="BI7" i="11" s="1"/>
  <c r="BG26" i="10"/>
  <c r="BG27" i="10" s="1"/>
  <c r="BG30" i="12" l="1"/>
  <c r="BG28" i="10"/>
  <c r="BI20" i="12"/>
  <c r="BI23" i="10"/>
  <c r="BI34" i="12" l="1"/>
  <c r="BJ18" i="10"/>
  <c r="BG21" i="12"/>
  <c r="BG30" i="10"/>
  <c r="BG9" i="11" s="1"/>
  <c r="BG16" i="11" s="1"/>
  <c r="BG23" i="12" l="1"/>
  <c r="BG36" i="12" s="1"/>
  <c r="CE15" i="13"/>
  <c r="BG24" i="12"/>
  <c r="BG25" i="12" s="1"/>
  <c r="BG27" i="12" s="1"/>
  <c r="BJ19" i="10"/>
  <c r="BJ10" i="12" l="1"/>
  <c r="BJ11" i="12" s="1"/>
  <c r="BJ15" i="9"/>
  <c r="BJ16" i="9" s="1"/>
  <c r="BG29" i="12"/>
  <c r="BG33" i="12" s="1"/>
  <c r="BH26" i="12"/>
  <c r="BG37" i="12"/>
  <c r="BG38" i="12" s="1"/>
  <c r="BJ17" i="9" l="1"/>
  <c r="BJ12" i="12" l="1"/>
  <c r="BJ14" i="12" s="1"/>
  <c r="BJ5" i="11"/>
  <c r="BJ18" i="9"/>
  <c r="BJ20" i="10" l="1"/>
  <c r="BJ17" i="11"/>
  <c r="CH14" i="13" s="1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F32" i="10"/>
  <c r="BG32" i="10"/>
  <c r="BE32" i="10"/>
  <c r="BJ16" i="12"/>
  <c r="BJ18" i="12" s="1"/>
  <c r="Q6" i="13"/>
  <c r="CD41" i="10" l="1"/>
  <c r="D30" i="14" s="1"/>
  <c r="E30" i="14" s="1"/>
  <c r="B8" i="10"/>
  <c r="B10" i="10" s="1"/>
  <c r="CD38" i="10" s="1"/>
  <c r="D27" i="14" s="1"/>
  <c r="E27" i="14" s="1"/>
  <c r="CD40" i="10"/>
  <c r="D29" i="14" s="1"/>
  <c r="E29" i="14" s="1"/>
  <c r="BJ21" i="10"/>
  <c r="BI26" i="10" l="1"/>
  <c r="BI27" i="10" s="1"/>
  <c r="BI32" i="10" s="1"/>
  <c r="BJ6" i="11"/>
  <c r="BJ7" i="11" s="1"/>
  <c r="BJ22" i="10"/>
  <c r="BJ24" i="10"/>
  <c r="CD39" i="10" s="1"/>
  <c r="D28" i="14" s="1"/>
  <c r="E28" i="14" s="1"/>
  <c r="BH26" i="10"/>
  <c r="BH27" i="10" s="1"/>
  <c r="BH32" i="10" s="1"/>
  <c r="CD43" i="10" l="1"/>
  <c r="D32" i="14" s="1"/>
  <c r="E32" i="14" s="1"/>
  <c r="BH28" i="10"/>
  <c r="BH30" i="12"/>
  <c r="BJ20" i="12"/>
  <c r="BJ23" i="10"/>
  <c r="BI28" i="10"/>
  <c r="BI30" i="12"/>
  <c r="BJ28" i="10"/>
  <c r="BJ34" i="12" l="1"/>
  <c r="BK18" i="10"/>
  <c r="CD37" i="10"/>
  <c r="D26" i="14" s="1"/>
  <c r="E26" i="14" s="1"/>
  <c r="BJ21" i="12"/>
  <c r="BJ30" i="10"/>
  <c r="BJ9" i="11" s="1"/>
  <c r="BJ16" i="11" s="1"/>
  <c r="BI21" i="12"/>
  <c r="BI30" i="10"/>
  <c r="BI9" i="11" s="1"/>
  <c r="BI16" i="11" s="1"/>
  <c r="BH21" i="12"/>
  <c r="BH30" i="10"/>
  <c r="BH9" i="11" s="1"/>
  <c r="BH16" i="11" s="1"/>
  <c r="CG15" i="13" l="1"/>
  <c r="BI23" i="12"/>
  <c r="BI24" i="12"/>
  <c r="BI25" i="12" s="1"/>
  <c r="CF15" i="13"/>
  <c r="BH23" i="12"/>
  <c r="BH36" i="12" s="1"/>
  <c r="CH15" i="13"/>
  <c r="BJ23" i="12"/>
  <c r="BJ24" i="12" s="1"/>
  <c r="BJ25" i="12" s="1"/>
  <c r="BK19" i="10"/>
  <c r="Q8" i="13"/>
  <c r="BK10" i="12" l="1"/>
  <c r="BK11" i="12" s="1"/>
  <c r="BK15" i="9"/>
  <c r="BK16" i="9" s="1"/>
  <c r="BK22" i="10"/>
  <c r="BI36" i="12"/>
  <c r="BH37" i="12"/>
  <c r="BH38" i="12" s="1"/>
  <c r="BH24" i="12"/>
  <c r="BH25" i="12" s="1"/>
  <c r="BH27" i="12" s="1"/>
  <c r="BH29" i="12" l="1"/>
  <c r="BH33" i="12" s="1"/>
  <c r="BI26" i="12"/>
  <c r="BI27" i="12" s="1"/>
  <c r="BK20" i="12"/>
  <c r="BK23" i="10"/>
  <c r="BJ36" i="12"/>
  <c r="BI37" i="12"/>
  <c r="BI38" i="12" s="1"/>
  <c r="BK17" i="9"/>
  <c r="BK12" i="12" l="1"/>
  <c r="BK14" i="12" s="1"/>
  <c r="BK5" i="11"/>
  <c r="BJ37" i="12"/>
  <c r="BK18" i="9"/>
  <c r="BK34" i="12"/>
  <c r="BL18" i="10"/>
  <c r="BI29" i="12"/>
  <c r="BI33" i="12" s="1"/>
  <c r="BJ26" i="12"/>
  <c r="BJ27" i="12" s="1"/>
  <c r="BK26" i="12" l="1"/>
  <c r="BJ29" i="12"/>
  <c r="BL19" i="10"/>
  <c r="Q9" i="13"/>
  <c r="BJ38" i="12"/>
  <c r="BK17" i="11"/>
  <c r="CI14" i="13" s="1"/>
  <c r="BK7" i="11"/>
  <c r="BK16" i="11" s="1"/>
  <c r="BK16" i="12"/>
  <c r="BK18" i="12" s="1"/>
  <c r="CI15" i="13" l="1"/>
  <c r="BK23" i="12"/>
  <c r="BL15" i="9"/>
  <c r="BL16" i="9" s="1"/>
  <c r="BL10" i="12"/>
  <c r="BL11" i="12" s="1"/>
  <c r="BL22" i="10"/>
  <c r="Q7" i="13"/>
  <c r="BJ33" i="12"/>
  <c r="BL20" i="12" l="1"/>
  <c r="BL23" i="10"/>
  <c r="BL17" i="9"/>
  <c r="BK36" i="12"/>
  <c r="BK24" i="12"/>
  <c r="BK25" i="12" s="1"/>
  <c r="BK27" i="12" s="1"/>
  <c r="BL12" i="12" l="1"/>
  <c r="BL14" i="12" s="1"/>
  <c r="BL5" i="11"/>
  <c r="BL18" i="9"/>
  <c r="BL34" i="12"/>
  <c r="BM18" i="10"/>
  <c r="BK29" i="12"/>
  <c r="BK33" i="12" s="1"/>
  <c r="BL26" i="12"/>
  <c r="BK37" i="12"/>
  <c r="BK38" i="12" s="1"/>
  <c r="BM19" i="10" l="1"/>
  <c r="BL17" i="11"/>
  <c r="CJ14" i="13" s="1"/>
  <c r="BL7" i="11"/>
  <c r="BL16" i="11" s="1"/>
  <c r="BL16" i="12"/>
  <c r="BL18" i="12" s="1"/>
  <c r="CJ15" i="13" l="1"/>
  <c r="BL23" i="12"/>
  <c r="BM15" i="9"/>
  <c r="BM16" i="9" s="1"/>
  <c r="BM10" i="12"/>
  <c r="BM11" i="12" s="1"/>
  <c r="BM22" i="10"/>
  <c r="BL24" i="12" l="1"/>
  <c r="BL25" i="12" s="1"/>
  <c r="BL27" i="12" s="1"/>
  <c r="BL36" i="12"/>
  <c r="BM20" i="12"/>
  <c r="BM23" i="10"/>
  <c r="BM17" i="9"/>
  <c r="BM18" i="9" s="1"/>
  <c r="BM26" i="12" l="1"/>
  <c r="BL29" i="12"/>
  <c r="BL33" i="12" s="1"/>
  <c r="BM12" i="12"/>
  <c r="BM14" i="12" s="1"/>
  <c r="BM5" i="11"/>
  <c r="BM34" i="12"/>
  <c r="BN18" i="10"/>
  <c r="BL37" i="12"/>
  <c r="BL38" i="12" s="1"/>
  <c r="BM17" i="11" l="1"/>
  <c r="CK14" i="13" s="1"/>
  <c r="BM7" i="11"/>
  <c r="BM16" i="11" s="1"/>
  <c r="BN19" i="10"/>
  <c r="BM16" i="12"/>
  <c r="BM18" i="12" s="1"/>
  <c r="BN10" i="12" l="1"/>
  <c r="BN11" i="12" s="1"/>
  <c r="BN15" i="9"/>
  <c r="BN16" i="9" s="1"/>
  <c r="BN22" i="10"/>
  <c r="CK15" i="13"/>
  <c r="BM23" i="12"/>
  <c r="BM24" i="12" l="1"/>
  <c r="BM25" i="12" s="1"/>
  <c r="BM27" i="12" s="1"/>
  <c r="BM36" i="12"/>
  <c r="BN20" i="12"/>
  <c r="BN23" i="10"/>
  <c r="BN17" i="9"/>
  <c r="BN12" i="12" l="1"/>
  <c r="BN14" i="12" s="1"/>
  <c r="BN5" i="11"/>
  <c r="BN18" i="9"/>
  <c r="BN34" i="12"/>
  <c r="BO18" i="10"/>
  <c r="BM37" i="12"/>
  <c r="BM38" i="12" s="1"/>
  <c r="BN26" i="12"/>
  <c r="BM29" i="12"/>
  <c r="BM33" i="12" s="1"/>
  <c r="BO19" i="10" l="1"/>
  <c r="R8" i="13"/>
  <c r="BN17" i="11"/>
  <c r="CL14" i="13" s="1"/>
  <c r="BN7" i="11"/>
  <c r="BN16" i="11" s="1"/>
  <c r="BN16" i="12"/>
  <c r="BN18" i="12" s="1"/>
  <c r="R6" i="13"/>
  <c r="CL15" i="13" l="1"/>
  <c r="BN23" i="12"/>
  <c r="BO10" i="12"/>
  <c r="BO11" i="12" s="1"/>
  <c r="BO22" i="10"/>
  <c r="BO15" i="9"/>
  <c r="BO16" i="9" s="1"/>
  <c r="BO17" i="9" l="1"/>
  <c r="BO20" i="12"/>
  <c r="BO23" i="10"/>
  <c r="BN36" i="12"/>
  <c r="BN24" i="12"/>
  <c r="BN25" i="12" s="1"/>
  <c r="BN27" i="12" s="1"/>
  <c r="BN29" i="12" l="1"/>
  <c r="BO26" i="12"/>
  <c r="BN37" i="12"/>
  <c r="BO34" i="12"/>
  <c r="BP18" i="10"/>
  <c r="BO12" i="12"/>
  <c r="BO14" i="12" s="1"/>
  <c r="BO5" i="11"/>
  <c r="BO18" i="9"/>
  <c r="BO7" i="11" l="1"/>
  <c r="BO16" i="11" s="1"/>
  <c r="BO17" i="11"/>
  <c r="CM14" i="13" s="1"/>
  <c r="BO16" i="12"/>
  <c r="BO18" i="12" s="1"/>
  <c r="BP19" i="10"/>
  <c r="R9" i="13"/>
  <c r="BN38" i="12"/>
  <c r="R7" i="13"/>
  <c r="BN33" i="12"/>
  <c r="BP22" i="10" l="1"/>
  <c r="BP10" i="12"/>
  <c r="BP11" i="12" s="1"/>
  <c r="BP15" i="9"/>
  <c r="BP16" i="9" s="1"/>
  <c r="CM15" i="13"/>
  <c r="BO23" i="12"/>
  <c r="BP17" i="9" l="1"/>
  <c r="BO24" i="12"/>
  <c r="BO25" i="12" s="1"/>
  <c r="BO27" i="12" s="1"/>
  <c r="BO36" i="12"/>
  <c r="BP20" i="12"/>
  <c r="BP23" i="10"/>
  <c r="BP34" i="12" l="1"/>
  <c r="BQ18" i="10"/>
  <c r="BO37" i="12"/>
  <c r="BO38" i="12" s="1"/>
  <c r="BO29" i="12"/>
  <c r="BO33" i="12" s="1"/>
  <c r="BP26" i="12"/>
  <c r="BP12" i="12"/>
  <c r="BP14" i="12" s="1"/>
  <c r="BP5" i="11"/>
  <c r="BP18" i="9"/>
  <c r="BP7" i="11" l="1"/>
  <c r="BP16" i="11" s="1"/>
  <c r="BP17" i="11"/>
  <c r="CN14" i="13" s="1"/>
  <c r="BP16" i="12"/>
  <c r="BP18" i="12" s="1"/>
  <c r="BQ19" i="10"/>
  <c r="BQ15" i="9" l="1"/>
  <c r="BQ16" i="9" s="1"/>
  <c r="BQ10" i="12"/>
  <c r="BQ11" i="12" s="1"/>
  <c r="BQ22" i="10"/>
  <c r="CN15" i="13"/>
  <c r="BP23" i="12"/>
  <c r="BQ20" i="12" l="1"/>
  <c r="BQ23" i="10"/>
  <c r="BP24" i="12"/>
  <c r="BP25" i="12" s="1"/>
  <c r="BP27" i="12" s="1"/>
  <c r="BP36" i="12"/>
  <c r="BQ17" i="9"/>
  <c r="BP37" i="12" l="1"/>
  <c r="BP38" i="12" s="1"/>
  <c r="BQ12" i="12"/>
  <c r="BQ14" i="12" s="1"/>
  <c r="BQ5" i="11"/>
  <c r="BQ18" i="9"/>
  <c r="BP29" i="12"/>
  <c r="BP33" i="12" s="1"/>
  <c r="BQ26" i="12"/>
  <c r="BQ34" i="12"/>
  <c r="BR18" i="10"/>
  <c r="BR19" i="10" l="1"/>
  <c r="BQ16" i="12"/>
  <c r="BQ18" i="12" s="1"/>
  <c r="BQ7" i="11"/>
  <c r="BQ16" i="11" s="1"/>
  <c r="BQ17" i="11"/>
  <c r="CO14" i="13" s="1"/>
  <c r="CO15" i="13" l="1"/>
  <c r="BQ23" i="12"/>
  <c r="BR10" i="12"/>
  <c r="BR11" i="12" s="1"/>
  <c r="BR15" i="9"/>
  <c r="BR16" i="9" s="1"/>
  <c r="BR22" i="10"/>
  <c r="BR20" i="12" l="1"/>
  <c r="BR23" i="10"/>
  <c r="BR17" i="9"/>
  <c r="BQ24" i="12"/>
  <c r="BQ25" i="12" s="1"/>
  <c r="BQ27" i="12" s="1"/>
  <c r="BQ36" i="12"/>
  <c r="BQ37" i="12" l="1"/>
  <c r="BQ38" i="12" s="1"/>
  <c r="BR26" i="12"/>
  <c r="BQ29" i="12"/>
  <c r="BQ33" i="12" s="1"/>
  <c r="BR12" i="12"/>
  <c r="BR14" i="12" s="1"/>
  <c r="BR5" i="11"/>
  <c r="BR18" i="9"/>
  <c r="BR34" i="12"/>
  <c r="BS18" i="10"/>
  <c r="BR17" i="11" l="1"/>
  <c r="CP14" i="13" s="1"/>
  <c r="BR7" i="11"/>
  <c r="BR16" i="11" s="1"/>
  <c r="BS19" i="10"/>
  <c r="S8" i="13"/>
  <c r="BR16" i="12"/>
  <c r="BR18" i="12" s="1"/>
  <c r="S6" i="13"/>
  <c r="BS10" i="12" l="1"/>
  <c r="BS11" i="12" s="1"/>
  <c r="BS15" i="9"/>
  <c r="BS16" i="9" s="1"/>
  <c r="BS22" i="10"/>
  <c r="CP15" i="13"/>
  <c r="BR23" i="12"/>
  <c r="BR24" i="12" l="1"/>
  <c r="BR25" i="12" s="1"/>
  <c r="BR27" i="12" s="1"/>
  <c r="BR36" i="12"/>
  <c r="BS20" i="12"/>
  <c r="BS23" i="10"/>
  <c r="BS17" i="9"/>
  <c r="BS12" i="12" l="1"/>
  <c r="BS14" i="12" s="1"/>
  <c r="BS5" i="11"/>
  <c r="BS18" i="9"/>
  <c r="BS34" i="12"/>
  <c r="BT18" i="10"/>
  <c r="BR37" i="12"/>
  <c r="BR29" i="12"/>
  <c r="BS26" i="12"/>
  <c r="S7" i="13" l="1"/>
  <c r="BR33" i="12"/>
  <c r="S9" i="13"/>
  <c r="BR38" i="12"/>
  <c r="BS17" i="11"/>
  <c r="CQ14" i="13" s="1"/>
  <c r="BS7" i="11"/>
  <c r="BS16" i="11" s="1"/>
  <c r="BT19" i="10"/>
  <c r="BS16" i="12"/>
  <c r="BS18" i="12" s="1"/>
  <c r="CQ15" i="13" l="1"/>
  <c r="BS23" i="12"/>
  <c r="BT10" i="12"/>
  <c r="BT11" i="12" s="1"/>
  <c r="BT15" i="9"/>
  <c r="BT16" i="9" s="1"/>
  <c r="BT22" i="10"/>
  <c r="BT20" i="12" l="1"/>
  <c r="BT23" i="10"/>
  <c r="BS24" i="12"/>
  <c r="BS25" i="12" s="1"/>
  <c r="BS27" i="12" s="1"/>
  <c r="BS36" i="12"/>
  <c r="BT17" i="9"/>
  <c r="BT18" i="9" s="1"/>
  <c r="BT12" i="12" l="1"/>
  <c r="BT14" i="12" s="1"/>
  <c r="BT5" i="11"/>
  <c r="BS37" i="12"/>
  <c r="BS38" i="12" s="1"/>
  <c r="BS29" i="12"/>
  <c r="BS33" i="12" s="1"/>
  <c r="BT26" i="12"/>
  <c r="BT34" i="12"/>
  <c r="BU18" i="10"/>
  <c r="BU19" i="10" l="1"/>
  <c r="BT17" i="11"/>
  <c r="CR14" i="13" s="1"/>
  <c r="BT7" i="11"/>
  <c r="BT16" i="11" s="1"/>
  <c r="BT16" i="12"/>
  <c r="BT18" i="12" s="1"/>
  <c r="CR15" i="13" l="1"/>
  <c r="BT23" i="12"/>
  <c r="BU15" i="9"/>
  <c r="BU16" i="9" s="1"/>
  <c r="BU10" i="12"/>
  <c r="BU11" i="12" s="1"/>
  <c r="BU22" i="10"/>
  <c r="BU20" i="12" l="1"/>
  <c r="BU23" i="10"/>
  <c r="BU17" i="9"/>
  <c r="BU18" i="9" s="1"/>
  <c r="BT24" i="12"/>
  <c r="BT25" i="12" s="1"/>
  <c r="BT27" i="12" s="1"/>
  <c r="BT36" i="12"/>
  <c r="BT37" i="12" l="1"/>
  <c r="BT38" i="12" s="1"/>
  <c r="BT29" i="12"/>
  <c r="BT33" i="12" s="1"/>
  <c r="BU26" i="12"/>
  <c r="BU12" i="12"/>
  <c r="BU14" i="12" s="1"/>
  <c r="BU5" i="11"/>
  <c r="BU34" i="12"/>
  <c r="BV18" i="10"/>
  <c r="BU16" i="12" l="1"/>
  <c r="BU18" i="12" s="1"/>
  <c r="BV19" i="10"/>
  <c r="BU7" i="11"/>
  <c r="BU16" i="11" s="1"/>
  <c r="BU17" i="11"/>
  <c r="CS14" i="13" s="1"/>
  <c r="CS15" i="13" l="1"/>
  <c r="BU23" i="12"/>
  <c r="BV15" i="9"/>
  <c r="BV16" i="9" s="1"/>
  <c r="BV10" i="12"/>
  <c r="BV11" i="12" s="1"/>
  <c r="BV22" i="10"/>
  <c r="BV20" i="12" l="1"/>
  <c r="BV23" i="10"/>
  <c r="BV17" i="9"/>
  <c r="BU24" i="12"/>
  <c r="BU25" i="12" s="1"/>
  <c r="BU27" i="12" s="1"/>
  <c r="BU36" i="12"/>
  <c r="BU37" i="12" l="1"/>
  <c r="BU38" i="12" s="1"/>
  <c r="BU29" i="12"/>
  <c r="BU33" i="12" s="1"/>
  <c r="BV26" i="12"/>
  <c r="BV12" i="12"/>
  <c r="BV14" i="12" s="1"/>
  <c r="BV5" i="11"/>
  <c r="BV18" i="9"/>
  <c r="BV34" i="12"/>
  <c r="BW18" i="10"/>
  <c r="BW19" i="10" l="1"/>
  <c r="T8" i="13"/>
  <c r="BV17" i="11"/>
  <c r="CT14" i="13" s="1"/>
  <c r="BV7" i="11"/>
  <c r="BV16" i="11" s="1"/>
  <c r="BV16" i="12"/>
  <c r="BV18" i="12" s="1"/>
  <c r="T6" i="13"/>
  <c r="CT15" i="13" l="1"/>
  <c r="BV23" i="12"/>
  <c r="BW10" i="12"/>
  <c r="BW11" i="12" s="1"/>
  <c r="BW15" i="9"/>
  <c r="BW16" i="9" s="1"/>
  <c r="BW22" i="10"/>
  <c r="BW17" i="9" l="1"/>
  <c r="BW20" i="12"/>
  <c r="BW23" i="10"/>
  <c r="BV24" i="12"/>
  <c r="BV25" i="12" s="1"/>
  <c r="BV27" i="12" s="1"/>
  <c r="BV36" i="12"/>
  <c r="BV37" i="12" l="1"/>
  <c r="BW34" i="12"/>
  <c r="BX18" i="10"/>
  <c r="BV29" i="12"/>
  <c r="BW26" i="12"/>
  <c r="BW12" i="12"/>
  <c r="BW14" i="12" s="1"/>
  <c r="BW5" i="11"/>
  <c r="BW18" i="9"/>
  <c r="BW7" i="11" l="1"/>
  <c r="BW16" i="11" s="1"/>
  <c r="BW17" i="11"/>
  <c r="CU14" i="13" s="1"/>
  <c r="BW16" i="12"/>
  <c r="BW18" i="12" s="1"/>
  <c r="T7" i="13"/>
  <c r="BV33" i="12"/>
  <c r="BX19" i="10"/>
  <c r="T9" i="13"/>
  <c r="BV38" i="12"/>
  <c r="BX10" i="12" l="1"/>
  <c r="BX11" i="12" s="1"/>
  <c r="BX15" i="9"/>
  <c r="BX16" i="9" s="1"/>
  <c r="BX22" i="10"/>
  <c r="BW23" i="12"/>
  <c r="CU15" i="13"/>
  <c r="BX20" i="12" l="1"/>
  <c r="BX23" i="10"/>
  <c r="BW24" i="12"/>
  <c r="BW25" i="12" s="1"/>
  <c r="BW27" i="12" s="1"/>
  <c r="BW36" i="12"/>
  <c r="BX17" i="9"/>
  <c r="BX18" i="9" s="1"/>
  <c r="BW37" i="12" l="1"/>
  <c r="BW38" i="12" s="1"/>
  <c r="BX12" i="12"/>
  <c r="BX14" i="12" s="1"/>
  <c r="BX5" i="11"/>
  <c r="BW29" i="12"/>
  <c r="BW33" i="12" s="1"/>
  <c r="BX26" i="12"/>
  <c r="BY18" i="10"/>
  <c r="BX34" i="12"/>
  <c r="BY19" i="10" l="1"/>
  <c r="BX7" i="11"/>
  <c r="BX16" i="11" s="1"/>
  <c r="BX17" i="11"/>
  <c r="CV14" i="13" s="1"/>
  <c r="BX16" i="12"/>
  <c r="BX18" i="12" s="1"/>
  <c r="CV15" i="13" l="1"/>
  <c r="BX23" i="12"/>
  <c r="BY10" i="12"/>
  <c r="BY11" i="12" s="1"/>
  <c r="BY15" i="9"/>
  <c r="BY16" i="9" s="1"/>
  <c r="BY22" i="10"/>
  <c r="BY17" i="9" l="1"/>
  <c r="BY20" i="12"/>
  <c r="BY23" i="10"/>
  <c r="BX24" i="12"/>
  <c r="BX25" i="12" s="1"/>
  <c r="BX27" i="12" s="1"/>
  <c r="BX36" i="12"/>
  <c r="BX37" i="12" l="1"/>
  <c r="BX38" i="12" s="1"/>
  <c r="BX29" i="12"/>
  <c r="BX33" i="12" s="1"/>
  <c r="BY26" i="12"/>
  <c r="BY34" i="12"/>
  <c r="BZ18" i="10"/>
  <c r="BY12" i="12"/>
  <c r="BY14" i="12" s="1"/>
  <c r="BY5" i="11"/>
  <c r="BY18" i="9"/>
  <c r="BY17" i="11" l="1"/>
  <c r="CW14" i="13" s="1"/>
  <c r="BY7" i="11"/>
  <c r="BY16" i="11" s="1"/>
  <c r="BZ19" i="10"/>
  <c r="BY16" i="12"/>
  <c r="BY18" i="12" s="1"/>
  <c r="BZ10" i="12" l="1"/>
  <c r="BZ11" i="12" s="1"/>
  <c r="BZ15" i="9"/>
  <c r="BZ16" i="9" s="1"/>
  <c r="BZ22" i="10"/>
  <c r="CW15" i="13"/>
  <c r="BY23" i="12"/>
  <c r="BZ17" i="9" l="1"/>
  <c r="BY24" i="12"/>
  <c r="BY25" i="12" s="1"/>
  <c r="BY27" i="12" s="1"/>
  <c r="BY36" i="12"/>
  <c r="BZ20" i="12"/>
  <c r="BZ23" i="10"/>
  <c r="BY37" i="12" l="1"/>
  <c r="BY38" i="12" s="1"/>
  <c r="BZ34" i="12"/>
  <c r="CA18" i="10"/>
  <c r="BZ26" i="12"/>
  <c r="BY29" i="12"/>
  <c r="BY33" i="12" s="1"/>
  <c r="BZ12" i="12"/>
  <c r="BZ14" i="12" s="1"/>
  <c r="BZ5" i="11"/>
  <c r="BZ18" i="9"/>
  <c r="BZ17" i="11" l="1"/>
  <c r="CX14" i="13" s="1"/>
  <c r="BZ7" i="11"/>
  <c r="BZ16" i="11" s="1"/>
  <c r="BZ16" i="12"/>
  <c r="BZ18" i="12" s="1"/>
  <c r="U6" i="13"/>
  <c r="CA19" i="10"/>
  <c r="U8" i="13"/>
  <c r="CX15" i="13" l="1"/>
  <c r="BZ23" i="12"/>
  <c r="CA10" i="12"/>
  <c r="CA11" i="12" s="1"/>
  <c r="CA15" i="9"/>
  <c r="CA16" i="9" s="1"/>
  <c r="CA22" i="10"/>
  <c r="CA20" i="12" l="1"/>
  <c r="CA23" i="10"/>
  <c r="CA17" i="9"/>
  <c r="BZ24" i="12"/>
  <c r="BZ25" i="12" s="1"/>
  <c r="BZ27" i="12" s="1"/>
  <c r="BZ36" i="12"/>
  <c r="CA12" i="12" l="1"/>
  <c r="CA14" i="12" s="1"/>
  <c r="CA5" i="11"/>
  <c r="BZ37" i="12"/>
  <c r="CA26" i="12"/>
  <c r="BZ29" i="12"/>
  <c r="CA18" i="9"/>
  <c r="CA34" i="12"/>
  <c r="CB18" i="10"/>
  <c r="CB19" i="10" l="1"/>
  <c r="U7" i="13"/>
  <c r="BZ33" i="12"/>
  <c r="U9" i="13"/>
  <c r="BZ38" i="12"/>
  <c r="CA17" i="11"/>
  <c r="CY14" i="13" s="1"/>
  <c r="CA7" i="11"/>
  <c r="CA16" i="11" s="1"/>
  <c r="CA16" i="12"/>
  <c r="CA18" i="12" s="1"/>
  <c r="CY15" i="13" l="1"/>
  <c r="CA23" i="12"/>
  <c r="CB10" i="12"/>
  <c r="CB11" i="12" s="1"/>
  <c r="CB15" i="9"/>
  <c r="CB16" i="9" s="1"/>
  <c r="CB22" i="10"/>
  <c r="CB17" i="9" l="1"/>
  <c r="CB20" i="12"/>
  <c r="CB23" i="10"/>
  <c r="CA36" i="12"/>
  <c r="CA24" i="12"/>
  <c r="CA25" i="12" s="1"/>
  <c r="CA27" i="12" s="1"/>
  <c r="CB34" i="12" l="1"/>
  <c r="CC18" i="10"/>
  <c r="CA29" i="12"/>
  <c r="CA33" i="12" s="1"/>
  <c r="CB26" i="12"/>
  <c r="CA37" i="12"/>
  <c r="CA38" i="12" s="1"/>
  <c r="CB12" i="12"/>
  <c r="CB14" i="12" s="1"/>
  <c r="CB5" i="11"/>
  <c r="CB18" i="9"/>
  <c r="CB17" i="11" l="1"/>
  <c r="CZ14" i="13" s="1"/>
  <c r="CB7" i="11"/>
  <c r="CB16" i="11" s="1"/>
  <c r="CB16" i="12"/>
  <c r="CB18" i="12" s="1"/>
  <c r="CC19" i="10"/>
  <c r="CC10" i="12" l="1"/>
  <c r="CC11" i="12" s="1"/>
  <c r="CC15" i="9"/>
  <c r="CC16" i="9" s="1"/>
  <c r="CC22" i="10"/>
  <c r="CB23" i="12"/>
  <c r="CZ15" i="13"/>
  <c r="CC20" i="12" l="1"/>
  <c r="CC23" i="10"/>
  <c r="CB24" i="12"/>
  <c r="CB25" i="12" s="1"/>
  <c r="CB27" i="12" s="1"/>
  <c r="CB36" i="12"/>
  <c r="CC17" i="9"/>
  <c r="CC12" i="12" l="1"/>
  <c r="CC14" i="12" s="1"/>
  <c r="CC5" i="11"/>
  <c r="CB37" i="12"/>
  <c r="CB38" i="12" s="1"/>
  <c r="CC18" i="9"/>
  <c r="CB29" i="12"/>
  <c r="CB33" i="12" s="1"/>
  <c r="CC26" i="12"/>
  <c r="CC34" i="12"/>
  <c r="CD18" i="10"/>
  <c r="CD19" i="10" l="1"/>
  <c r="CC7" i="11"/>
  <c r="CC16" i="11" s="1"/>
  <c r="CC17" i="11"/>
  <c r="DA14" i="13" s="1"/>
  <c r="CC16" i="12"/>
  <c r="CC18" i="12" s="1"/>
  <c r="CC23" i="12" l="1"/>
  <c r="DA15" i="13"/>
  <c r="CD10" i="12"/>
  <c r="CD11" i="12" s="1"/>
  <c r="CD22" i="10"/>
  <c r="CD15" i="9"/>
  <c r="CD16" i="9" s="1"/>
  <c r="CD20" i="12" l="1"/>
  <c r="CD23" i="10"/>
  <c r="CD34" i="12" s="1"/>
  <c r="CD17" i="9"/>
  <c r="CC36" i="12"/>
  <c r="CC24" i="12"/>
  <c r="CC25" i="12" s="1"/>
  <c r="CC27" i="12" s="1"/>
  <c r="CD26" i="12" l="1"/>
  <c r="CC29" i="12"/>
  <c r="CC33" i="12" s="1"/>
  <c r="CC37" i="12"/>
  <c r="CC38" i="12" s="1"/>
  <c r="CD12" i="12"/>
  <c r="CD14" i="12" s="1"/>
  <c r="CD5" i="11"/>
  <c r="CD18" i="9"/>
  <c r="V8" i="13"/>
  <c r="BJ33" i="10" l="1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CC33" i="10"/>
  <c r="CB33" i="10"/>
  <c r="BY33" i="10"/>
  <c r="CA33" i="10"/>
  <c r="BZ33" i="10"/>
  <c r="BX33" i="10"/>
  <c r="BH33" i="10"/>
  <c r="BI33" i="10"/>
  <c r="CD17" i="11"/>
  <c r="DB14" i="13" s="1"/>
  <c r="A19" i="13" s="1"/>
  <c r="CD7" i="11"/>
  <c r="CD16" i="11" s="1"/>
  <c r="C33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CD16" i="12"/>
  <c r="CD18" i="12" s="1"/>
  <c r="V6" i="13"/>
  <c r="CD42" i="10" l="1"/>
  <c r="D31" i="14" s="1"/>
  <c r="E31" i="14" s="1"/>
  <c r="DB15" i="13"/>
  <c r="A21" i="13" s="1"/>
  <c r="CD23" i="12"/>
  <c r="CD21" i="11"/>
  <c r="D33" i="14" s="1"/>
  <c r="E33" i="14" s="1"/>
  <c r="CD24" i="12" l="1"/>
  <c r="CD25" i="12" s="1"/>
  <c r="CD27" i="12" s="1"/>
  <c r="CD29" i="12" s="1"/>
  <c r="CD36" i="12"/>
  <c r="CD37" i="12" s="1"/>
  <c r="V9" i="13" l="1"/>
  <c r="CD38" i="12"/>
  <c r="V7" i="13"/>
  <c r="CD33" i="12"/>
  <c r="CD42" i="12" s="1"/>
  <c r="D36" i="14" s="1"/>
  <c r="E36" i="14" s="1"/>
  <c r="B3" i="14" s="1"/>
  <c r="B9" i="1" s="1"/>
</calcChain>
</file>

<file path=xl/sharedStrings.xml><?xml version="1.0" encoding="utf-8"?>
<sst xmlns="http://schemas.openxmlformats.org/spreadsheetml/2006/main" count="510" uniqueCount="401">
  <si>
    <t>Project 123 — Cover</t>
  </si>
  <si>
    <t>Control Panel — Workbook_Open redraws the buttons from this table</t>
  </si>
  <si>
    <t>VBA Solve Settings (used from Stage 1b onward)</t>
  </si>
  <si>
    <t>SolveAllCurrentScenario</t>
  </si>
  <si>
    <t>Solve All (Current Scenario)</t>
  </si>
  <si>
    <t>Circularity Tolerance ($)</t>
  </si>
  <si>
    <t>SolveConstructionIDC</t>
  </si>
  <si>
    <t>Solve Construction IDC</t>
  </si>
  <si>
    <t>Max Iterations (per convergence loop)</t>
  </si>
  <si>
    <t>SolveDebtSculpting</t>
  </si>
  <si>
    <t>Solve Debt Sculpting</t>
  </si>
  <si>
    <t>Debt Sizing Tolerance ($, outer root-find on debt size D)</t>
  </si>
  <si>
    <t>ResetAllStagedValues</t>
  </si>
  <si>
    <t>Reset Staged Values</t>
  </si>
  <si>
    <t>InvalidateSolveSnapshot</t>
  </si>
  <si>
    <t>Invalidate Solve</t>
  </si>
  <si>
    <t>Model Status</t>
  </si>
  <si>
    <t>Buttons (Stage 1b+): Solve Construction IDC | Solve Debt Sculpting | Goal Seek -&gt; EIRR | Goal Seek -&gt; PIRR</t>
  </si>
  <si>
    <t>Placeholder rows only — Form Control buttons + macro assignment are a manual, one-time step (see VBA hand-off docs).</t>
  </si>
  <si>
    <t>Construction Drawdown Method</t>
  </si>
  <si>
    <t>Pari Passu</t>
  </si>
  <si>
    <t>Debt First: draw debt until facility exhausted, then equity. Equity First: draw equity until commitment exhausted, then debt. Pari Passu: draw both proportionally each month.</t>
  </si>
  <si>
    <t>Debt Sizing Mode</t>
  </si>
  <si>
    <t>DSCR Sculpted</t>
  </si>
  <si>
    <t>Fixed Gearing: debt = gearing x Total Project Cost, level (PMT) amortisation. DSCR Sculpted: repayment locked to Target DSCR, debt size solved so the balance amortises to zero exactly at tenor end.</t>
  </si>
  <si>
    <t>Active Scenario (1-10)</t>
  </si>
  <si>
    <t>Drives the Active column on Assumptions_Constant and the Active row on both Periodic sheets — one switch moves every scenario-varying input together.</t>
  </si>
  <si>
    <t>DSRA Funding Method</t>
  </si>
  <si>
    <t>Cash Funded</t>
  </si>
  <si>
    <t>Cash Funded: CFADS is trapped to hold the reserve at target, released as the requirement falls. LC-Backed: no cash trapped — a recurring LC fee is charged on the requirement instead, and the fee is a tax-deductible P&amp;L cost.</t>
  </si>
  <si>
    <t>Solve Freshness</t>
  </si>
  <si>
    <t>Last Solved</t>
  </si>
  <si>
    <t>Solve Status</t>
  </si>
  <si>
    <t>Tracked Input</t>
  </si>
  <si>
    <t>Live</t>
  </si>
  <si>
    <t>At Last Solve</t>
  </si>
  <si>
    <t>Match</t>
  </si>
  <si>
    <t>Total Capex</t>
  </si>
  <si>
    <t>Gearing</t>
  </si>
  <si>
    <t>Interest Rate</t>
  </si>
  <si>
    <t>Debt Tenor (Years)</t>
  </si>
  <si>
    <t>Target DSCR</t>
  </si>
  <si>
    <t>Annual Revenue</t>
  </si>
  <si>
    <t>Opex % of Revenue</t>
  </si>
  <si>
    <t>Tax Rate</t>
  </si>
  <si>
    <t>Useful Life (Years)</t>
  </si>
  <si>
    <t>Max Gearing</t>
  </si>
  <si>
    <t>Routine Maint Capex %</t>
  </si>
  <si>
    <t>DSRA LC Fee</t>
  </si>
  <si>
    <t>Drawdown Method</t>
  </si>
  <si>
    <t>Active Scenario</t>
  </si>
  <si>
    <t>Capex Phasing (signature)</t>
  </si>
  <si>
    <t>Check: Solve is current</t>
  </si>
  <si>
    <t>Assumptions_Model — Resolved Inputs for the Active Scenario</t>
  </si>
  <si>
    <t>Every value here resolves from Assumptions_Constant's Active column. Change assumptions there, not here — this sheet is the live view the Calc sheets read.</t>
  </si>
  <si>
    <t>Total Capex ($)</t>
  </si>
  <si>
    <t>Gearing (Debt % of TPC)</t>
  </si>
  <si>
    <t>Interest Rate (Annual)</t>
  </si>
  <si>
    <t>Annual Revenue ($) — base, pre-index and pre-escalation</t>
  </si>
  <si>
    <t>Max Gearing (cap on DSCR-sculpted debt size)</t>
  </si>
  <si>
    <t>Routine Maint Capex (% of Revenue)</t>
  </si>
  <si>
    <t>DSRA LC Fee (% p.a. on requirement)</t>
  </si>
  <si>
    <t>Capex Phasing % — resolved from Assumptions_Periodic_Capex Active row</t>
  </si>
  <si>
    <t>Period End Date</t>
  </si>
  <si>
    <t>Phasing %</t>
  </si>
  <si>
    <t>Assumptions_Constant — Single-Value Drivers, Scenarios Across Columns</t>
  </si>
  <si>
    <t>Driver</t>
  </si>
  <si>
    <t>Active</t>
  </si>
  <si>
    <t>Scenario Name</t>
  </si>
  <si>
    <t>Base</t>
  </si>
  <si>
    <t>Upside</t>
  </si>
  <si>
    <t>Downside</t>
  </si>
  <si>
    <t>Scenario 4</t>
  </si>
  <si>
    <t>Scenario 5</t>
  </si>
  <si>
    <t>Scenario 6</t>
  </si>
  <si>
    <t>Scenario 7</t>
  </si>
  <si>
    <t>Scenario 8</t>
  </si>
  <si>
    <t>Scenario 9</t>
  </si>
  <si>
    <t>Scenario 10</t>
  </si>
  <si>
    <t>Annual Revenue ($)</t>
  </si>
  <si>
    <t>Max Gearing (cap)</t>
  </si>
  <si>
    <t>Escalation Factor 1 (Annual %)</t>
  </si>
  <si>
    <t>Escalation Factor 2 (Annual %)</t>
  </si>
  <si>
    <t>Escalation Factor 3 (Annual %)</t>
  </si>
  <si>
    <t>Escalation Factor 4 (Annual %)</t>
  </si>
  <si>
    <t>Checks</t>
  </si>
  <si>
    <t>Check: Active column resolves (Total Capex &gt; 0)</t>
  </si>
  <si>
    <t>Check: All scenario cells populated</t>
  </si>
  <si>
    <t>Assumptions_Periodic_Capex — Monthly, Scenarios as Row Blocks</t>
  </si>
  <si>
    <t>Time runs across columns, as everywhere else in the model; scenarios stack downward. The Active row resolves the selection on Cover.</t>
  </si>
  <si>
    <t>Construction Month #</t>
  </si>
  <si>
    <t>Capex Phasing % (by scenario)</t>
  </si>
  <si>
    <t>Scenario 1</t>
  </si>
  <si>
    <t>Scenario 2</t>
  </si>
  <si>
    <t>Scenario 3</t>
  </si>
  <si>
    <t>ACTIVE — Capex Phasing %</t>
  </si>
  <si>
    <t>Phasing sum by scenario (each must be 100%)</t>
  </si>
  <si>
    <t>Scenario 1 sum</t>
  </si>
  <si>
    <t>Scenario 2 sum</t>
  </si>
  <si>
    <t>Scenario 3 sum</t>
  </si>
  <si>
    <t>Scenario 4 sum</t>
  </si>
  <si>
    <t>Scenario 5 sum</t>
  </si>
  <si>
    <t>Scenario 6 sum</t>
  </si>
  <si>
    <t>Scenario 7 sum</t>
  </si>
  <si>
    <t>Scenario 8 sum</t>
  </si>
  <si>
    <t>Scenario 9 sum</t>
  </si>
  <si>
    <t>Scenario 10 sum</t>
  </si>
  <si>
    <t>Check: Active phasing sums to 100%</t>
  </si>
  <si>
    <t>Check: All 10 scenario phasings sum to 100%</t>
  </si>
  <si>
    <t>Assumptions_Periodic_Ops — Quarterly, Scenarios as Row Blocks</t>
  </si>
  <si>
    <t>Volume indices default to 1.00 (flat). Escalation rates are scenario-varying and live on Assumptions_Constant; this sheet compounds them to a quarterly index.</t>
  </si>
  <si>
    <t>Operating Quarter #</t>
  </si>
  <si>
    <t>Revenue Volume Index (by scenario)</t>
  </si>
  <si>
    <t>ACTIVE — Revenue Volume Index</t>
  </si>
  <si>
    <t>Opex Volume Index (by scenario)</t>
  </si>
  <si>
    <t>ACTIVE — Opex Volume Index</t>
  </si>
  <si>
    <t>Lumpy Maintenance Capex ($, by scenario) — overhauls; routine spend is a % of revenue</t>
  </si>
  <si>
    <t>ACTIVE — Lumpy Maintenance Capex ($)</t>
  </si>
  <si>
    <t>Escalation Library — annual % (active scenario) compounded to a quarterly index</t>
  </si>
  <si>
    <t>Factor</t>
  </si>
  <si>
    <t>Annual %</t>
  </si>
  <si>
    <t>Escalation Factor 1</t>
  </si>
  <si>
    <t>Escalation Factor 2</t>
  </si>
  <si>
    <t>Escalation Factor 3</t>
  </si>
  <si>
    <t>Escalation Factor 4</t>
  </si>
  <si>
    <t>Revenue escalation factor # (1-4)</t>
  </si>
  <si>
    <t>Opex escalation factor # (1-4)</t>
  </si>
  <si>
    <t>ACTIVE — Revenue Escalation Index</t>
  </si>
  <si>
    <t>ACTIVE — Opex Escalation Index</t>
  </si>
  <si>
    <t>Check: All escalation indices start at 1.00</t>
  </si>
  <si>
    <t>Check: Active volume indices &gt; 0 in every quarter</t>
  </si>
  <si>
    <t>Check: Active lumpy maintenance capex &gt;= 0 in every quarter</t>
  </si>
  <si>
    <t>Calc_Capex — Monthly Construction Capex &amp; Funding</t>
  </si>
  <si>
    <t>Total Capex Input ($) — linked from Assumptions_Model</t>
  </si>
  <si>
    <t>Capex Phasing %</t>
  </si>
  <si>
    <t>Capex Draw ($)</t>
  </si>
  <si>
    <t>Cumulative Capex Draw ($)</t>
  </si>
  <si>
    <t>Debt Funding % — linked from Assumptions_Model (Stage 1a: fixed ratio; Stage 1b: Loop 1 draw sequencing)</t>
  </si>
  <si>
    <t>Debt Draw ($) — linked from Calc_Financing_Cons</t>
  </si>
  <si>
    <t>Equity Draw ($) — linked from Calc_Financing_Cons</t>
  </si>
  <si>
    <t>Cumulative Debt Draw ($) — linked from Calc_Financing_Cons</t>
  </si>
  <si>
    <t>Cumulative Equity Draw ($) — linked from Calc_Financing_Cons</t>
  </si>
  <si>
    <t>IDC ($, monthly) — solved via Loop 1, linked from Calc_Financing_Cons</t>
  </si>
  <si>
    <t>Cumulative IDC ($)</t>
  </si>
  <si>
    <t>Total Project Cost (Cumulative) = Cum Capex + Cum IDC</t>
  </si>
  <si>
    <t>Check: Cum Debt + Cum Equity = Cum Capex + Cum IDC</t>
  </si>
  <si>
    <t>Check: Final Cumulative Capex = Total Capex Input</t>
  </si>
  <si>
    <t>Calc_Financing_Cons — Monthly Construction Funding &amp; IDC (Loop 1)</t>
  </si>
  <si>
    <t>Drawdown Method — linked from Cover</t>
  </si>
  <si>
    <t>Interest Rate (Annual) — linked from Assumptions_Model</t>
  </si>
  <si>
    <t>Gearing (Debt % of Total Project Cost) — linked from Assumptions_Model</t>
  </si>
  <si>
    <t>Staged IDC ($) — VBA-written, breaks Loop 1 circularity</t>
  </si>
  <si>
    <t>Total Project Cost ($) = Total Capex + Staged IDC</t>
  </si>
  <si>
    <t>Debt Facility ($) — per Cover Debt Sizing Mode</t>
  </si>
  <si>
    <t>Equity Commitment ($) = Total Project Cost - Debt Facility</t>
  </si>
  <si>
    <t>Calculated IDC ($) = SUM of monthly interest accrued</t>
  </si>
  <si>
    <t>Convergence Gap ($) = Calculated IDC - Staged IDC</t>
  </si>
  <si>
    <t>Capex Draw ($) — linked from Calc_Capex</t>
  </si>
  <si>
    <t>Opening Debt Balance ($)</t>
  </si>
  <si>
    <t>Interest Accrued / IDC ($)</t>
  </si>
  <si>
    <t>Funding Requirement ($) = Capex Draw + Interest</t>
  </si>
  <si>
    <t>Cumulative Funding Requirement ($)</t>
  </si>
  <si>
    <t>Debt Draw ($) — per Drawdown Method</t>
  </si>
  <si>
    <t>Equity Draw ($)</t>
  </si>
  <si>
    <t>Cumulative Debt Draw ($)</t>
  </si>
  <si>
    <t>Cumulative Equity Draw ($)</t>
  </si>
  <si>
    <t>Closing Debt Balance ($)</t>
  </si>
  <si>
    <t>Check: Closing Balance = Cumulative Debt Draws</t>
  </si>
  <si>
    <t>Check: IDC Converged (|gap| &lt;= Cover tolerance)</t>
  </si>
  <si>
    <t>Check: Cum Debt + Cum Equity = Cum Funding Requirement</t>
  </si>
  <si>
    <t>Check: Cumulative Debt Draw &lt;= Debt Facility</t>
  </si>
  <si>
    <t>Check: Cumulative Debt Draw = Debt Facility (draws honour the solve)</t>
  </si>
  <si>
    <t>Calc_Revenue_Opex — Quarterly Revenue &amp; Opex (flat dummy, Stage 1a)</t>
  </si>
  <si>
    <t>Annual Revenue Input ($) — linked from Assumptions_Model, flat dummy placeholder</t>
  </si>
  <si>
    <t>Revenue Volume Index — linked from Assumptions_Periodic_Ops</t>
  </si>
  <si>
    <t>Revenue Escalation Index — linked from Assumptions_Periodic_Ops</t>
  </si>
  <si>
    <t>Opex Volume Index — linked from Assumptions_Periodic_Ops</t>
  </si>
  <si>
    <t>Opex Escalation Index — linked from Assumptions_Periodic_Ops</t>
  </si>
  <si>
    <t>Opex % of Revenue — linked from Assumptions_Model</t>
  </si>
  <si>
    <t>Revenue ($) = base x volume index x escalation index</t>
  </si>
  <si>
    <t>Opex ($) = base x volume index x escalation index</t>
  </si>
  <si>
    <t>EBITDA ($)</t>
  </si>
  <si>
    <t>Routine Maint Capex (% of Revenue) — linked from Assumptions_Model</t>
  </si>
  <si>
    <t>Routine Maintenance Capex ($) = Revenue x routine %</t>
  </si>
  <si>
    <t>Lumpy Maintenance Capex ($) — linked from Assumptions_Periodic_Ops</t>
  </si>
  <si>
    <t>Total Maintenance Capex ($)</t>
  </si>
  <si>
    <t>Check: Year 1 revenue = Annual Revenue Input (holds when Yr1 indices = 1.00)</t>
  </si>
  <si>
    <t>Informational: # quarters with negative EBITDA</t>
  </si>
  <si>
    <t>Check: Total maintenance capex &gt;= 0 in every quarter</t>
  </si>
  <si>
    <t>Calc_Tax — Quarterly Tax (base vintage + multi-vintage maintenance capex)</t>
  </si>
  <si>
    <t>Tax Rate — linked from Assumptions_Model</t>
  </si>
  <si>
    <t>Useful Life (Years) — linked from Assumptions_Model</t>
  </si>
  <si>
    <t>Maintenance Capex Useful Life (Years) — structural, rebuild to change</t>
  </si>
  <si>
    <t>EBITDA ($) — linked from Calc_Revenue_Opex</t>
  </si>
  <si>
    <t>Base Depreciation ($) — straight-line on Total Project Cost</t>
  </si>
  <si>
    <t>Maintenance Capex ($) — linked from Calc_Revenue_Opex</t>
  </si>
  <si>
    <t>Maintenance Depreciation ($) — multi-vintage, straight-line</t>
  </si>
  <si>
    <t>Total Depreciation ($)</t>
  </si>
  <si>
    <t>Interest Expense ($) — linked from Calc_Financing_Ops (tax shield)</t>
  </si>
  <si>
    <t>EBT ($) = EBITDA - Total Depreciation - Interest</t>
  </si>
  <si>
    <t>Tax ($) — no loss carryforward yet</t>
  </si>
  <si>
    <t>Net Income ($)</t>
  </si>
  <si>
    <t>Check: Accumulated Base Depreciation &lt;= Total Project Cost</t>
  </si>
  <si>
    <t>Check: Accumulated Maint Depreciation &lt;= Cumulative Maint Capex</t>
  </si>
  <si>
    <t>Calc_Financing_Ops — Quarterly Debt Service (DSCR-sculpted, Loop 2), DSRA, LLCR/PLCR</t>
  </si>
  <si>
    <t>Debt Sizing Mode — linked from Cover</t>
  </si>
  <si>
    <t>Target DSCR — linked from Assumptions_Model</t>
  </si>
  <si>
    <t>Max Gearing (cap) — linked from Assumptions_Model</t>
  </si>
  <si>
    <t>Staged Debt Size ($) — VBA-written, breaks Loop 2 circularity</t>
  </si>
  <si>
    <t>Sculpted Debt Capacity ($) = PV of sculpting basis, capped at Max Gearing</t>
  </si>
  <si>
    <t>Debt Tenor (Years) — linked from Assumptions_Model</t>
  </si>
  <si>
    <t>Convergence Gap ($) = Capacity - Staged Debt Size</t>
  </si>
  <si>
    <t>Implied Gearing (solved) = Opening Debt / Total Project Cost</t>
  </si>
  <si>
    <t>DSRA LC Fee (% p.a. on requirement) — linked from Assumptions_Model</t>
  </si>
  <si>
    <t>DSRA Funding Method — linked from Cover (target = 6 months of forward debt service)</t>
  </si>
  <si>
    <t>Interest ($)</t>
  </si>
  <si>
    <t>Sculpting Basis ($) = CFADS / Target DSCR (uncapped)</t>
  </si>
  <si>
    <t>Debt Service ($) — sculpted to Target DSCR</t>
  </si>
  <si>
    <t>Principal ($)</t>
  </si>
  <si>
    <t>DSCR (achieved)</t>
  </si>
  <si>
    <t>DSRA Target ($) = next 2 quarters' debt service</t>
  </si>
  <si>
    <t>DSRA Balance ($) — zero when LC-backed</t>
  </si>
  <si>
    <t>DSRA Funding/(Release) ($) — cash trapped this quarter</t>
  </si>
  <si>
    <t>DSRA LC Fee ($) — charged only when LC-backed</t>
  </si>
  <si>
    <t>DSRA Cash Cost ($) = funding (cash-funded) or LC fee (LC-backed)</t>
  </si>
  <si>
    <t>LLCR = (PV of CFADS to loan maturity + DSRA) / debt outstanding</t>
  </si>
  <si>
    <t>PLCR = (PV of CFADS to end of project life + DSRA) / debt outstanding</t>
  </si>
  <si>
    <t>Check: Closing Balance = 0 at Debt Tenor End</t>
  </si>
  <si>
    <t>Check: Debt Sizing Converged (Loop 2)</t>
  </si>
  <si>
    <t>Check: Min DSCR over tenor &gt;= Target DSCR</t>
  </si>
  <si>
    <t>Informational: # quarters principal floored at zero</t>
  </si>
  <si>
    <t>Informational: debt sizing capped by Max Gearing (1 = capped)</t>
  </si>
  <si>
    <t>Check: PLCR &gt;= LLCR in every quarter</t>
  </si>
  <si>
    <t>Check: LLCR &gt;= 1.00 wherever debt is outstanding</t>
  </si>
  <si>
    <t>Calc_CFADS — Quarterly Cash Waterfall (DSRA cash cost, MRA, maintenance capex)</t>
  </si>
  <si>
    <t>CFADS ($) = EBITDA - Tax</t>
  </si>
  <si>
    <t>Debt Service ($) — linked from Calc_Financing_Ops</t>
  </si>
  <si>
    <t>CFADS after Debt Service ($)</t>
  </si>
  <si>
    <t>DSRA Funding/(Release) or LC Fee ($) — linked from Calc_Financing_Ops</t>
  </si>
  <si>
    <t>MRA Target ($) = next 4 quarters' maintenance capex</t>
  </si>
  <si>
    <t>MRA Balance ($)</t>
  </si>
  <si>
    <t>MRA Funding/(Release) ($) — releases as the spend it pre-funded lands</t>
  </si>
  <si>
    <t>FCFE ($) = CFADS - Debt Service - DSRA - MRA - Maintenance Capex</t>
  </si>
  <si>
    <t>FCFF ($) = CFADS - Maintenance Capex (unlevered)</t>
  </si>
  <si>
    <t>Informational: # of quarters with negative FCFE</t>
  </si>
  <si>
    <t>Check: MRA fully released by end of life (net funding = 0)</t>
  </si>
  <si>
    <t>Check: MRA pre-funds each quarter's spend (prior balance &gt;= capex)</t>
  </si>
  <si>
    <t>FS_Quarterly — 3-Statements (reserves as restricted cash, 100% FCFE payout)</t>
  </si>
  <si>
    <t>Revenue ($)</t>
  </si>
  <si>
    <t>Opex ($)</t>
  </si>
  <si>
    <t>Depreciation ($) — base vintage + maintenance vintages</t>
  </si>
  <si>
    <t>EBIT ($)</t>
  </si>
  <si>
    <t>Interest Expense ($)</t>
  </si>
  <si>
    <t>EBT ($)</t>
  </si>
  <si>
    <t>Tax ($) — linked from Calc_Tax</t>
  </si>
  <si>
    <t>DSRA LC Fee ($) — non-deductible; zero when the DSRA is cash-funded</t>
  </si>
  <si>
    <t>Add back: Depreciation ($)</t>
  </si>
  <si>
    <t>Cash Flow from Operations ($)</t>
  </si>
  <si>
    <t>Cash Flow from Investing ($) — maintenance capex</t>
  </si>
  <si>
    <t>Debt Principal Repayment ($)</t>
  </si>
  <si>
    <t>DSRA Funding/(Release) ($) — the LC fee sits in the P&amp;L above</t>
  </si>
  <si>
    <t>MRA Funding/(Release) ($)</t>
  </si>
  <si>
    <t>Dividends Paid ($) — 100% FCFE payout</t>
  </si>
  <si>
    <t>Cash Flow from Financing ($)</t>
  </si>
  <si>
    <t>Net Change in Cash ($)</t>
  </si>
  <si>
    <t>Opening Cash ($)</t>
  </si>
  <si>
    <t>Closing Cash ($)</t>
  </si>
  <si>
    <t>Cash ($) — unrestricted</t>
  </si>
  <si>
    <t>DSRA Balance ($) — restricted cash</t>
  </si>
  <si>
    <t>MRA Balance ($) — restricted cash</t>
  </si>
  <si>
    <t>PP&amp;E, Net ($)</t>
  </si>
  <si>
    <t>Total Assets ($)</t>
  </si>
  <si>
    <t>Debt ($)</t>
  </si>
  <si>
    <t>Paid-in Capital ($)</t>
  </si>
  <si>
    <t>Retained Earnings ($)</t>
  </si>
  <si>
    <t>Total Equity ($)</t>
  </si>
  <si>
    <t>Total Liabilities + Equity ($)</t>
  </si>
  <si>
    <t># of quarters where BS does not balance</t>
  </si>
  <si>
    <t>FS_Annual — Rolled up from FS_Quarterly; PIRR/EIRR via XIRR (Stage 1a)</t>
  </si>
  <si>
    <t>Project Year</t>
  </si>
  <si>
    <t>Yr 1</t>
  </si>
  <si>
    <t>Yr 2</t>
  </si>
  <si>
    <t>Yr 3</t>
  </si>
  <si>
    <t>Yr 4</t>
  </si>
  <si>
    <t>Yr 5</t>
  </si>
  <si>
    <t>Yr 6</t>
  </si>
  <si>
    <t>Yr 7</t>
  </si>
  <si>
    <t>Yr 8</t>
  </si>
  <si>
    <t>Yr 9</t>
  </si>
  <si>
    <t>Yr 10</t>
  </si>
  <si>
    <t>Yr 11</t>
  </si>
  <si>
    <t>Yr 12</t>
  </si>
  <si>
    <t>Yr 13</t>
  </si>
  <si>
    <t>Yr 14</t>
  </si>
  <si>
    <t>Yr 15</t>
  </si>
  <si>
    <t>Yr 16</t>
  </si>
  <si>
    <t>Yr 17</t>
  </si>
  <si>
    <t>Yr 18</t>
  </si>
  <si>
    <t>Yr 19</t>
  </si>
  <si>
    <t>Yr 20</t>
  </si>
  <si>
    <t>Revenue ($) — annual sum</t>
  </si>
  <si>
    <t>EBITDA ($) — annual sum</t>
  </si>
  <si>
    <t>Net Income ($) — annual sum</t>
  </si>
  <si>
    <t>Cash, Closing ($) — year-end</t>
  </si>
  <si>
    <t>Debt, Closing ($) — year-end</t>
  </si>
  <si>
    <t>Total Equity, Closing ($) — year-end</t>
  </si>
  <si>
    <t>XIRR Helper: Period End Date</t>
  </si>
  <si>
    <t>XIRR Helper: Project CF (unlevered) — construction outflow, FCFF inflow</t>
  </si>
  <si>
    <t>XIRR Helper: Equity CF (levered) — equity draw outflow, FCFE inflow</t>
  </si>
  <si>
    <t>Project IRR (PIRR) — unlevered, XIRR</t>
  </si>
  <si>
    <t>Equity IRR (EIRR) — levered, XIRR</t>
  </si>
  <si>
    <t>Construction Period (annual rollup of monthly data)</t>
  </si>
  <si>
    <t>Construction Year</t>
  </si>
  <si>
    <t>C-Yr 1</t>
  </si>
  <si>
    <t>C-Yr 2</t>
  </si>
  <si>
    <t>Capex Incurred ($) — annual sum</t>
  </si>
  <si>
    <t>IDC Capitalised ($) — annual sum</t>
  </si>
  <si>
    <t>Debt Drawn ($) — annual sum</t>
  </si>
  <si>
    <t>Equity Drawn ($) — annual sum</t>
  </si>
  <si>
    <t>Cumulative Total Project Cost ($) — year-end</t>
  </si>
  <si>
    <t>Closing Debt Balance ($) — year-end</t>
  </si>
  <si>
    <t>Check_Control — Master Audit Aggregator</t>
  </si>
  <si>
    <t>MASTER STATUS</t>
  </si>
  <si>
    <t>Sheet</t>
  </si>
  <si>
    <t>Check Description</t>
  </si>
  <si>
    <t>Source Cell</t>
  </si>
  <si>
    <t>Value</t>
  </si>
  <si>
    <t>Status</t>
  </si>
  <si>
    <t>Cover</t>
  </si>
  <si>
    <t>Solve is current (assumptions unchanged since last solve)</t>
  </si>
  <si>
    <t>'Cover'!D50</t>
  </si>
  <si>
    <t>Calc_Capex</t>
  </si>
  <si>
    <t>Cum Debt + Cum Equity = Cum Capex + Cum IDC</t>
  </si>
  <si>
    <t>'Calc_Capex'!Z21</t>
  </si>
  <si>
    <t>Cumulative Capex = Total Capex Input</t>
  </si>
  <si>
    <t>'Calc_Capex'!Z22</t>
  </si>
  <si>
    <t>Calc_Financing_Cons</t>
  </si>
  <si>
    <t>Closing Balance = Cumulative Debt Draws</t>
  </si>
  <si>
    <t>'Calc_Financing_Cons'!Z29</t>
  </si>
  <si>
    <t>IDC Converged (Loop 1)</t>
  </si>
  <si>
    <t>'Calc_Financing_Cons'!Z30</t>
  </si>
  <si>
    <t>Cum Debt + Cum Equity = Cum Funding Requirement</t>
  </si>
  <si>
    <t>'Calc_Financing_Cons'!Z31</t>
  </si>
  <si>
    <t>Cumulative Debt Draw &lt;= Debt Facility</t>
  </si>
  <si>
    <t>'Calc_Financing_Cons'!Z32</t>
  </si>
  <si>
    <t>Debt draws honour the solved facility</t>
  </si>
  <si>
    <t>'Calc_Financing_Cons'!Z33</t>
  </si>
  <si>
    <t>Assumptions_Constant</t>
  </si>
  <si>
    <t>Active column resolves (Total Capex &gt; 0)</t>
  </si>
  <si>
    <t>'Assumptions_Constant'!B24</t>
  </si>
  <si>
    <t>All scenario cells populated</t>
  </si>
  <si>
    <t>'Assumptions_Constant'!B25</t>
  </si>
  <si>
    <t>Assumptions_Periodic_Capex</t>
  </si>
  <si>
    <t>Active phasing sums to 100%</t>
  </si>
  <si>
    <t>'Assumptions_Periodic_Capex'!B34</t>
  </si>
  <si>
    <t>All 10 scenario phasings sum to 100%</t>
  </si>
  <si>
    <t>'Assumptions_Periodic_Capex'!B35</t>
  </si>
  <si>
    <t>Assumptions_Periodic_Ops</t>
  </si>
  <si>
    <t>Escalation indices start at 1.00</t>
  </si>
  <si>
    <t>'Assumptions_Periodic_Ops'!B62</t>
  </si>
  <si>
    <t>Active volume indices &gt; 0 every quarter</t>
  </si>
  <si>
    <t>'Assumptions_Periodic_Ops'!B63</t>
  </si>
  <si>
    <t>Active lumpy maintenance capex &gt;= 0 every quarter</t>
  </si>
  <si>
    <t>'Assumptions_Periodic_Ops'!B64</t>
  </si>
  <si>
    <t>Calc_Revenue_Opex</t>
  </si>
  <si>
    <t>Year 1 Revenue Sum = Annual Revenue Input</t>
  </si>
  <si>
    <t>'Calc_Revenue_Opex'!F20</t>
  </si>
  <si>
    <t>Quarters with negative EBITDA</t>
  </si>
  <si>
    <t>'Calc_Revenue_Opex'!CD21</t>
  </si>
  <si>
    <t>Total maintenance capex &gt;= 0 every quarter</t>
  </si>
  <si>
    <t>'Calc_Revenue_Opex'!CD22</t>
  </si>
  <si>
    <t>Calc_Tax</t>
  </si>
  <si>
    <t>Accumulated Base Depreciation &lt;= Total Project Cost</t>
  </si>
  <si>
    <t>'Calc_Tax'!CD22</t>
  </si>
  <si>
    <t>Accumulated Maint Depreciation &lt;= Cumulative Maint Capex</t>
  </si>
  <si>
    <t>'Calc_Tax'!CD23</t>
  </si>
  <si>
    <t>Calc_Financing_Ops</t>
  </si>
  <si>
    <t>Closing Balance = 0 at Debt Tenor End</t>
  </si>
  <si>
    <t>'Calc_Financing_Ops'!CD37</t>
  </si>
  <si>
    <t>Debt Sizing Converged (Loop 2)</t>
  </si>
  <si>
    <t>'Calc_Financing_Ops'!CD38</t>
  </si>
  <si>
    <t>Min DSCR over tenor &gt;= Target DSCR</t>
  </si>
  <si>
    <t>'Calc_Financing_Ops'!CD39</t>
  </si>
  <si>
    <t>Quarters where CFADS/DSCR &lt; interest</t>
  </si>
  <si>
    <t>'Calc_Financing_Ops'!CD40</t>
  </si>
  <si>
    <t>Debt sizing capped by Max Gearing</t>
  </si>
  <si>
    <t>'Calc_Financing_Ops'!CD41</t>
  </si>
  <si>
    <t>PLCR &gt;= LLCR in every quarter</t>
  </si>
  <si>
    <t>'Calc_Financing_Ops'!CD42</t>
  </si>
  <si>
    <t>LLCR &gt;= 1.00 wherever debt is outstanding</t>
  </si>
  <si>
    <t>'Calc_Financing_Ops'!CD43</t>
  </si>
  <si>
    <t>Calc_CFADS</t>
  </si>
  <si>
    <t>Negative FCFE Quarter Count</t>
  </si>
  <si>
    <t>'Calc_CFADS'!CD21</t>
  </si>
  <si>
    <t>MRA fully released by end of life (net funding = 0)</t>
  </si>
  <si>
    <t>'Calc_CFADS'!CD22</t>
  </si>
  <si>
    <t>MRA pre-funds each quarter's maintenance spend</t>
  </si>
  <si>
    <t>'Calc_CFADS'!CD23</t>
  </si>
  <si>
    <t>FS_Quarterly</t>
  </si>
  <si>
    <t>BS Balance Failures (Assets != Liab+Equity)</t>
  </si>
  <si>
    <t>'FS_Quarterly'!CD42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</si>
</sst>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x"/>
    <numFmt numFmtId="165" formatCode="0.0000%"/>
    <numFmt numFmtId="166" formatCode="0.000"/>
    <numFmt numFmtId="167" formatCode="0.0000"/>
  </numFmts>
  <fonts count="15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sz val="11"/>
      <color rgb="FF0000FF"/>
      <name val="Calibri"/>
    </font>
    <font>
      <i/>
      <sz val="11"/>
      <name val="Calibri"/>
    </font>
    <font>
      <i/>
      <sz val="9"/>
      <name val="Calibri"/>
    </font>
    <font>
      <b/>
      <sz val="11"/>
      <color rgb="FF0000FF"/>
      <name val="Calibri"/>
    </font>
    <font>
      <i/>
      <sz val="11"/>
      <color rgb="FF008000"/>
      <name val="Calibri"/>
    </font>
    <font>
      <b/>
      <sz val="9"/>
      <name val="Calibri"/>
    </font>
    <font>
      <sz val="9"/>
      <color rgb="FF0000FF"/>
      <name val="Calibri"/>
    </font>
    <font>
      <b/>
      <sz val="12"/>
      <name val="Calibri"/>
    </font>
    <font>
      <sz val="11"/>
      <color rgb="FF008000"/>
      <name val="Calibri"/>
    </font>
    <font>
      <b/>
      <sz val="11"/>
      <color rgb="FF000000"/>
      <name val="Calibri"/>
    </font>
    <font>
      <sz val="11"/>
      <color rgb="FF000000"/>
      <name val="Calibri"/>
    </font>
    <font>
      <b/>
      <sz val="14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8" fillId="0" borderId="0" xfId="0" applyFont="1"/>
    <xf numFmtId="0" fontId="2" fillId="0" borderId="0" xfId="0" applyFont="1"/>
    <xf numFmtId="0" fontId="9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11" fillId="0" borderId="0" xfId="0" applyFont="1"/>
    <xf numFmtId="3" fontId="11" fillId="0" borderId="0" xfId="0" applyNumberFormat="1" applyFont="1"/>
    <xf numFmtId="10" fontId="11" fillId="0" borderId="0" xfId="0" applyNumberFormat="1" applyFont="1"/>
    <xf numFmtId="1" fontId="11" fillId="0" borderId="0" xfId="0" applyNumberFormat="1" applyFont="1"/>
    <xf numFmtId="164" fontId="11" fillId="0" borderId="0" xfId="0" applyNumberFormat="1" applyFont="1"/>
    <xf numFmtId="17" fontId="0" fillId="0" borderId="0" xfId="0" applyNumberFormat="1"/>
    <xf numFmtId="0" fontId="12" fillId="0" borderId="0" xfId="0" applyFont="1"/>
    <xf numFmtId="3" fontId="13" fillId="0" borderId="0" xfId="0" applyNumberFormat="1" applyFont="1"/>
    <xf numFmtId="3" fontId="3" fillId="0" borderId="0" xfId="0" applyNumberFormat="1" applyFont="1"/>
    <xf numFmtId="10" fontId="13" fillId="0" borderId="0" xfId="0" applyNumberFormat="1" applyFont="1"/>
    <xf numFmtId="10" fontId="3" fillId="0" borderId="0" xfId="0" applyNumberFormat="1" applyFont="1"/>
    <xf numFmtId="1" fontId="13" fillId="0" borderId="0" xfId="0" applyNumberFormat="1" applyFont="1"/>
    <xf numFmtId="1" fontId="3" fillId="0" borderId="0" xfId="0" applyNumberFormat="1" applyFont="1"/>
    <xf numFmtId="164" fontId="13" fillId="0" borderId="0" xfId="0" applyNumberFormat="1" applyFont="1"/>
    <xf numFmtId="164" fontId="3" fillId="0" borderId="0" xfId="0" applyNumberFormat="1" applyFont="1"/>
    <xf numFmtId="0" fontId="13" fillId="0" borderId="0" xfId="0" applyFont="1"/>
    <xf numFmtId="165" fontId="13" fillId="0" borderId="0" xfId="0" applyNumberFormat="1" applyFont="1"/>
    <xf numFmtId="166" fontId="3" fillId="0" borderId="0" xfId="0" applyNumberFormat="1" applyFont="1"/>
    <xf numFmtId="166" fontId="13" fillId="0" borderId="0" xfId="0" applyNumberFormat="1" applyFont="1"/>
    <xf numFmtId="167" fontId="13" fillId="0" borderId="0" xfId="0" applyNumberFormat="1" applyFont="1"/>
    <xf numFmtId="3" fontId="6" fillId="0" borderId="0" xfId="0" applyNumberFormat="1" applyFont="1"/>
    <xf numFmtId="3" fontId="12" fillId="0" borderId="0" xfId="0" applyNumberFormat="1" applyFont="1"/>
    <xf numFmtId="4" fontId="12" fillId="0" borderId="0" xfId="0" applyNumberFormat="1" applyFont="1"/>
    <xf numFmtId="167" fontId="11" fillId="0" borderId="0" xfId="0" applyNumberFormat="1" applyFont="1"/>
    <xf numFmtId="10" fontId="12" fillId="0" borderId="0" xfId="0" applyNumberFormat="1" applyFont="1"/>
    <xf numFmtId="17" fontId="11" fillId="0" borderId="0" xfId="0" applyNumberFormat="1" applyFont="1"/>
    <xf numFmtId="0" fontId="14" fillId="0" borderId="0" xfId="0" applyFont="1"/>
    <xf numFmtId="22" fontId="3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8</xdr:row>
          <xdr:rowOff>161925</xdr:rowOff>
        </xdr:from>
        <xdr:to>
          <xdr:col>9</xdr:col>
          <xdr:colOff>509587</xdr:colOff>
          <xdr:row>10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DD8629C-DCAF-0361-E08A-902178EE1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All (Current Scenario)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10</xdr:row>
          <xdr:rowOff>119062</xdr:rowOff>
        </xdr:from>
        <xdr:to>
          <xdr:col>9</xdr:col>
          <xdr:colOff>509587</xdr:colOff>
          <xdr:row>12</xdr:row>
          <xdr:rowOff>61912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916038C-74AF-DE2F-09FB-593B91B33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Construction IDC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12</xdr:row>
          <xdr:rowOff>128587</xdr:rowOff>
        </xdr:from>
        <xdr:to>
          <xdr:col>9</xdr:col>
          <xdr:colOff>509587</xdr:colOff>
          <xdr:row>14</xdr:row>
          <xdr:rowOff>71437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A718339-018D-C71F-613B-FF0F6FB49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 Debt Sculpting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14</xdr:row>
          <xdr:rowOff>133350</xdr:rowOff>
        </xdr:from>
        <xdr:to>
          <xdr:col>9</xdr:col>
          <xdr:colOff>509587</xdr:colOff>
          <xdr:row>16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7B6ACD4-AF0F-CFB0-6318-701E68B6D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Staged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16</xdr:row>
          <xdr:rowOff>138112</xdr:rowOff>
        </xdr:from>
        <xdr:to>
          <xdr:col>9</xdr:col>
          <xdr:colOff>509587</xdr:colOff>
          <xdr:row>18</xdr:row>
          <xdr:rowOff>80962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785EE4A-7CB1-9E5D-4B18-D73095458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Invalidate Solve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FF"/>
  </sheetPr>
  <dimension ref="A1:I50"/>
  <sheetViews>
    <sheetView workbookViewId="0">
      <selection activeCell="I24" sqref="I24"/>
    </sheetView>
  </sheetViews>
  <sheetFormatPr defaultRowHeight="14.25" x14ac:dyDescent="0.45"/>
  <cols>
    <col min="1" max="1" width="45" customWidth="1"/>
    <col min="8" max="9" width="28" customWidth="1"/>
  </cols>
  <sheetData>
    <row r="1" spans="1:9" ht="18" x14ac:dyDescent="0.55000000000000004">
      <c r="A1" s="1" t="s">
        <v>0</v>
      </c>
    </row>
    <row r="2" spans="1:9" x14ac:dyDescent="0.45">
      <c r="H2" s="2" t="s">
        <v>1</v>
      </c>
    </row>
    <row r="3" spans="1:9" x14ac:dyDescent="0.45">
      <c r="A3" s="3" t="s">
        <v>2</v>
      </c>
      <c r="H3" s="4" t="s">
        <v>3</v>
      </c>
      <c r="I3" s="4" t="s">
        <v>4</v>
      </c>
    </row>
    <row r="4" spans="1:9" x14ac:dyDescent="0.45">
      <c r="A4" t="s">
        <v>5</v>
      </c>
      <c r="B4" s="5">
        <v>1</v>
      </c>
      <c r="H4" s="4" t="s">
        <v>6</v>
      </c>
      <c r="I4" s="4" t="s">
        <v>7</v>
      </c>
    </row>
    <row r="5" spans="1:9" x14ac:dyDescent="0.45">
      <c r="A5" t="s">
        <v>8</v>
      </c>
      <c r="B5" s="5">
        <v>100</v>
      </c>
      <c r="H5" s="4" t="s">
        <v>9</v>
      </c>
      <c r="I5" s="4" t="s">
        <v>10</v>
      </c>
    </row>
    <row r="6" spans="1:9" x14ac:dyDescent="0.45">
      <c r="A6" t="s">
        <v>11</v>
      </c>
      <c r="B6" s="5">
        <v>100</v>
      </c>
      <c r="H6" s="4" t="s">
        <v>12</v>
      </c>
      <c r="I6" s="4" t="s">
        <v>13</v>
      </c>
    </row>
    <row r="7" spans="1:9" x14ac:dyDescent="0.45">
      <c r="H7" s="4" t="s">
        <v>14</v>
      </c>
      <c r="I7" s="4" t="s">
        <v>15</v>
      </c>
    </row>
    <row r="8" spans="1:9" x14ac:dyDescent="0.45">
      <c r="A8" s="3" t="s">
        <v>16</v>
      </c>
      <c r="H8" s="4"/>
      <c r="I8" s="4"/>
    </row>
    <row r="9" spans="1:9" ht="18" x14ac:dyDescent="0.55000000000000004">
      <c r="B9" s="1" t="str">
        <f>Check_Control!B3</f>
        <v>MODEL OK</v>
      </c>
      <c r="H9" s="4"/>
      <c r="I9" s="4"/>
    </row>
    <row r="10" spans="1:9" x14ac:dyDescent="0.45">
      <c r="H10" s="4"/>
      <c r="I10" s="4"/>
    </row>
    <row r="11" spans="1:9" x14ac:dyDescent="0.45">
      <c r="A11" s="6" t="s">
        <v>17</v>
      </c>
      <c r="H11" s="4"/>
      <c r="I11" s="4"/>
    </row>
    <row r="12" spans="1:9" x14ac:dyDescent="0.45">
      <c r="A12" s="7" t="s">
        <v>18</v>
      </c>
      <c r="H12" s="4"/>
      <c r="I12" s="4"/>
    </row>
    <row r="14" spans="1:9" x14ac:dyDescent="0.45">
      <c r="A14" s="3" t="s">
        <v>19</v>
      </c>
      <c r="B14" s="5" t="s">
        <v>20</v>
      </c>
    </row>
    <row r="15" spans="1:9" x14ac:dyDescent="0.45">
      <c r="A15" s="7" t="s">
        <v>21</v>
      </c>
    </row>
    <row r="17" spans="1:4" x14ac:dyDescent="0.45">
      <c r="A17" s="3" t="s">
        <v>22</v>
      </c>
      <c r="B17" s="5" t="s">
        <v>23</v>
      </c>
    </row>
    <row r="18" spans="1:4" x14ac:dyDescent="0.45">
      <c r="A18" s="7" t="s">
        <v>24</v>
      </c>
    </row>
    <row r="20" spans="1:4" x14ac:dyDescent="0.45">
      <c r="A20" s="3" t="s">
        <v>25</v>
      </c>
      <c r="B20" s="8">
        <v>1</v>
      </c>
      <c r="C20" s="9" t="str">
        <f>Assumptions_Constant!$B$4</f>
        <v>Base</v>
      </c>
    </row>
    <row r="21" spans="1:4" x14ac:dyDescent="0.45">
      <c r="A21" s="7" t="s">
        <v>26</v>
      </c>
    </row>
    <row r="23" spans="1:4" x14ac:dyDescent="0.45">
      <c r="A23" s="3" t="s">
        <v>27</v>
      </c>
      <c r="B23" s="5" t="s">
        <v>28</v>
      </c>
    </row>
    <row r="24" spans="1:4" x14ac:dyDescent="0.45">
      <c r="A24" s="7" t="s">
        <v>29</v>
      </c>
    </row>
    <row r="27" spans="1:4" x14ac:dyDescent="0.45">
      <c r="A27" s="3" t="s">
        <v>30</v>
      </c>
    </row>
    <row r="28" spans="1:4" x14ac:dyDescent="0.45">
      <c r="A28" t="s">
        <v>31</v>
      </c>
      <c r="B28" s="38">
        <v>46234.805393518516</v>
      </c>
    </row>
    <row r="29" spans="1:4" ht="15.75" x14ac:dyDescent="0.5">
      <c r="A29" s="3" t="s">
        <v>32</v>
      </c>
      <c r="B29" s="10" t="str">
        <f>IF(COUNTIF(D32:D48,0)=0,"SOLVED - current","RE-RUN SOLVE - assumptions changed")</f>
        <v>SOLVED - current</v>
      </c>
    </row>
    <row r="31" spans="1:4" x14ac:dyDescent="0.45">
      <c r="A31" s="3" t="s">
        <v>33</v>
      </c>
      <c r="B31" s="3" t="s">
        <v>34</v>
      </c>
      <c r="C31" s="3" t="s">
        <v>35</v>
      </c>
      <c r="D31" s="3" t="s">
        <v>36</v>
      </c>
    </row>
    <row r="32" spans="1:4" x14ac:dyDescent="0.45">
      <c r="A32" t="s">
        <v>37</v>
      </c>
      <c r="B32" s="11">
        <f>Assumptions_Model!$B$3</f>
        <v>100000000</v>
      </c>
      <c r="C32" s="5">
        <v>100000000</v>
      </c>
      <c r="D32">
        <f t="shared" ref="D32:D48" si="0">IF(B32=C32,1,0)</f>
        <v>1</v>
      </c>
    </row>
    <row r="33" spans="1:4" x14ac:dyDescent="0.45">
      <c r="A33" t="s">
        <v>38</v>
      </c>
      <c r="B33" s="11">
        <f>Assumptions_Model!$B$4</f>
        <v>0.7</v>
      </c>
      <c r="C33" s="5">
        <v>0.7</v>
      </c>
      <c r="D33">
        <f t="shared" si="0"/>
        <v>1</v>
      </c>
    </row>
    <row r="34" spans="1:4" x14ac:dyDescent="0.45">
      <c r="A34" t="s">
        <v>39</v>
      </c>
      <c r="B34" s="11">
        <f>Assumptions_Model!$B$5</f>
        <v>0.06</v>
      </c>
      <c r="C34" s="5">
        <v>0.06</v>
      </c>
      <c r="D34">
        <f t="shared" si="0"/>
        <v>1</v>
      </c>
    </row>
    <row r="35" spans="1:4" x14ac:dyDescent="0.45">
      <c r="A35" t="s">
        <v>40</v>
      </c>
      <c r="B35" s="11">
        <f>Assumptions_Model!$B$6</f>
        <v>15</v>
      </c>
      <c r="C35" s="5">
        <v>15</v>
      </c>
      <c r="D35">
        <f t="shared" si="0"/>
        <v>1</v>
      </c>
    </row>
    <row r="36" spans="1:4" x14ac:dyDescent="0.45">
      <c r="A36" t="s">
        <v>41</v>
      </c>
      <c r="B36" s="11">
        <f>Assumptions_Model!$B$7</f>
        <v>1.3</v>
      </c>
      <c r="C36" s="5">
        <v>1.3</v>
      </c>
      <c r="D36">
        <f t="shared" si="0"/>
        <v>1</v>
      </c>
    </row>
    <row r="37" spans="1:4" x14ac:dyDescent="0.45">
      <c r="A37" t="s">
        <v>42</v>
      </c>
      <c r="B37" s="11">
        <f>Assumptions_Model!$B$8</f>
        <v>15000000</v>
      </c>
      <c r="C37" s="5">
        <v>15000000</v>
      </c>
      <c r="D37">
        <f t="shared" si="0"/>
        <v>1</v>
      </c>
    </row>
    <row r="38" spans="1:4" x14ac:dyDescent="0.45">
      <c r="A38" t="s">
        <v>43</v>
      </c>
      <c r="B38" s="11">
        <f>Assumptions_Model!$B$9</f>
        <v>0.3</v>
      </c>
      <c r="C38" s="5">
        <v>0.3</v>
      </c>
      <c r="D38">
        <f t="shared" si="0"/>
        <v>1</v>
      </c>
    </row>
    <row r="39" spans="1:4" x14ac:dyDescent="0.45">
      <c r="A39" t="s">
        <v>44</v>
      </c>
      <c r="B39" s="11">
        <f>Assumptions_Model!$B$10</f>
        <v>0.25</v>
      </c>
      <c r="C39" s="5">
        <v>0.25</v>
      </c>
      <c r="D39">
        <f t="shared" si="0"/>
        <v>1</v>
      </c>
    </row>
    <row r="40" spans="1:4" x14ac:dyDescent="0.45">
      <c r="A40" t="s">
        <v>45</v>
      </c>
      <c r="B40" s="11">
        <f>Assumptions_Model!$B$11</f>
        <v>20</v>
      </c>
      <c r="C40" s="5">
        <v>20</v>
      </c>
      <c r="D40">
        <f t="shared" si="0"/>
        <v>1</v>
      </c>
    </row>
    <row r="41" spans="1:4" x14ac:dyDescent="0.45">
      <c r="A41" t="s">
        <v>46</v>
      </c>
      <c r="B41" s="11">
        <f>Assumptions_Model!$B$12</f>
        <v>0.85</v>
      </c>
      <c r="C41" s="5">
        <v>0.85</v>
      </c>
      <c r="D41">
        <f t="shared" si="0"/>
        <v>1</v>
      </c>
    </row>
    <row r="42" spans="1:4" x14ac:dyDescent="0.45">
      <c r="A42" t="s">
        <v>47</v>
      </c>
      <c r="B42" s="11">
        <f>Assumptions_Model!$B$13</f>
        <v>1.4999999999999999E-2</v>
      </c>
      <c r="C42" s="5">
        <v>1.4999999999999999E-2</v>
      </c>
      <c r="D42">
        <f t="shared" si="0"/>
        <v>1</v>
      </c>
    </row>
    <row r="43" spans="1:4" x14ac:dyDescent="0.45">
      <c r="A43" t="s">
        <v>48</v>
      </c>
      <c r="B43" s="11">
        <f>Assumptions_Model!$B$14</f>
        <v>1.4999999999999999E-2</v>
      </c>
      <c r="C43" s="5">
        <v>1.4999999999999999E-2</v>
      </c>
      <c r="D43">
        <f t="shared" si="0"/>
        <v>1</v>
      </c>
    </row>
    <row r="44" spans="1:4" x14ac:dyDescent="0.45">
      <c r="A44" t="s">
        <v>49</v>
      </c>
      <c r="B44" s="11" t="str">
        <f>$B$14</f>
        <v>Pari Passu</v>
      </c>
      <c r="C44" s="5" t="s">
        <v>20</v>
      </c>
      <c r="D44">
        <f t="shared" si="0"/>
        <v>1</v>
      </c>
    </row>
    <row r="45" spans="1:4" x14ac:dyDescent="0.45">
      <c r="A45" t="s">
        <v>22</v>
      </c>
      <c r="B45" s="11" t="str">
        <f>$B$17</f>
        <v>DSCR Sculpted</v>
      </c>
      <c r="C45" s="5" t="s">
        <v>23</v>
      </c>
      <c r="D45">
        <f t="shared" si="0"/>
        <v>1</v>
      </c>
    </row>
    <row r="46" spans="1:4" x14ac:dyDescent="0.45">
      <c r="A46" t="s">
        <v>27</v>
      </c>
      <c r="B46" s="11" t="str">
        <f>$B$23</f>
        <v>Cash Funded</v>
      </c>
      <c r="C46" s="5" t="s">
        <v>28</v>
      </c>
      <c r="D46">
        <f t="shared" si="0"/>
        <v>1</v>
      </c>
    </row>
    <row r="47" spans="1:4" x14ac:dyDescent="0.45">
      <c r="A47" t="s">
        <v>50</v>
      </c>
      <c r="B47" s="11">
        <f>$B$20</f>
        <v>1</v>
      </c>
      <c r="C47" s="5">
        <v>1</v>
      </c>
      <c r="D47">
        <f t="shared" si="0"/>
        <v>1</v>
      </c>
    </row>
    <row r="48" spans="1:4" x14ac:dyDescent="0.45">
      <c r="A48" t="s">
        <v>51</v>
      </c>
      <c r="B48" s="11">
        <f>SUMPRODUCT(Assumptions_Model!$C$18:$Z$18,COLUMN(Assumptions_Model!$C$18:$Z$18))</f>
        <v>13.927448713769568</v>
      </c>
      <c r="C48" s="5">
        <v>13.927448713769568</v>
      </c>
      <c r="D48">
        <f t="shared" si="0"/>
        <v>1</v>
      </c>
    </row>
    <row r="50" spans="1:4" x14ac:dyDescent="0.45">
      <c r="A50" t="s">
        <v>52</v>
      </c>
      <c r="D50">
        <f>IF(COUNTIF(D32:D48,0)=0,1,0)</f>
        <v>1</v>
      </c>
    </row>
  </sheetData>
  <dataValidations count="4">
    <dataValidation type="list" sqref="B14" xr:uid="{00000000-0002-0000-0000-000000000000}">
      <formula1>"Debt First,Equity First,Pari Passu"</formula1>
    </dataValidation>
    <dataValidation type="list" sqref="B17" xr:uid="{00000000-0002-0000-0000-000001000000}">
      <formula1>"Fixed Gearing,DSCR Sculpted"</formula1>
    </dataValidation>
    <dataValidation type="whole" showErrorMessage="1" errorTitle="Invalid scenario" error="Enter a whole number between 1 and 10." sqref="B20" xr:uid="{00000000-0002-0000-0000-000002000000}">
      <formula1>1</formula1>
      <formula2>10</formula2>
    </dataValidation>
    <dataValidation type="list" sqref="B23" xr:uid="{00000000-0002-0000-0000-000003000000}">
      <formula1>"Cash Funded,LC-Backed"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AllCurrentScenario">
                <anchor moveWithCells="1" sizeWithCells="1">
                  <from>
                    <xdr:col>8</xdr:col>
                    <xdr:colOff>95250</xdr:colOff>
                    <xdr:row>8</xdr:row>
                    <xdr:rowOff>161925</xdr:rowOff>
                  </from>
                  <to>
                    <xdr:col>9</xdr:col>
                    <xdr:colOff>509588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ConstructionIDC">
                <anchor moveWithCells="1" sizeWithCells="1">
                  <from>
                    <xdr:col>8</xdr:col>
                    <xdr:colOff>95250</xdr:colOff>
                    <xdr:row>10</xdr:row>
                    <xdr:rowOff>119063</xdr:rowOff>
                  </from>
                  <to>
                    <xdr:col>9</xdr:col>
                    <xdr:colOff>509588</xdr:colOff>
                    <xdr:row>12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lveDebtSculpting">
                <anchor moveWithCells="1" sizeWithCells="1">
                  <from>
                    <xdr:col>8</xdr:col>
                    <xdr:colOff>95250</xdr:colOff>
                    <xdr:row>12</xdr:row>
                    <xdr:rowOff>128588</xdr:rowOff>
                  </from>
                  <to>
                    <xdr:col>9</xdr:col>
                    <xdr:colOff>509588</xdr:colOff>
                    <xdr:row>14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AllStagedValues">
                <anchor moveWithCells="1" sizeWithCells="1">
                  <from>
                    <xdr:col>8</xdr:col>
                    <xdr:colOff>95250</xdr:colOff>
                    <xdr:row>14</xdr:row>
                    <xdr:rowOff>133350</xdr:rowOff>
                  </from>
                  <to>
                    <xdr:col>9</xdr:col>
                    <xdr:colOff>509588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InvalidateSolveSnapshot">
                <anchor moveWithCells="1" sizeWithCells="1">
                  <from>
                    <xdr:col>8</xdr:col>
                    <xdr:colOff>95250</xdr:colOff>
                    <xdr:row>16</xdr:row>
                    <xdr:rowOff>138113</xdr:rowOff>
                  </from>
                  <to>
                    <xdr:col>9</xdr:col>
                    <xdr:colOff>509588</xdr:colOff>
                    <xdr:row>18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Z18"/>
  <sheetViews>
    <sheetView workbookViewId="0">
      <pane xSplit="2" ySplit="18" topLeftCell="C19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2" ht="15.75" x14ac:dyDescent="0.5">
      <c r="A1" s="10" t="s">
        <v>53</v>
      </c>
    </row>
    <row r="2" spans="1:2" x14ac:dyDescent="0.45">
      <c r="A2" s="7" t="s">
        <v>54</v>
      </c>
    </row>
    <row r="3" spans="1:2" x14ac:dyDescent="0.45">
      <c r="A3" t="s">
        <v>55</v>
      </c>
      <c r="B3" s="12">
        <f>Assumptions_Constant!$B$6</f>
        <v>100000000</v>
      </c>
    </row>
    <row r="4" spans="1:2" x14ac:dyDescent="0.45">
      <c r="A4" t="s">
        <v>56</v>
      </c>
      <c r="B4" s="13">
        <f>Assumptions_Constant!$B$7</f>
        <v>0.7</v>
      </c>
    </row>
    <row r="5" spans="1:2" x14ac:dyDescent="0.45">
      <c r="A5" t="s">
        <v>57</v>
      </c>
      <c r="B5" s="13">
        <f>Assumptions_Constant!$B$8</f>
        <v>0.06</v>
      </c>
    </row>
    <row r="6" spans="1:2" x14ac:dyDescent="0.45">
      <c r="A6" t="s">
        <v>40</v>
      </c>
      <c r="B6" s="14">
        <f>Assumptions_Constant!$B$9</f>
        <v>15</v>
      </c>
    </row>
    <row r="7" spans="1:2" x14ac:dyDescent="0.45">
      <c r="A7" t="s">
        <v>41</v>
      </c>
      <c r="B7" s="15">
        <f>Assumptions_Constant!$B$10</f>
        <v>1.3</v>
      </c>
    </row>
    <row r="8" spans="1:2" x14ac:dyDescent="0.45">
      <c r="A8" t="s">
        <v>58</v>
      </c>
      <c r="B8" s="12">
        <f>Assumptions_Constant!$B$11</f>
        <v>15000000</v>
      </c>
    </row>
    <row r="9" spans="1:2" x14ac:dyDescent="0.45">
      <c r="A9" t="s">
        <v>43</v>
      </c>
      <c r="B9" s="13">
        <f>Assumptions_Constant!$B$12</f>
        <v>0.3</v>
      </c>
    </row>
    <row r="10" spans="1:2" x14ac:dyDescent="0.45">
      <c r="A10" t="s">
        <v>44</v>
      </c>
      <c r="B10" s="13">
        <f>Assumptions_Constant!$B$13</f>
        <v>0.25</v>
      </c>
    </row>
    <row r="11" spans="1:2" x14ac:dyDescent="0.45">
      <c r="A11" t="s">
        <v>45</v>
      </c>
      <c r="B11" s="14">
        <f>Assumptions_Constant!$B$14</f>
        <v>20</v>
      </c>
    </row>
    <row r="12" spans="1:2" x14ac:dyDescent="0.45">
      <c r="A12" t="s">
        <v>59</v>
      </c>
      <c r="B12" s="13">
        <f>Assumptions_Constant!$B$15</f>
        <v>0.85</v>
      </c>
    </row>
    <row r="13" spans="1:2" x14ac:dyDescent="0.45">
      <c r="A13" t="s">
        <v>60</v>
      </c>
      <c r="B13" s="13">
        <f>Assumptions_Constant!$B$20</f>
        <v>1.4999999999999999E-2</v>
      </c>
    </row>
    <row r="14" spans="1:2" x14ac:dyDescent="0.45">
      <c r="A14" t="s">
        <v>61</v>
      </c>
      <c r="B14" s="13">
        <f>Assumptions_Constant!$B$21</f>
        <v>1.4999999999999999E-2</v>
      </c>
    </row>
    <row r="16" spans="1:2" x14ac:dyDescent="0.45">
      <c r="A16" s="3" t="s">
        <v>62</v>
      </c>
    </row>
    <row r="17" spans="1:26" x14ac:dyDescent="0.45">
      <c r="A17" t="s">
        <v>63</v>
      </c>
      <c r="C17" s="16">
        <v>46418</v>
      </c>
      <c r="D17" s="16">
        <v>46446</v>
      </c>
      <c r="E17" s="16">
        <v>46477</v>
      </c>
      <c r="F17" s="16">
        <v>46507</v>
      </c>
      <c r="G17" s="16">
        <v>46538</v>
      </c>
      <c r="H17" s="16">
        <v>46568</v>
      </c>
      <c r="I17" s="16">
        <v>46599</v>
      </c>
      <c r="J17" s="16">
        <v>46630</v>
      </c>
      <c r="K17" s="16">
        <v>46660</v>
      </c>
      <c r="L17" s="16">
        <v>46691</v>
      </c>
      <c r="M17" s="16">
        <v>46721</v>
      </c>
      <c r="N17" s="16">
        <v>46752</v>
      </c>
      <c r="O17" s="16">
        <v>46783</v>
      </c>
      <c r="P17" s="16">
        <v>46812</v>
      </c>
      <c r="Q17" s="16">
        <v>46843</v>
      </c>
      <c r="R17" s="16">
        <v>46873</v>
      </c>
      <c r="S17" s="16">
        <v>46904</v>
      </c>
      <c r="T17" s="16">
        <v>46934</v>
      </c>
      <c r="U17" s="16">
        <v>46965</v>
      </c>
      <c r="V17" s="16">
        <v>46996</v>
      </c>
      <c r="W17" s="16">
        <v>47026</v>
      </c>
      <c r="X17" s="16">
        <v>47057</v>
      </c>
      <c r="Y17" s="16">
        <v>47087</v>
      </c>
      <c r="Z17" s="16">
        <v>47118</v>
      </c>
    </row>
    <row r="18" spans="1:26" x14ac:dyDescent="0.45">
      <c r="A18" t="s">
        <v>64</v>
      </c>
      <c r="C18" s="13">
        <f>Assumptions_Periodic_Capex!C18</f>
        <v>6.3078188334216856E-2</v>
      </c>
      <c r="D18" s="13">
        <f>Assumptions_Periodic_Capex!D18</f>
        <v>1.6556748082006061E-2</v>
      </c>
      <c r="E18" s="13">
        <f>Assumptions_Periodic_Capex!E18</f>
        <v>2.046169881065777E-2</v>
      </c>
      <c r="F18" s="13">
        <f>Assumptions_Periodic_Capex!F18</f>
        <v>2.5041050823601169E-2</v>
      </c>
      <c r="G18" s="13">
        <f>Assumptions_Periodic_Capex!G18</f>
        <v>3.0280347951282021E-2</v>
      </c>
      <c r="H18" s="13">
        <f>Assumptions_Periodic_Capex!H18</f>
        <v>3.6089921830382912E-2</v>
      </c>
      <c r="I18" s="13">
        <f>Assumptions_Periodic_Capex!I18</f>
        <v>4.2279770030390483E-2</v>
      </c>
      <c r="J18" s="13">
        <f>Assumptions_Periodic_Capex!J18</f>
        <v>4.8543500440156262E-2</v>
      </c>
      <c r="K18" s="13">
        <f>Assumptions_Periodic_Capex!K18</f>
        <v>5.4462826559935222E-2</v>
      </c>
      <c r="L18" s="13">
        <f>Assumptions_Periodic_Capex!L18</f>
        <v>5.9543259024618961E-2</v>
      </c>
      <c r="M18" s="13">
        <f>Assumptions_Periodic_Capex!M18</f>
        <v>6.3284135710410361E-2</v>
      </c>
      <c r="N18" s="13">
        <f>Assumptions_Periodic_Capex!N18</f>
        <v>6.5272086586273842E-2</v>
      </c>
      <c r="O18" s="13">
        <f>Assumptions_Periodic_Capex!O18</f>
        <v>6.5272086586273842E-2</v>
      </c>
      <c r="P18" s="13">
        <f>Assumptions_Periodic_Capex!P18</f>
        <v>6.3284135710410361E-2</v>
      </c>
      <c r="Q18" s="13">
        <f>Assumptions_Periodic_Capex!Q18</f>
        <v>5.9543259024618961E-2</v>
      </c>
      <c r="R18" s="13">
        <f>Assumptions_Periodic_Capex!R18</f>
        <v>5.4462826559935222E-2</v>
      </c>
      <c r="S18" s="13">
        <f>Assumptions_Periodic_Capex!S18</f>
        <v>4.8543500440156179E-2</v>
      </c>
      <c r="T18" s="13">
        <f>Assumptions_Periodic_Capex!T18</f>
        <v>4.2279770030390559E-2</v>
      </c>
      <c r="U18" s="13">
        <f>Assumptions_Periodic_Capex!U18</f>
        <v>3.6089921830382968E-2</v>
      </c>
      <c r="V18" s="13">
        <f>Assumptions_Periodic_Capex!V18</f>
        <v>3.028034795128182E-2</v>
      </c>
      <c r="W18" s="13">
        <f>Assumptions_Periodic_Capex!W18</f>
        <v>2.5041050823601359E-2</v>
      </c>
      <c r="X18" s="13">
        <f>Assumptions_Periodic_Capex!X18</f>
        <v>2.0461698810657819E-2</v>
      </c>
      <c r="Y18" s="13">
        <f>Assumptions_Periodic_Capex!Y18</f>
        <v>1.6556748082005981E-2</v>
      </c>
      <c r="Z18" s="13">
        <f>Assumptions_Periodic_Capex!Z18</f>
        <v>1.329111996635305E-2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34" customWidth="1"/>
  </cols>
  <sheetData>
    <row r="1" spans="1:12" ht="15.75" x14ac:dyDescent="0.5">
      <c r="A1" s="10" t="s">
        <v>65</v>
      </c>
    </row>
    <row r="3" spans="1:12" x14ac:dyDescent="0.45">
      <c r="A3" s="3" t="s">
        <v>66</v>
      </c>
      <c r="B3" s="3" t="s">
        <v>67</v>
      </c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9</v>
      </c>
      <c r="L3" s="3">
        <v>10</v>
      </c>
    </row>
    <row r="4" spans="1:12" x14ac:dyDescent="0.45">
      <c r="A4" t="s">
        <v>68</v>
      </c>
      <c r="B4" s="17" t="str">
        <f>INDEX($C$4:$L$4,1,Cover!$B$20)</f>
        <v>Base</v>
      </c>
      <c r="C4" s="5" t="s">
        <v>69</v>
      </c>
      <c r="D4" s="5" t="s">
        <v>70</v>
      </c>
      <c r="E4" s="5" t="s">
        <v>71</v>
      </c>
      <c r="F4" s="5" t="s">
        <v>72</v>
      </c>
      <c r="G4" s="5" t="s">
        <v>73</v>
      </c>
      <c r="H4" s="5" t="s">
        <v>74</v>
      </c>
      <c r="I4" s="5" t="s">
        <v>75</v>
      </c>
      <c r="J4" s="5" t="s">
        <v>76</v>
      </c>
      <c r="K4" s="5" t="s">
        <v>77</v>
      </c>
      <c r="L4" s="5" t="s">
        <v>78</v>
      </c>
    </row>
    <row r="6" spans="1:12" x14ac:dyDescent="0.45">
      <c r="A6" t="s">
        <v>55</v>
      </c>
      <c r="B6" s="18">
        <f>INDEX($C$6:$L$6,1,Cover!$B$20)</f>
        <v>100000000</v>
      </c>
      <c r="C6" s="19">
        <v>100000000</v>
      </c>
      <c r="D6" s="19">
        <v>95000000</v>
      </c>
      <c r="E6" s="19">
        <v>110000000</v>
      </c>
      <c r="F6" s="19">
        <v>100000000</v>
      </c>
      <c r="G6" s="19">
        <v>100000000</v>
      </c>
      <c r="H6" s="19">
        <v>100000000</v>
      </c>
      <c r="I6" s="19">
        <v>100000000</v>
      </c>
      <c r="J6" s="19">
        <v>100000000</v>
      </c>
      <c r="K6" s="19">
        <v>100000000</v>
      </c>
      <c r="L6" s="19">
        <v>100000000</v>
      </c>
    </row>
    <row r="7" spans="1:12" x14ac:dyDescent="0.45">
      <c r="A7" t="s">
        <v>56</v>
      </c>
      <c r="B7" s="20">
        <f>INDEX($C$7:$L$7,1,Cover!$B$20)</f>
        <v>0.7</v>
      </c>
      <c r="C7" s="21">
        <v>0.7</v>
      </c>
      <c r="D7" s="21">
        <v>0.75</v>
      </c>
      <c r="E7" s="21">
        <v>0.65</v>
      </c>
      <c r="F7" s="21">
        <v>0.7</v>
      </c>
      <c r="G7" s="21">
        <v>0.7</v>
      </c>
      <c r="H7" s="21">
        <v>0.7</v>
      </c>
      <c r="I7" s="21">
        <v>0.7</v>
      </c>
      <c r="J7" s="21">
        <v>0.7</v>
      </c>
      <c r="K7" s="21">
        <v>0.7</v>
      </c>
      <c r="L7" s="21">
        <v>0.7</v>
      </c>
    </row>
    <row r="8" spans="1:12" x14ac:dyDescent="0.45">
      <c r="A8" t="s">
        <v>57</v>
      </c>
      <c r="B8" s="20">
        <f>INDEX($C$8:$L$8,1,Cover!$B$20)</f>
        <v>0.06</v>
      </c>
      <c r="C8" s="21">
        <v>0.06</v>
      </c>
      <c r="D8" s="21">
        <v>5.5E-2</v>
      </c>
      <c r="E8" s="21">
        <v>7.0000000000000007E-2</v>
      </c>
      <c r="F8" s="21">
        <v>0.06</v>
      </c>
      <c r="G8" s="21">
        <v>0.06</v>
      </c>
      <c r="H8" s="21">
        <v>0.06</v>
      </c>
      <c r="I8" s="21">
        <v>0.06</v>
      </c>
      <c r="J8" s="21">
        <v>0.06</v>
      </c>
      <c r="K8" s="21">
        <v>0.06</v>
      </c>
      <c r="L8" s="21">
        <v>0.06</v>
      </c>
    </row>
    <row r="9" spans="1:12" x14ac:dyDescent="0.45">
      <c r="A9" t="s">
        <v>40</v>
      </c>
      <c r="B9" s="22">
        <f>INDEX($C$9:$L$9,1,Cover!$B$20)</f>
        <v>15</v>
      </c>
      <c r="C9" s="23">
        <v>15</v>
      </c>
      <c r="D9" s="23">
        <v>17</v>
      </c>
      <c r="E9" s="23">
        <v>12</v>
      </c>
      <c r="F9" s="23">
        <v>15</v>
      </c>
      <c r="G9" s="23">
        <v>15</v>
      </c>
      <c r="H9" s="23">
        <v>15</v>
      </c>
      <c r="I9" s="23">
        <v>15</v>
      </c>
      <c r="J9" s="23">
        <v>15</v>
      </c>
      <c r="K9" s="23">
        <v>15</v>
      </c>
      <c r="L9" s="23">
        <v>15</v>
      </c>
    </row>
    <row r="10" spans="1:12" x14ac:dyDescent="0.45">
      <c r="A10" t="s">
        <v>41</v>
      </c>
      <c r="B10" s="24">
        <f>INDEX($C$10:$L$10,1,Cover!$B$20)</f>
        <v>1.3</v>
      </c>
      <c r="C10" s="25">
        <v>1.3</v>
      </c>
      <c r="D10" s="25">
        <v>1.25</v>
      </c>
      <c r="E10" s="25">
        <v>1.4</v>
      </c>
      <c r="F10" s="25">
        <v>1.3</v>
      </c>
      <c r="G10" s="25">
        <v>1.3</v>
      </c>
      <c r="H10" s="25">
        <v>1.3</v>
      </c>
      <c r="I10" s="25">
        <v>1.3</v>
      </c>
      <c r="J10" s="25">
        <v>1.3</v>
      </c>
      <c r="K10" s="25">
        <v>1.3</v>
      </c>
      <c r="L10" s="25">
        <v>1.3</v>
      </c>
    </row>
    <row r="11" spans="1:12" x14ac:dyDescent="0.45">
      <c r="A11" t="s">
        <v>79</v>
      </c>
      <c r="B11" s="18">
        <f>INDEX($C$11:$L$11,1,Cover!$B$20)</f>
        <v>15000000</v>
      </c>
      <c r="C11" s="19">
        <v>15000000</v>
      </c>
      <c r="D11" s="19">
        <v>18000000</v>
      </c>
      <c r="E11" s="19">
        <v>12000000</v>
      </c>
      <c r="F11" s="19">
        <v>15000000</v>
      </c>
      <c r="G11" s="19">
        <v>15000000</v>
      </c>
      <c r="H11" s="19">
        <v>15000000</v>
      </c>
      <c r="I11" s="19">
        <v>15000000</v>
      </c>
      <c r="J11" s="19">
        <v>15000000</v>
      </c>
      <c r="K11" s="19">
        <v>15000000</v>
      </c>
      <c r="L11" s="19">
        <v>15000000</v>
      </c>
    </row>
    <row r="12" spans="1:12" x14ac:dyDescent="0.45">
      <c r="A12" t="s">
        <v>43</v>
      </c>
      <c r="B12" s="20">
        <f>INDEX($C$12:$L$12,1,Cover!$B$20)</f>
        <v>0.3</v>
      </c>
      <c r="C12" s="21">
        <v>0.3</v>
      </c>
      <c r="D12" s="21">
        <v>0.27</v>
      </c>
      <c r="E12" s="21">
        <v>0.35</v>
      </c>
      <c r="F12" s="21">
        <v>0.3</v>
      </c>
      <c r="G12" s="21">
        <v>0.3</v>
      </c>
      <c r="H12" s="21">
        <v>0.3</v>
      </c>
      <c r="I12" s="21">
        <v>0.3</v>
      </c>
      <c r="J12" s="21">
        <v>0.3</v>
      </c>
      <c r="K12" s="21">
        <v>0.3</v>
      </c>
      <c r="L12" s="21">
        <v>0.3</v>
      </c>
    </row>
    <row r="13" spans="1:12" x14ac:dyDescent="0.45">
      <c r="A13" t="s">
        <v>44</v>
      </c>
      <c r="B13" s="20">
        <f>INDEX($C$13:$L$13,1,Cover!$B$20)</f>
        <v>0.25</v>
      </c>
      <c r="C13" s="21">
        <v>0.25</v>
      </c>
      <c r="D13" s="21">
        <v>0.25</v>
      </c>
      <c r="E13" s="21">
        <v>0.25</v>
      </c>
      <c r="F13" s="21">
        <v>0.25</v>
      </c>
      <c r="G13" s="21">
        <v>0.25</v>
      </c>
      <c r="H13" s="21">
        <v>0.25</v>
      </c>
      <c r="I13" s="21">
        <v>0.25</v>
      </c>
      <c r="J13" s="21">
        <v>0.25</v>
      </c>
      <c r="K13" s="21">
        <v>0.25</v>
      </c>
      <c r="L13" s="21">
        <v>0.25</v>
      </c>
    </row>
    <row r="14" spans="1:12" x14ac:dyDescent="0.45">
      <c r="A14" t="s">
        <v>45</v>
      </c>
      <c r="B14" s="22">
        <f>INDEX($C$14:$L$14,1,Cover!$B$20)</f>
        <v>20</v>
      </c>
      <c r="C14" s="23">
        <v>20</v>
      </c>
      <c r="D14" s="23">
        <v>20</v>
      </c>
      <c r="E14" s="23">
        <v>20</v>
      </c>
      <c r="F14" s="23">
        <v>20</v>
      </c>
      <c r="G14" s="23">
        <v>20</v>
      </c>
      <c r="H14" s="23">
        <v>20</v>
      </c>
      <c r="I14" s="23">
        <v>20</v>
      </c>
      <c r="J14" s="23">
        <v>20</v>
      </c>
      <c r="K14" s="23">
        <v>20</v>
      </c>
      <c r="L14" s="23">
        <v>20</v>
      </c>
    </row>
    <row r="15" spans="1:12" x14ac:dyDescent="0.45">
      <c r="A15" t="s">
        <v>80</v>
      </c>
      <c r="B15" s="20">
        <f>INDEX($C$15:$L$15,1,Cover!$B$20)</f>
        <v>0.85</v>
      </c>
      <c r="C15" s="21">
        <v>0.85</v>
      </c>
      <c r="D15" s="21">
        <v>0.85</v>
      </c>
      <c r="E15" s="21">
        <v>0.85</v>
      </c>
      <c r="F15" s="21">
        <v>0.85</v>
      </c>
      <c r="G15" s="21">
        <v>0.85</v>
      </c>
      <c r="H15" s="21">
        <v>0.85</v>
      </c>
      <c r="I15" s="21">
        <v>0.85</v>
      </c>
      <c r="J15" s="21">
        <v>0.85</v>
      </c>
      <c r="K15" s="21">
        <v>0.85</v>
      </c>
      <c r="L15" s="21">
        <v>0.85</v>
      </c>
    </row>
    <row r="16" spans="1:12" x14ac:dyDescent="0.45">
      <c r="A16" t="s">
        <v>81</v>
      </c>
      <c r="B16" s="20">
        <f>INDEX($C$16:$L$16,1,Cover!$B$20)</f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</row>
    <row r="17" spans="1:12" x14ac:dyDescent="0.45">
      <c r="A17" t="s">
        <v>82</v>
      </c>
      <c r="B17" s="20">
        <f>INDEX($C$17:$L$17,1,Cover!$B$20)</f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</row>
    <row r="18" spans="1:12" x14ac:dyDescent="0.45">
      <c r="A18" t="s">
        <v>83</v>
      </c>
      <c r="B18" s="20">
        <f>INDEX($C$18:$L$18,1,Cover!$B$20)</f>
        <v>2.5000000000000001E-2</v>
      </c>
      <c r="C18" s="21">
        <v>2.5000000000000001E-2</v>
      </c>
      <c r="D18" s="21">
        <v>0.02</v>
      </c>
      <c r="E18" s="21">
        <v>0.04</v>
      </c>
      <c r="F18" s="21">
        <v>2.5000000000000001E-2</v>
      </c>
      <c r="G18" s="21">
        <v>2.5000000000000001E-2</v>
      </c>
      <c r="H18" s="21">
        <v>2.5000000000000001E-2</v>
      </c>
      <c r="I18" s="21">
        <v>2.5000000000000001E-2</v>
      </c>
      <c r="J18" s="21">
        <v>2.5000000000000001E-2</v>
      </c>
      <c r="K18" s="21">
        <v>2.5000000000000001E-2</v>
      </c>
      <c r="L18" s="21">
        <v>2.5000000000000001E-2</v>
      </c>
    </row>
    <row r="19" spans="1:12" x14ac:dyDescent="0.45">
      <c r="A19" t="s">
        <v>84</v>
      </c>
      <c r="B19" s="20">
        <f>INDEX($C$19:$L$19,1,Cover!$B$20)</f>
        <v>0.03</v>
      </c>
      <c r="C19" s="21">
        <v>0.03</v>
      </c>
      <c r="D19" s="21">
        <v>2.5000000000000001E-2</v>
      </c>
      <c r="E19" s="21">
        <v>4.4999999999999998E-2</v>
      </c>
      <c r="F19" s="21">
        <v>0.03</v>
      </c>
      <c r="G19" s="21">
        <v>0.03</v>
      </c>
      <c r="H19" s="21">
        <v>0.03</v>
      </c>
      <c r="I19" s="21">
        <v>0.03</v>
      </c>
      <c r="J19" s="21">
        <v>0.03</v>
      </c>
      <c r="K19" s="21">
        <v>0.03</v>
      </c>
      <c r="L19" s="21">
        <v>0.03</v>
      </c>
    </row>
    <row r="20" spans="1:12" x14ac:dyDescent="0.45">
      <c r="A20" t="s">
        <v>60</v>
      </c>
      <c r="B20" s="20">
        <f>INDEX($C$20:$L$20,1,Cover!$B$20)</f>
        <v>1.4999999999999999E-2</v>
      </c>
      <c r="C20" s="21">
        <v>1.4999999999999999E-2</v>
      </c>
      <c r="D20" s="21">
        <v>1.2E-2</v>
      </c>
      <c r="E20" s="21">
        <v>0.02</v>
      </c>
      <c r="F20" s="21">
        <v>1.4999999999999999E-2</v>
      </c>
      <c r="G20" s="21">
        <v>1.4999999999999999E-2</v>
      </c>
      <c r="H20" s="21">
        <v>1.4999999999999999E-2</v>
      </c>
      <c r="I20" s="21">
        <v>1.4999999999999999E-2</v>
      </c>
      <c r="J20" s="21">
        <v>1.4999999999999999E-2</v>
      </c>
      <c r="K20" s="21">
        <v>1.4999999999999999E-2</v>
      </c>
      <c r="L20" s="21">
        <v>1.4999999999999999E-2</v>
      </c>
    </row>
    <row r="21" spans="1:12" x14ac:dyDescent="0.45">
      <c r="A21" t="s">
        <v>61</v>
      </c>
      <c r="B21" s="20">
        <f>INDEX($C$21:$L$21,1,Cover!$B$20)</f>
        <v>1.4999999999999999E-2</v>
      </c>
      <c r="C21" s="21">
        <v>1.4999999999999999E-2</v>
      </c>
      <c r="D21" s="21">
        <v>1.4999999999999999E-2</v>
      </c>
      <c r="E21" s="21">
        <v>0.02</v>
      </c>
      <c r="F21" s="21">
        <v>1.4999999999999999E-2</v>
      </c>
      <c r="G21" s="21">
        <v>1.4999999999999999E-2</v>
      </c>
      <c r="H21" s="21">
        <v>1.4999999999999999E-2</v>
      </c>
      <c r="I21" s="21">
        <v>1.4999999999999999E-2</v>
      </c>
      <c r="J21" s="21">
        <v>1.4999999999999999E-2</v>
      </c>
      <c r="K21" s="21">
        <v>1.4999999999999999E-2</v>
      </c>
      <c r="L21" s="21">
        <v>1.4999999999999999E-2</v>
      </c>
    </row>
    <row r="23" spans="1:12" x14ac:dyDescent="0.45">
      <c r="A23" s="3" t="s">
        <v>85</v>
      </c>
    </row>
    <row r="24" spans="1:12" x14ac:dyDescent="0.45">
      <c r="A24" t="s">
        <v>86</v>
      </c>
      <c r="B24" s="26">
        <f>IF(AND(ISNUMBER(B6),B6&gt;0),1,0)</f>
        <v>1</v>
      </c>
    </row>
    <row r="25" spans="1:12" x14ac:dyDescent="0.45">
      <c r="A25" t="s">
        <v>87</v>
      </c>
      <c r="B25" s="26">
        <f>IF(COUNT(C6:L21)=160,1,0)</f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00FF"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0" customWidth="1"/>
  </cols>
  <sheetData>
    <row r="1" spans="1:26" ht="15.75" x14ac:dyDescent="0.5">
      <c r="A1" s="10" t="s">
        <v>88</v>
      </c>
    </row>
    <row r="2" spans="1:26" x14ac:dyDescent="0.45">
      <c r="A2" s="7" t="s">
        <v>89</v>
      </c>
    </row>
    <row r="4" spans="1:26" x14ac:dyDescent="0.45">
      <c r="A4" t="s">
        <v>63</v>
      </c>
      <c r="C4" s="16">
        <v>46418</v>
      </c>
      <c r="D4" s="16">
        <v>46446</v>
      </c>
      <c r="E4" s="16">
        <v>46477</v>
      </c>
      <c r="F4" s="16">
        <v>46507</v>
      </c>
      <c r="G4" s="16">
        <v>46538</v>
      </c>
      <c r="H4" s="16">
        <v>46568</v>
      </c>
      <c r="I4" s="16">
        <v>46599</v>
      </c>
      <c r="J4" s="16">
        <v>46630</v>
      </c>
      <c r="K4" s="16">
        <v>46660</v>
      </c>
      <c r="L4" s="16">
        <v>46691</v>
      </c>
      <c r="M4" s="16">
        <v>46721</v>
      </c>
      <c r="N4" s="16">
        <v>46752</v>
      </c>
      <c r="O4" s="16">
        <v>46783</v>
      </c>
      <c r="P4" s="16">
        <v>46812</v>
      </c>
      <c r="Q4" s="16">
        <v>46843</v>
      </c>
      <c r="R4" s="16">
        <v>46873</v>
      </c>
      <c r="S4" s="16">
        <v>46904</v>
      </c>
      <c r="T4" s="16">
        <v>46934</v>
      </c>
      <c r="U4" s="16">
        <v>46965</v>
      </c>
      <c r="V4" s="16">
        <v>46996</v>
      </c>
      <c r="W4" s="16">
        <v>47026</v>
      </c>
      <c r="X4" s="16">
        <v>47057</v>
      </c>
      <c r="Y4" s="16">
        <v>47087</v>
      </c>
      <c r="Z4" s="16">
        <v>47118</v>
      </c>
    </row>
    <row r="5" spans="1:26" x14ac:dyDescent="0.45">
      <c r="A5" t="s">
        <v>90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</row>
    <row r="7" spans="1:26" x14ac:dyDescent="0.45">
      <c r="A7" s="3" t="s">
        <v>91</v>
      </c>
    </row>
    <row r="8" spans="1:26" x14ac:dyDescent="0.45">
      <c r="A8" t="s">
        <v>92</v>
      </c>
      <c r="C8" s="21">
        <v>6.3078188334216856E-2</v>
      </c>
      <c r="D8" s="21">
        <v>1.6556748082006061E-2</v>
      </c>
      <c r="E8" s="21">
        <v>2.046169881065777E-2</v>
      </c>
      <c r="F8" s="21">
        <v>2.5041050823601169E-2</v>
      </c>
      <c r="G8" s="21">
        <v>3.0280347951282021E-2</v>
      </c>
      <c r="H8" s="21">
        <v>3.6089921830382912E-2</v>
      </c>
      <c r="I8" s="21">
        <v>4.2279770030390483E-2</v>
      </c>
      <c r="J8" s="21">
        <v>4.8543500440156262E-2</v>
      </c>
      <c r="K8" s="21">
        <v>5.4462826559935222E-2</v>
      </c>
      <c r="L8" s="21">
        <v>5.9543259024618961E-2</v>
      </c>
      <c r="M8" s="21">
        <v>6.3284135710410361E-2</v>
      </c>
      <c r="N8" s="21">
        <v>6.5272086586273842E-2</v>
      </c>
      <c r="O8" s="21">
        <v>6.5272086586273842E-2</v>
      </c>
      <c r="P8" s="21">
        <v>6.3284135710410361E-2</v>
      </c>
      <c r="Q8" s="21">
        <v>5.9543259024618961E-2</v>
      </c>
      <c r="R8" s="21">
        <v>5.4462826559935222E-2</v>
      </c>
      <c r="S8" s="21">
        <v>4.8543500440156179E-2</v>
      </c>
      <c r="T8" s="21">
        <v>4.2279770030390559E-2</v>
      </c>
      <c r="U8" s="21">
        <v>3.6089921830382968E-2</v>
      </c>
      <c r="V8" s="21">
        <v>3.028034795128182E-2</v>
      </c>
      <c r="W8" s="21">
        <v>2.5041050823601359E-2</v>
      </c>
      <c r="X8" s="21">
        <v>2.0461698810657819E-2</v>
      </c>
      <c r="Y8" s="21">
        <v>1.6556748082005981E-2</v>
      </c>
      <c r="Z8" s="21">
        <v>1.329111996635305E-2</v>
      </c>
    </row>
    <row r="9" spans="1:26" x14ac:dyDescent="0.45">
      <c r="A9" t="s">
        <v>93</v>
      </c>
      <c r="C9" s="21">
        <v>6.3078188334216856E-2</v>
      </c>
      <c r="D9" s="21">
        <v>1.6556748082006061E-2</v>
      </c>
      <c r="E9" s="21">
        <v>2.046169881065777E-2</v>
      </c>
      <c r="F9" s="21">
        <v>2.5041050823601169E-2</v>
      </c>
      <c r="G9" s="21">
        <v>3.0280347951282021E-2</v>
      </c>
      <c r="H9" s="21">
        <v>3.6089921830382912E-2</v>
      </c>
      <c r="I9" s="21">
        <v>4.2279770030390483E-2</v>
      </c>
      <c r="J9" s="21">
        <v>4.8543500440156262E-2</v>
      </c>
      <c r="K9" s="21">
        <v>5.4462826559935222E-2</v>
      </c>
      <c r="L9" s="21">
        <v>5.9543259024618961E-2</v>
      </c>
      <c r="M9" s="21">
        <v>6.3284135710410361E-2</v>
      </c>
      <c r="N9" s="21">
        <v>6.5272086586273842E-2</v>
      </c>
      <c r="O9" s="21">
        <v>6.5272086586273842E-2</v>
      </c>
      <c r="P9" s="21">
        <v>6.3284135710410361E-2</v>
      </c>
      <c r="Q9" s="21">
        <v>5.9543259024618961E-2</v>
      </c>
      <c r="R9" s="21">
        <v>5.4462826559935222E-2</v>
      </c>
      <c r="S9" s="21">
        <v>4.8543500440156179E-2</v>
      </c>
      <c r="T9" s="21">
        <v>4.2279770030390559E-2</v>
      </c>
      <c r="U9" s="21">
        <v>3.6089921830382968E-2</v>
      </c>
      <c r="V9" s="21">
        <v>3.028034795128182E-2</v>
      </c>
      <c r="W9" s="21">
        <v>2.5041050823601359E-2</v>
      </c>
      <c r="X9" s="21">
        <v>2.0461698810657819E-2</v>
      </c>
      <c r="Y9" s="21">
        <v>1.6556748082005981E-2</v>
      </c>
      <c r="Z9" s="21">
        <v>1.329111996635305E-2</v>
      </c>
    </row>
    <row r="10" spans="1:26" x14ac:dyDescent="0.45">
      <c r="A10" t="s">
        <v>94</v>
      </c>
      <c r="C10" s="21">
        <v>6.3078188334216856E-2</v>
      </c>
      <c r="D10" s="21">
        <v>1.6556748082006061E-2</v>
      </c>
      <c r="E10" s="21">
        <v>2.046169881065777E-2</v>
      </c>
      <c r="F10" s="21">
        <v>2.5041050823601169E-2</v>
      </c>
      <c r="G10" s="21">
        <v>3.0280347951282021E-2</v>
      </c>
      <c r="H10" s="21">
        <v>3.6089921830382912E-2</v>
      </c>
      <c r="I10" s="21">
        <v>4.2279770030390483E-2</v>
      </c>
      <c r="J10" s="21">
        <v>4.8543500440156262E-2</v>
      </c>
      <c r="K10" s="21">
        <v>5.4462826559935222E-2</v>
      </c>
      <c r="L10" s="21">
        <v>5.9543259024618961E-2</v>
      </c>
      <c r="M10" s="21">
        <v>6.3284135710410361E-2</v>
      </c>
      <c r="N10" s="21">
        <v>6.5272086586273842E-2</v>
      </c>
      <c r="O10" s="21">
        <v>6.5272086586273842E-2</v>
      </c>
      <c r="P10" s="21">
        <v>6.3284135710410361E-2</v>
      </c>
      <c r="Q10" s="21">
        <v>5.9543259024618961E-2</v>
      </c>
      <c r="R10" s="21">
        <v>5.4462826559935222E-2</v>
      </c>
      <c r="S10" s="21">
        <v>4.8543500440156179E-2</v>
      </c>
      <c r="T10" s="21">
        <v>4.2279770030390559E-2</v>
      </c>
      <c r="U10" s="21">
        <v>3.6089921830382968E-2</v>
      </c>
      <c r="V10" s="21">
        <v>3.028034795128182E-2</v>
      </c>
      <c r="W10" s="21">
        <v>2.5041050823601359E-2</v>
      </c>
      <c r="X10" s="21">
        <v>2.0461698810657819E-2</v>
      </c>
      <c r="Y10" s="21">
        <v>1.6556748082005981E-2</v>
      </c>
      <c r="Z10" s="21">
        <v>1.329111996635305E-2</v>
      </c>
    </row>
    <row r="11" spans="1:26" x14ac:dyDescent="0.45">
      <c r="A11" t="s">
        <v>72</v>
      </c>
      <c r="C11" s="21">
        <v>6.3078188334216856E-2</v>
      </c>
      <c r="D11" s="21">
        <v>1.6556748082006061E-2</v>
      </c>
      <c r="E11" s="21">
        <v>2.046169881065777E-2</v>
      </c>
      <c r="F11" s="21">
        <v>2.5041050823601169E-2</v>
      </c>
      <c r="G11" s="21">
        <v>3.0280347951282021E-2</v>
      </c>
      <c r="H11" s="21">
        <v>3.6089921830382912E-2</v>
      </c>
      <c r="I11" s="21">
        <v>4.2279770030390483E-2</v>
      </c>
      <c r="J11" s="21">
        <v>4.8543500440156262E-2</v>
      </c>
      <c r="K11" s="21">
        <v>5.4462826559935222E-2</v>
      </c>
      <c r="L11" s="21">
        <v>5.9543259024618961E-2</v>
      </c>
      <c r="M11" s="21">
        <v>6.3284135710410361E-2</v>
      </c>
      <c r="N11" s="21">
        <v>6.5272086586273842E-2</v>
      </c>
      <c r="O11" s="21">
        <v>6.5272086586273842E-2</v>
      </c>
      <c r="P11" s="21">
        <v>6.3284135710410361E-2</v>
      </c>
      <c r="Q11" s="21">
        <v>5.9543259024618961E-2</v>
      </c>
      <c r="R11" s="21">
        <v>5.4462826559935222E-2</v>
      </c>
      <c r="S11" s="21">
        <v>4.8543500440156179E-2</v>
      </c>
      <c r="T11" s="21">
        <v>4.2279770030390559E-2</v>
      </c>
      <c r="U11" s="21">
        <v>3.6089921830382968E-2</v>
      </c>
      <c r="V11" s="21">
        <v>3.028034795128182E-2</v>
      </c>
      <c r="W11" s="21">
        <v>2.5041050823601359E-2</v>
      </c>
      <c r="X11" s="21">
        <v>2.0461698810657819E-2</v>
      </c>
      <c r="Y11" s="21">
        <v>1.6556748082005981E-2</v>
      </c>
      <c r="Z11" s="21">
        <v>1.329111996635305E-2</v>
      </c>
    </row>
    <row r="12" spans="1:26" x14ac:dyDescent="0.45">
      <c r="A12" t="s">
        <v>73</v>
      </c>
      <c r="C12" s="21">
        <v>6.3078188334216856E-2</v>
      </c>
      <c r="D12" s="21">
        <v>1.6556748082006061E-2</v>
      </c>
      <c r="E12" s="21">
        <v>2.046169881065777E-2</v>
      </c>
      <c r="F12" s="21">
        <v>2.5041050823601169E-2</v>
      </c>
      <c r="G12" s="21">
        <v>3.0280347951282021E-2</v>
      </c>
      <c r="H12" s="21">
        <v>3.6089921830382912E-2</v>
      </c>
      <c r="I12" s="21">
        <v>4.2279770030390483E-2</v>
      </c>
      <c r="J12" s="21">
        <v>4.8543500440156262E-2</v>
      </c>
      <c r="K12" s="21">
        <v>5.4462826559935222E-2</v>
      </c>
      <c r="L12" s="21">
        <v>5.9543259024618961E-2</v>
      </c>
      <c r="M12" s="21">
        <v>6.3284135710410361E-2</v>
      </c>
      <c r="N12" s="21">
        <v>6.5272086586273842E-2</v>
      </c>
      <c r="O12" s="21">
        <v>6.5272086586273842E-2</v>
      </c>
      <c r="P12" s="21">
        <v>6.3284135710410361E-2</v>
      </c>
      <c r="Q12" s="21">
        <v>5.9543259024618961E-2</v>
      </c>
      <c r="R12" s="21">
        <v>5.4462826559935222E-2</v>
      </c>
      <c r="S12" s="21">
        <v>4.8543500440156179E-2</v>
      </c>
      <c r="T12" s="21">
        <v>4.2279770030390559E-2</v>
      </c>
      <c r="U12" s="21">
        <v>3.6089921830382968E-2</v>
      </c>
      <c r="V12" s="21">
        <v>3.028034795128182E-2</v>
      </c>
      <c r="W12" s="21">
        <v>2.5041050823601359E-2</v>
      </c>
      <c r="X12" s="21">
        <v>2.0461698810657819E-2</v>
      </c>
      <c r="Y12" s="21">
        <v>1.6556748082005981E-2</v>
      </c>
      <c r="Z12" s="21">
        <v>1.329111996635305E-2</v>
      </c>
    </row>
    <row r="13" spans="1:26" x14ac:dyDescent="0.45">
      <c r="A13" t="s">
        <v>74</v>
      </c>
      <c r="C13" s="21">
        <v>6.3078188334216856E-2</v>
      </c>
      <c r="D13" s="21">
        <v>1.6556748082006061E-2</v>
      </c>
      <c r="E13" s="21">
        <v>2.046169881065777E-2</v>
      </c>
      <c r="F13" s="21">
        <v>2.5041050823601169E-2</v>
      </c>
      <c r="G13" s="21">
        <v>3.0280347951282021E-2</v>
      </c>
      <c r="H13" s="21">
        <v>3.6089921830382912E-2</v>
      </c>
      <c r="I13" s="21">
        <v>4.2279770030390483E-2</v>
      </c>
      <c r="J13" s="21">
        <v>4.8543500440156262E-2</v>
      </c>
      <c r="K13" s="21">
        <v>5.4462826559935222E-2</v>
      </c>
      <c r="L13" s="21">
        <v>5.9543259024618961E-2</v>
      </c>
      <c r="M13" s="21">
        <v>6.3284135710410361E-2</v>
      </c>
      <c r="N13" s="21">
        <v>6.5272086586273842E-2</v>
      </c>
      <c r="O13" s="21">
        <v>6.5272086586273842E-2</v>
      </c>
      <c r="P13" s="21">
        <v>6.3284135710410361E-2</v>
      </c>
      <c r="Q13" s="21">
        <v>5.9543259024618961E-2</v>
      </c>
      <c r="R13" s="21">
        <v>5.4462826559935222E-2</v>
      </c>
      <c r="S13" s="21">
        <v>4.8543500440156179E-2</v>
      </c>
      <c r="T13" s="21">
        <v>4.2279770030390559E-2</v>
      </c>
      <c r="U13" s="21">
        <v>3.6089921830382968E-2</v>
      </c>
      <c r="V13" s="21">
        <v>3.028034795128182E-2</v>
      </c>
      <c r="W13" s="21">
        <v>2.5041050823601359E-2</v>
      </c>
      <c r="X13" s="21">
        <v>2.0461698810657819E-2</v>
      </c>
      <c r="Y13" s="21">
        <v>1.6556748082005981E-2</v>
      </c>
      <c r="Z13" s="21">
        <v>1.329111996635305E-2</v>
      </c>
    </row>
    <row r="14" spans="1:26" x14ac:dyDescent="0.45">
      <c r="A14" t="s">
        <v>75</v>
      </c>
      <c r="C14" s="21">
        <v>6.3078188334216856E-2</v>
      </c>
      <c r="D14" s="21">
        <v>1.6556748082006061E-2</v>
      </c>
      <c r="E14" s="21">
        <v>2.046169881065777E-2</v>
      </c>
      <c r="F14" s="21">
        <v>2.5041050823601169E-2</v>
      </c>
      <c r="G14" s="21">
        <v>3.0280347951282021E-2</v>
      </c>
      <c r="H14" s="21">
        <v>3.6089921830382912E-2</v>
      </c>
      <c r="I14" s="21">
        <v>4.2279770030390483E-2</v>
      </c>
      <c r="J14" s="21">
        <v>4.8543500440156262E-2</v>
      </c>
      <c r="K14" s="21">
        <v>5.4462826559935222E-2</v>
      </c>
      <c r="L14" s="21">
        <v>5.9543259024618961E-2</v>
      </c>
      <c r="M14" s="21">
        <v>6.3284135710410361E-2</v>
      </c>
      <c r="N14" s="21">
        <v>6.5272086586273842E-2</v>
      </c>
      <c r="O14" s="21">
        <v>6.5272086586273842E-2</v>
      </c>
      <c r="P14" s="21">
        <v>6.3284135710410361E-2</v>
      </c>
      <c r="Q14" s="21">
        <v>5.9543259024618961E-2</v>
      </c>
      <c r="R14" s="21">
        <v>5.4462826559935222E-2</v>
      </c>
      <c r="S14" s="21">
        <v>4.8543500440156179E-2</v>
      </c>
      <c r="T14" s="21">
        <v>4.2279770030390559E-2</v>
      </c>
      <c r="U14" s="21">
        <v>3.6089921830382968E-2</v>
      </c>
      <c r="V14" s="21">
        <v>3.028034795128182E-2</v>
      </c>
      <c r="W14" s="21">
        <v>2.5041050823601359E-2</v>
      </c>
      <c r="X14" s="21">
        <v>2.0461698810657819E-2</v>
      </c>
      <c r="Y14" s="21">
        <v>1.6556748082005981E-2</v>
      </c>
      <c r="Z14" s="21">
        <v>1.329111996635305E-2</v>
      </c>
    </row>
    <row r="15" spans="1:26" x14ac:dyDescent="0.45">
      <c r="A15" t="s">
        <v>76</v>
      </c>
      <c r="C15" s="21">
        <v>6.3078188334216856E-2</v>
      </c>
      <c r="D15" s="21">
        <v>1.6556748082006061E-2</v>
      </c>
      <c r="E15" s="21">
        <v>2.046169881065777E-2</v>
      </c>
      <c r="F15" s="21">
        <v>2.5041050823601169E-2</v>
      </c>
      <c r="G15" s="21">
        <v>3.0280347951282021E-2</v>
      </c>
      <c r="H15" s="21">
        <v>3.6089921830382912E-2</v>
      </c>
      <c r="I15" s="21">
        <v>4.2279770030390483E-2</v>
      </c>
      <c r="J15" s="21">
        <v>4.8543500440156262E-2</v>
      </c>
      <c r="K15" s="21">
        <v>5.4462826559935222E-2</v>
      </c>
      <c r="L15" s="21">
        <v>5.9543259024618961E-2</v>
      </c>
      <c r="M15" s="21">
        <v>6.3284135710410361E-2</v>
      </c>
      <c r="N15" s="21">
        <v>6.5272086586273842E-2</v>
      </c>
      <c r="O15" s="21">
        <v>6.5272086586273842E-2</v>
      </c>
      <c r="P15" s="21">
        <v>6.3284135710410361E-2</v>
      </c>
      <c r="Q15" s="21">
        <v>5.9543259024618961E-2</v>
      </c>
      <c r="R15" s="21">
        <v>5.4462826559935222E-2</v>
      </c>
      <c r="S15" s="21">
        <v>4.8543500440156179E-2</v>
      </c>
      <c r="T15" s="21">
        <v>4.2279770030390559E-2</v>
      </c>
      <c r="U15" s="21">
        <v>3.6089921830382968E-2</v>
      </c>
      <c r="V15" s="21">
        <v>3.028034795128182E-2</v>
      </c>
      <c r="W15" s="21">
        <v>2.5041050823601359E-2</v>
      </c>
      <c r="X15" s="21">
        <v>2.0461698810657819E-2</v>
      </c>
      <c r="Y15" s="21">
        <v>1.6556748082005981E-2</v>
      </c>
      <c r="Z15" s="21">
        <v>1.329111996635305E-2</v>
      </c>
    </row>
    <row r="16" spans="1:26" x14ac:dyDescent="0.45">
      <c r="A16" t="s">
        <v>77</v>
      </c>
      <c r="C16" s="21">
        <v>6.3078188334216856E-2</v>
      </c>
      <c r="D16" s="21">
        <v>1.6556748082006061E-2</v>
      </c>
      <c r="E16" s="21">
        <v>2.046169881065777E-2</v>
      </c>
      <c r="F16" s="21">
        <v>2.5041050823601169E-2</v>
      </c>
      <c r="G16" s="21">
        <v>3.0280347951282021E-2</v>
      </c>
      <c r="H16" s="21">
        <v>3.6089921830382912E-2</v>
      </c>
      <c r="I16" s="21">
        <v>4.2279770030390483E-2</v>
      </c>
      <c r="J16" s="21">
        <v>4.8543500440156262E-2</v>
      </c>
      <c r="K16" s="21">
        <v>5.4462826559935222E-2</v>
      </c>
      <c r="L16" s="21">
        <v>5.9543259024618961E-2</v>
      </c>
      <c r="M16" s="21">
        <v>6.3284135710410361E-2</v>
      </c>
      <c r="N16" s="21">
        <v>6.5272086586273842E-2</v>
      </c>
      <c r="O16" s="21">
        <v>6.5272086586273842E-2</v>
      </c>
      <c r="P16" s="21">
        <v>6.3284135710410361E-2</v>
      </c>
      <c r="Q16" s="21">
        <v>5.9543259024618961E-2</v>
      </c>
      <c r="R16" s="21">
        <v>5.4462826559935222E-2</v>
      </c>
      <c r="S16" s="21">
        <v>4.8543500440156179E-2</v>
      </c>
      <c r="T16" s="21">
        <v>4.2279770030390559E-2</v>
      </c>
      <c r="U16" s="21">
        <v>3.6089921830382968E-2</v>
      </c>
      <c r="V16" s="21">
        <v>3.028034795128182E-2</v>
      </c>
      <c r="W16" s="21">
        <v>2.5041050823601359E-2</v>
      </c>
      <c r="X16" s="21">
        <v>2.0461698810657819E-2</v>
      </c>
      <c r="Y16" s="21">
        <v>1.6556748082005981E-2</v>
      </c>
      <c r="Z16" s="21">
        <v>1.329111996635305E-2</v>
      </c>
    </row>
    <row r="17" spans="1:26" x14ac:dyDescent="0.45">
      <c r="A17" t="s">
        <v>78</v>
      </c>
      <c r="C17" s="21">
        <v>6.3078188334216856E-2</v>
      </c>
      <c r="D17" s="21">
        <v>1.6556748082006061E-2</v>
      </c>
      <c r="E17" s="21">
        <v>2.046169881065777E-2</v>
      </c>
      <c r="F17" s="21">
        <v>2.5041050823601169E-2</v>
      </c>
      <c r="G17" s="21">
        <v>3.0280347951282021E-2</v>
      </c>
      <c r="H17" s="21">
        <v>3.6089921830382912E-2</v>
      </c>
      <c r="I17" s="21">
        <v>4.2279770030390483E-2</v>
      </c>
      <c r="J17" s="21">
        <v>4.8543500440156262E-2</v>
      </c>
      <c r="K17" s="21">
        <v>5.4462826559935222E-2</v>
      </c>
      <c r="L17" s="21">
        <v>5.9543259024618961E-2</v>
      </c>
      <c r="M17" s="21">
        <v>6.3284135710410361E-2</v>
      </c>
      <c r="N17" s="21">
        <v>6.5272086586273842E-2</v>
      </c>
      <c r="O17" s="21">
        <v>6.5272086586273842E-2</v>
      </c>
      <c r="P17" s="21">
        <v>6.3284135710410361E-2</v>
      </c>
      <c r="Q17" s="21">
        <v>5.9543259024618961E-2</v>
      </c>
      <c r="R17" s="21">
        <v>5.4462826559935222E-2</v>
      </c>
      <c r="S17" s="21">
        <v>4.8543500440156179E-2</v>
      </c>
      <c r="T17" s="21">
        <v>4.2279770030390559E-2</v>
      </c>
      <c r="U17" s="21">
        <v>3.6089921830382968E-2</v>
      </c>
      <c r="V17" s="21">
        <v>3.028034795128182E-2</v>
      </c>
      <c r="W17" s="21">
        <v>2.5041050823601359E-2</v>
      </c>
      <c r="X17" s="21">
        <v>2.0461698810657819E-2</v>
      </c>
      <c r="Y17" s="21">
        <v>1.6556748082005981E-2</v>
      </c>
      <c r="Z17" s="21">
        <v>1.329111996635305E-2</v>
      </c>
    </row>
    <row r="18" spans="1:26" x14ac:dyDescent="0.45">
      <c r="A18" s="3" t="s">
        <v>95</v>
      </c>
      <c r="C18" s="20">
        <f>INDEX(C$8:C$17,Cover!$B$20)</f>
        <v>6.3078188334216856E-2</v>
      </c>
      <c r="D18" s="20">
        <f>INDEX(D$8:D$17,Cover!$B$20)</f>
        <v>1.6556748082006061E-2</v>
      </c>
      <c r="E18" s="20">
        <f>INDEX(E$8:E$17,Cover!$B$20)</f>
        <v>2.046169881065777E-2</v>
      </c>
      <c r="F18" s="20">
        <f>INDEX(F$8:F$17,Cover!$B$20)</f>
        <v>2.5041050823601169E-2</v>
      </c>
      <c r="G18" s="20">
        <f>INDEX(G$8:G$17,Cover!$B$20)</f>
        <v>3.0280347951282021E-2</v>
      </c>
      <c r="H18" s="20">
        <f>INDEX(H$8:H$17,Cover!$B$20)</f>
        <v>3.6089921830382912E-2</v>
      </c>
      <c r="I18" s="20">
        <f>INDEX(I$8:I$17,Cover!$B$20)</f>
        <v>4.2279770030390483E-2</v>
      </c>
      <c r="J18" s="20">
        <f>INDEX(J$8:J$17,Cover!$B$20)</f>
        <v>4.8543500440156262E-2</v>
      </c>
      <c r="K18" s="20">
        <f>INDEX(K$8:K$17,Cover!$B$20)</f>
        <v>5.4462826559935222E-2</v>
      </c>
      <c r="L18" s="20">
        <f>INDEX(L$8:L$17,Cover!$B$20)</f>
        <v>5.9543259024618961E-2</v>
      </c>
      <c r="M18" s="20">
        <f>INDEX(M$8:M$17,Cover!$B$20)</f>
        <v>6.3284135710410361E-2</v>
      </c>
      <c r="N18" s="20">
        <f>INDEX(N$8:N$17,Cover!$B$20)</f>
        <v>6.5272086586273842E-2</v>
      </c>
      <c r="O18" s="20">
        <f>INDEX(O$8:O$17,Cover!$B$20)</f>
        <v>6.5272086586273842E-2</v>
      </c>
      <c r="P18" s="20">
        <f>INDEX(P$8:P$17,Cover!$B$20)</f>
        <v>6.3284135710410361E-2</v>
      </c>
      <c r="Q18" s="20">
        <f>INDEX(Q$8:Q$17,Cover!$B$20)</f>
        <v>5.9543259024618961E-2</v>
      </c>
      <c r="R18" s="20">
        <f>INDEX(R$8:R$17,Cover!$B$20)</f>
        <v>5.4462826559935222E-2</v>
      </c>
      <c r="S18" s="20">
        <f>INDEX(S$8:S$17,Cover!$B$20)</f>
        <v>4.8543500440156179E-2</v>
      </c>
      <c r="T18" s="20">
        <f>INDEX(T$8:T$17,Cover!$B$20)</f>
        <v>4.2279770030390559E-2</v>
      </c>
      <c r="U18" s="20">
        <f>INDEX(U$8:U$17,Cover!$B$20)</f>
        <v>3.6089921830382968E-2</v>
      </c>
      <c r="V18" s="20">
        <f>INDEX(V$8:V$17,Cover!$B$20)</f>
        <v>3.028034795128182E-2</v>
      </c>
      <c r="W18" s="20">
        <f>INDEX(W$8:W$17,Cover!$B$20)</f>
        <v>2.5041050823601359E-2</v>
      </c>
      <c r="X18" s="20">
        <f>INDEX(X$8:X$17,Cover!$B$20)</f>
        <v>2.0461698810657819E-2</v>
      </c>
      <c r="Y18" s="20">
        <f>INDEX(Y$8:Y$17,Cover!$B$20)</f>
        <v>1.6556748082005981E-2</v>
      </c>
      <c r="Z18" s="20">
        <f>INDEX(Z$8:Z$17,Cover!$B$20)</f>
        <v>1.329111996635305E-2</v>
      </c>
    </row>
    <row r="20" spans="1:26" x14ac:dyDescent="0.45">
      <c r="A20" s="3" t="s">
        <v>96</v>
      </c>
    </row>
    <row r="21" spans="1:26" x14ac:dyDescent="0.45">
      <c r="A21" t="s">
        <v>97</v>
      </c>
      <c r="B21" s="27">
        <f t="shared" ref="B21:B30" si="0">SUM(C8:Z8)</f>
        <v>1</v>
      </c>
    </row>
    <row r="22" spans="1:26" x14ac:dyDescent="0.45">
      <c r="A22" t="s">
        <v>98</v>
      </c>
      <c r="B22" s="27">
        <f t="shared" si="0"/>
        <v>1</v>
      </c>
    </row>
    <row r="23" spans="1:26" x14ac:dyDescent="0.45">
      <c r="A23" t="s">
        <v>99</v>
      </c>
      <c r="B23" s="27">
        <f t="shared" si="0"/>
        <v>1</v>
      </c>
    </row>
    <row r="24" spans="1:26" x14ac:dyDescent="0.45">
      <c r="A24" t="s">
        <v>100</v>
      </c>
      <c r="B24" s="27">
        <f t="shared" si="0"/>
        <v>1</v>
      </c>
    </row>
    <row r="25" spans="1:26" x14ac:dyDescent="0.45">
      <c r="A25" t="s">
        <v>101</v>
      </c>
      <c r="B25" s="27">
        <f t="shared" si="0"/>
        <v>1</v>
      </c>
    </row>
    <row r="26" spans="1:26" x14ac:dyDescent="0.45">
      <c r="A26" t="s">
        <v>102</v>
      </c>
      <c r="B26" s="27">
        <f t="shared" si="0"/>
        <v>1</v>
      </c>
    </row>
    <row r="27" spans="1:26" x14ac:dyDescent="0.45">
      <c r="A27" t="s">
        <v>103</v>
      </c>
      <c r="B27" s="27">
        <f t="shared" si="0"/>
        <v>1</v>
      </c>
    </row>
    <row r="28" spans="1:26" x14ac:dyDescent="0.45">
      <c r="A28" t="s">
        <v>104</v>
      </c>
      <c r="B28" s="27">
        <f t="shared" si="0"/>
        <v>1</v>
      </c>
    </row>
    <row r="29" spans="1:26" x14ac:dyDescent="0.45">
      <c r="A29" t="s">
        <v>105</v>
      </c>
      <c r="B29" s="27">
        <f t="shared" si="0"/>
        <v>1</v>
      </c>
    </row>
    <row r="30" spans="1:26" x14ac:dyDescent="0.45">
      <c r="A30" t="s">
        <v>106</v>
      </c>
      <c r="B30" s="27">
        <f t="shared" si="0"/>
        <v>1</v>
      </c>
    </row>
    <row r="33" spans="1:2" x14ac:dyDescent="0.45">
      <c r="A33" s="3" t="s">
        <v>85</v>
      </c>
    </row>
    <row r="34" spans="1:2" x14ac:dyDescent="0.45">
      <c r="A34" t="s">
        <v>107</v>
      </c>
      <c r="B34" s="26">
        <f>IF(ROUND(SUM(C18:Z18)-1,6)=0,1,0)</f>
        <v>1</v>
      </c>
    </row>
    <row r="35" spans="1:2" x14ac:dyDescent="0.45">
      <c r="A35" t="s">
        <v>108</v>
      </c>
      <c r="B35" s="26">
        <f>IF(SUMPRODUCT(--(ROUND($B$21:$B$30-1,6)&lt;&gt;0))=0,1,0)</f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FF"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</cols>
  <sheetData>
    <row r="1" spans="1:82" ht="15.75" x14ac:dyDescent="0.5">
      <c r="A1" s="10" t="s">
        <v>109</v>
      </c>
    </row>
    <row r="2" spans="1:82" x14ac:dyDescent="0.45">
      <c r="A2" s="7" t="s">
        <v>110</v>
      </c>
    </row>
    <row r="4" spans="1:82" x14ac:dyDescent="0.45">
      <c r="A4" t="s">
        <v>63</v>
      </c>
      <c r="C4" s="16">
        <v>47208</v>
      </c>
      <c r="D4" s="16">
        <v>47299</v>
      </c>
      <c r="E4" s="16">
        <v>47391</v>
      </c>
      <c r="F4" s="16">
        <v>47483</v>
      </c>
      <c r="G4" s="16">
        <v>47573</v>
      </c>
      <c r="H4" s="16">
        <v>47664</v>
      </c>
      <c r="I4" s="16">
        <v>47756</v>
      </c>
      <c r="J4" s="16">
        <v>47848</v>
      </c>
      <c r="K4" s="16">
        <v>47938</v>
      </c>
      <c r="L4" s="16">
        <v>48029</v>
      </c>
      <c r="M4" s="16">
        <v>48121</v>
      </c>
      <c r="N4" s="16">
        <v>48213</v>
      </c>
      <c r="O4" s="16">
        <v>48304</v>
      </c>
      <c r="P4" s="16">
        <v>48395</v>
      </c>
      <c r="Q4" s="16">
        <v>48487</v>
      </c>
      <c r="R4" s="16">
        <v>48579</v>
      </c>
      <c r="S4" s="16">
        <v>48669</v>
      </c>
      <c r="T4" s="16">
        <v>48760</v>
      </c>
      <c r="U4" s="16">
        <v>48852</v>
      </c>
      <c r="V4" s="16">
        <v>48944</v>
      </c>
      <c r="W4" s="16">
        <v>49034</v>
      </c>
      <c r="X4" s="16">
        <v>49125</v>
      </c>
      <c r="Y4" s="16">
        <v>49217</v>
      </c>
      <c r="Z4" s="16">
        <v>49309</v>
      </c>
      <c r="AA4" s="16">
        <v>49399</v>
      </c>
      <c r="AB4" s="16">
        <v>49490</v>
      </c>
      <c r="AC4" s="16">
        <v>49582</v>
      </c>
      <c r="AD4" s="16">
        <v>49674</v>
      </c>
      <c r="AE4" s="16">
        <v>49765</v>
      </c>
      <c r="AF4" s="16">
        <v>49856</v>
      </c>
      <c r="AG4" s="16">
        <v>49948</v>
      </c>
      <c r="AH4" s="16">
        <v>50040</v>
      </c>
      <c r="AI4" s="16">
        <v>50130</v>
      </c>
      <c r="AJ4" s="16">
        <v>50221</v>
      </c>
      <c r="AK4" s="16">
        <v>50313</v>
      </c>
      <c r="AL4" s="16">
        <v>50405</v>
      </c>
      <c r="AM4" s="16">
        <v>50495</v>
      </c>
      <c r="AN4" s="16">
        <v>50586</v>
      </c>
      <c r="AO4" s="16">
        <v>50678</v>
      </c>
      <c r="AP4" s="16">
        <v>50770</v>
      </c>
      <c r="AQ4" s="16">
        <v>50860</v>
      </c>
      <c r="AR4" s="16">
        <v>50951</v>
      </c>
      <c r="AS4" s="16">
        <v>51043</v>
      </c>
      <c r="AT4" s="16">
        <v>51135</v>
      </c>
      <c r="AU4" s="16">
        <v>51226</v>
      </c>
      <c r="AV4" s="16">
        <v>51317</v>
      </c>
      <c r="AW4" s="16">
        <v>51409</v>
      </c>
      <c r="AX4" s="16">
        <v>51501</v>
      </c>
      <c r="AY4" s="16">
        <v>51591</v>
      </c>
      <c r="AZ4" s="16">
        <v>51682</v>
      </c>
      <c r="BA4" s="16">
        <v>51774</v>
      </c>
      <c r="BB4" s="16">
        <v>51866</v>
      </c>
      <c r="BC4" s="16">
        <v>51956</v>
      </c>
      <c r="BD4" s="16">
        <v>52047</v>
      </c>
      <c r="BE4" s="16">
        <v>52139</v>
      </c>
      <c r="BF4" s="16">
        <v>52231</v>
      </c>
      <c r="BG4" s="16">
        <v>52321</v>
      </c>
      <c r="BH4" s="16">
        <v>52412</v>
      </c>
      <c r="BI4" s="16">
        <v>52504</v>
      </c>
      <c r="BJ4" s="16">
        <v>52596</v>
      </c>
      <c r="BK4" s="16">
        <v>52687</v>
      </c>
      <c r="BL4" s="16">
        <v>52778</v>
      </c>
      <c r="BM4" s="16">
        <v>52870</v>
      </c>
      <c r="BN4" s="16">
        <v>52962</v>
      </c>
      <c r="BO4" s="16">
        <v>53052</v>
      </c>
      <c r="BP4" s="16">
        <v>53143</v>
      </c>
      <c r="BQ4" s="16">
        <v>53235</v>
      </c>
      <c r="BR4" s="16">
        <v>53327</v>
      </c>
      <c r="BS4" s="16">
        <v>53417</v>
      </c>
      <c r="BT4" s="16">
        <v>53508</v>
      </c>
      <c r="BU4" s="16">
        <v>53600</v>
      </c>
      <c r="BV4" s="16">
        <v>53692</v>
      </c>
      <c r="BW4" s="16">
        <v>53782</v>
      </c>
      <c r="BX4" s="16">
        <v>53873</v>
      </c>
      <c r="BY4" s="16">
        <v>53965</v>
      </c>
      <c r="BZ4" s="16">
        <v>54057</v>
      </c>
      <c r="CA4" s="16">
        <v>54148</v>
      </c>
      <c r="CB4" s="16">
        <v>54239</v>
      </c>
      <c r="CC4" s="16">
        <v>54331</v>
      </c>
      <c r="CD4" s="16">
        <v>54423</v>
      </c>
    </row>
    <row r="5" spans="1:82" x14ac:dyDescent="0.45">
      <c r="A5" t="s">
        <v>111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  <c r="BE5">
        <v>55</v>
      </c>
      <c r="BF5">
        <v>56</v>
      </c>
      <c r="BG5">
        <v>57</v>
      </c>
      <c r="BH5">
        <v>58</v>
      </c>
      <c r="BI5">
        <v>59</v>
      </c>
      <c r="BJ5">
        <v>60</v>
      </c>
      <c r="BK5">
        <v>61</v>
      </c>
      <c r="BL5">
        <v>62</v>
      </c>
      <c r="BM5">
        <v>63</v>
      </c>
      <c r="BN5">
        <v>64</v>
      </c>
      <c r="BO5">
        <v>65</v>
      </c>
      <c r="BP5">
        <v>66</v>
      </c>
      <c r="BQ5">
        <v>67</v>
      </c>
      <c r="BR5">
        <v>68</v>
      </c>
      <c r="BS5">
        <v>69</v>
      </c>
      <c r="BT5">
        <v>70</v>
      </c>
      <c r="BU5">
        <v>71</v>
      </c>
      <c r="BV5">
        <v>72</v>
      </c>
      <c r="BW5">
        <v>73</v>
      </c>
      <c r="BX5">
        <v>74</v>
      </c>
      <c r="BY5">
        <v>75</v>
      </c>
      <c r="BZ5">
        <v>76</v>
      </c>
      <c r="CA5">
        <v>77</v>
      </c>
      <c r="CB5">
        <v>78</v>
      </c>
      <c r="CC5">
        <v>79</v>
      </c>
      <c r="CD5">
        <v>80</v>
      </c>
    </row>
    <row r="7" spans="1:82" x14ac:dyDescent="0.45">
      <c r="A7" s="3" t="s">
        <v>112</v>
      </c>
    </row>
    <row r="8" spans="1:82" x14ac:dyDescent="0.45">
      <c r="A8" t="s">
        <v>92</v>
      </c>
      <c r="C8" s="28">
        <v>1</v>
      </c>
      <c r="D8" s="28">
        <v>1</v>
      </c>
      <c r="E8" s="28">
        <v>1</v>
      </c>
      <c r="F8" s="28">
        <v>1</v>
      </c>
      <c r="G8" s="28">
        <v>1</v>
      </c>
      <c r="H8" s="28">
        <v>1</v>
      </c>
      <c r="I8" s="28">
        <v>1</v>
      </c>
      <c r="J8" s="28">
        <v>1</v>
      </c>
      <c r="K8" s="28">
        <v>1</v>
      </c>
      <c r="L8" s="28">
        <v>1</v>
      </c>
      <c r="M8" s="28">
        <v>1</v>
      </c>
      <c r="N8" s="28">
        <v>1</v>
      </c>
      <c r="O8" s="28">
        <v>1</v>
      </c>
      <c r="P8" s="28">
        <v>1</v>
      </c>
      <c r="Q8" s="28">
        <v>1</v>
      </c>
      <c r="R8" s="28">
        <v>1</v>
      </c>
      <c r="S8" s="28">
        <v>1</v>
      </c>
      <c r="T8" s="28">
        <v>1</v>
      </c>
      <c r="U8" s="28">
        <v>1</v>
      </c>
      <c r="V8" s="28">
        <v>1</v>
      </c>
      <c r="W8" s="28">
        <v>1</v>
      </c>
      <c r="X8" s="28">
        <v>1</v>
      </c>
      <c r="Y8" s="28">
        <v>1</v>
      </c>
      <c r="Z8" s="28">
        <v>1</v>
      </c>
      <c r="AA8" s="28">
        <v>1</v>
      </c>
      <c r="AB8" s="28">
        <v>1</v>
      </c>
      <c r="AC8" s="28">
        <v>1</v>
      </c>
      <c r="AD8" s="28">
        <v>1</v>
      </c>
      <c r="AE8" s="28">
        <v>1</v>
      </c>
      <c r="AF8" s="28">
        <v>1</v>
      </c>
      <c r="AG8" s="28">
        <v>1</v>
      </c>
      <c r="AH8" s="28">
        <v>1</v>
      </c>
      <c r="AI8" s="28">
        <v>1</v>
      </c>
      <c r="AJ8" s="28">
        <v>1</v>
      </c>
      <c r="AK8" s="28">
        <v>1</v>
      </c>
      <c r="AL8" s="28">
        <v>1</v>
      </c>
      <c r="AM8" s="28">
        <v>1</v>
      </c>
      <c r="AN8" s="28">
        <v>1</v>
      </c>
      <c r="AO8" s="28">
        <v>1</v>
      </c>
      <c r="AP8" s="28">
        <v>1</v>
      </c>
      <c r="AQ8" s="28">
        <v>1</v>
      </c>
      <c r="AR8" s="28">
        <v>1</v>
      </c>
      <c r="AS8" s="28">
        <v>1</v>
      </c>
      <c r="AT8" s="28">
        <v>1</v>
      </c>
      <c r="AU8" s="28">
        <v>1</v>
      </c>
      <c r="AV8" s="28">
        <v>1</v>
      </c>
      <c r="AW8" s="28">
        <v>1</v>
      </c>
      <c r="AX8" s="28">
        <v>1</v>
      </c>
      <c r="AY8" s="28">
        <v>1</v>
      </c>
      <c r="AZ8" s="28">
        <v>1</v>
      </c>
      <c r="BA8" s="28">
        <v>1</v>
      </c>
      <c r="BB8" s="28">
        <v>1</v>
      </c>
      <c r="BC8" s="28">
        <v>1</v>
      </c>
      <c r="BD8" s="28">
        <v>1</v>
      </c>
      <c r="BE8" s="28">
        <v>1</v>
      </c>
      <c r="BF8" s="28">
        <v>1</v>
      </c>
      <c r="BG8" s="28">
        <v>1</v>
      </c>
      <c r="BH8" s="28">
        <v>1</v>
      </c>
      <c r="BI8" s="28">
        <v>1</v>
      </c>
      <c r="BJ8" s="28">
        <v>1</v>
      </c>
      <c r="BK8" s="28">
        <v>1</v>
      </c>
      <c r="BL8" s="28">
        <v>1</v>
      </c>
      <c r="BM8" s="28">
        <v>1</v>
      </c>
      <c r="BN8" s="28">
        <v>1</v>
      </c>
      <c r="BO8" s="28">
        <v>1</v>
      </c>
      <c r="BP8" s="28">
        <v>1</v>
      </c>
      <c r="BQ8" s="28">
        <v>1</v>
      </c>
      <c r="BR8" s="28">
        <v>1</v>
      </c>
      <c r="BS8" s="28">
        <v>1</v>
      </c>
      <c r="BT8" s="28">
        <v>1</v>
      </c>
      <c r="BU8" s="28">
        <v>1</v>
      </c>
      <c r="BV8" s="28">
        <v>1</v>
      </c>
      <c r="BW8" s="28">
        <v>1</v>
      </c>
      <c r="BX8" s="28">
        <v>1</v>
      </c>
      <c r="BY8" s="28">
        <v>1</v>
      </c>
      <c r="BZ8" s="28">
        <v>1</v>
      </c>
      <c r="CA8" s="28">
        <v>1</v>
      </c>
      <c r="CB8" s="28">
        <v>1</v>
      </c>
      <c r="CC8" s="28">
        <v>1</v>
      </c>
      <c r="CD8" s="28">
        <v>1</v>
      </c>
    </row>
    <row r="9" spans="1:82" x14ac:dyDescent="0.45">
      <c r="A9" t="s">
        <v>93</v>
      </c>
      <c r="C9" s="28">
        <v>1</v>
      </c>
      <c r="D9" s="28">
        <v>1</v>
      </c>
      <c r="E9" s="28">
        <v>1</v>
      </c>
      <c r="F9" s="28">
        <v>1</v>
      </c>
      <c r="G9" s="28">
        <v>1</v>
      </c>
      <c r="H9" s="28">
        <v>1</v>
      </c>
      <c r="I9" s="28">
        <v>1</v>
      </c>
      <c r="J9" s="28">
        <v>1</v>
      </c>
      <c r="K9" s="28">
        <v>1</v>
      </c>
      <c r="L9" s="28">
        <v>1</v>
      </c>
      <c r="M9" s="28">
        <v>1</v>
      </c>
      <c r="N9" s="28">
        <v>1</v>
      </c>
      <c r="O9" s="28">
        <v>1</v>
      </c>
      <c r="P9" s="28">
        <v>1</v>
      </c>
      <c r="Q9" s="28">
        <v>1</v>
      </c>
      <c r="R9" s="28">
        <v>1</v>
      </c>
      <c r="S9" s="28">
        <v>1</v>
      </c>
      <c r="T9" s="28">
        <v>1</v>
      </c>
      <c r="U9" s="28">
        <v>1</v>
      </c>
      <c r="V9" s="28">
        <v>1</v>
      </c>
      <c r="W9" s="28">
        <v>1</v>
      </c>
      <c r="X9" s="28">
        <v>1</v>
      </c>
      <c r="Y9" s="28">
        <v>1</v>
      </c>
      <c r="Z9" s="28">
        <v>1</v>
      </c>
      <c r="AA9" s="28">
        <v>1</v>
      </c>
      <c r="AB9" s="28">
        <v>1</v>
      </c>
      <c r="AC9" s="28">
        <v>1</v>
      </c>
      <c r="AD9" s="28">
        <v>1</v>
      </c>
      <c r="AE9" s="28">
        <v>1</v>
      </c>
      <c r="AF9" s="28">
        <v>1</v>
      </c>
      <c r="AG9" s="28">
        <v>1</v>
      </c>
      <c r="AH9" s="28">
        <v>1</v>
      </c>
      <c r="AI9" s="28">
        <v>1</v>
      </c>
      <c r="AJ9" s="28">
        <v>1</v>
      </c>
      <c r="AK9" s="28">
        <v>1</v>
      </c>
      <c r="AL9" s="28">
        <v>1</v>
      </c>
      <c r="AM9" s="28">
        <v>1</v>
      </c>
      <c r="AN9" s="28">
        <v>1</v>
      </c>
      <c r="AO9" s="28">
        <v>1</v>
      </c>
      <c r="AP9" s="28">
        <v>1</v>
      </c>
      <c r="AQ9" s="28">
        <v>1</v>
      </c>
      <c r="AR9" s="28">
        <v>1</v>
      </c>
      <c r="AS9" s="28">
        <v>1</v>
      </c>
      <c r="AT9" s="28">
        <v>1</v>
      </c>
      <c r="AU9" s="28">
        <v>1</v>
      </c>
      <c r="AV9" s="28">
        <v>1</v>
      </c>
      <c r="AW9" s="28">
        <v>1</v>
      </c>
      <c r="AX9" s="28">
        <v>1</v>
      </c>
      <c r="AY9" s="28">
        <v>1</v>
      </c>
      <c r="AZ9" s="28">
        <v>1</v>
      </c>
      <c r="BA9" s="28">
        <v>1</v>
      </c>
      <c r="BB9" s="28">
        <v>1</v>
      </c>
      <c r="BC9" s="28">
        <v>1</v>
      </c>
      <c r="BD9" s="28">
        <v>1</v>
      </c>
      <c r="BE9" s="28">
        <v>1</v>
      </c>
      <c r="BF9" s="28">
        <v>1</v>
      </c>
      <c r="BG9" s="28">
        <v>1</v>
      </c>
      <c r="BH9" s="28">
        <v>1</v>
      </c>
      <c r="BI9" s="28">
        <v>1</v>
      </c>
      <c r="BJ9" s="28">
        <v>1</v>
      </c>
      <c r="BK9" s="28">
        <v>1</v>
      </c>
      <c r="BL9" s="28">
        <v>1</v>
      </c>
      <c r="BM9" s="28">
        <v>1</v>
      </c>
      <c r="BN9" s="28">
        <v>1</v>
      </c>
      <c r="BO9" s="28">
        <v>1</v>
      </c>
      <c r="BP9" s="28">
        <v>1</v>
      </c>
      <c r="BQ9" s="28">
        <v>1</v>
      </c>
      <c r="BR9" s="28">
        <v>1</v>
      </c>
      <c r="BS9" s="28">
        <v>1</v>
      </c>
      <c r="BT9" s="28">
        <v>1</v>
      </c>
      <c r="BU9" s="28">
        <v>1</v>
      </c>
      <c r="BV9" s="28">
        <v>1</v>
      </c>
      <c r="BW9" s="28">
        <v>1</v>
      </c>
      <c r="BX9" s="28">
        <v>1</v>
      </c>
      <c r="BY9" s="28">
        <v>1</v>
      </c>
      <c r="BZ9" s="28">
        <v>1</v>
      </c>
      <c r="CA9" s="28">
        <v>1</v>
      </c>
      <c r="CB9" s="28">
        <v>1</v>
      </c>
      <c r="CC9" s="28">
        <v>1</v>
      </c>
      <c r="CD9" s="28">
        <v>1</v>
      </c>
    </row>
    <row r="10" spans="1:82" x14ac:dyDescent="0.45">
      <c r="A10" t="s">
        <v>94</v>
      </c>
      <c r="C10" s="28">
        <v>1</v>
      </c>
      <c r="D10" s="28">
        <v>1</v>
      </c>
      <c r="E10" s="28">
        <v>1</v>
      </c>
      <c r="F10" s="28">
        <v>1</v>
      </c>
      <c r="G10" s="28">
        <v>1</v>
      </c>
      <c r="H10" s="28">
        <v>1</v>
      </c>
      <c r="I10" s="28">
        <v>1</v>
      </c>
      <c r="J10" s="28">
        <v>1</v>
      </c>
      <c r="K10" s="28">
        <v>1</v>
      </c>
      <c r="L10" s="28">
        <v>1</v>
      </c>
      <c r="M10" s="28">
        <v>1</v>
      </c>
      <c r="N10" s="28">
        <v>1</v>
      </c>
      <c r="O10" s="28">
        <v>1</v>
      </c>
      <c r="P10" s="28">
        <v>1</v>
      </c>
      <c r="Q10" s="28">
        <v>1</v>
      </c>
      <c r="R10" s="28">
        <v>1</v>
      </c>
      <c r="S10" s="28">
        <v>1</v>
      </c>
      <c r="T10" s="28">
        <v>1</v>
      </c>
      <c r="U10" s="28">
        <v>1</v>
      </c>
      <c r="V10" s="28">
        <v>1</v>
      </c>
      <c r="W10" s="28">
        <v>1</v>
      </c>
      <c r="X10" s="28">
        <v>1</v>
      </c>
      <c r="Y10" s="28">
        <v>1</v>
      </c>
      <c r="Z10" s="28">
        <v>1</v>
      </c>
      <c r="AA10" s="28">
        <v>1</v>
      </c>
      <c r="AB10" s="28">
        <v>1</v>
      </c>
      <c r="AC10" s="28">
        <v>1</v>
      </c>
      <c r="AD10" s="28">
        <v>1</v>
      </c>
      <c r="AE10" s="28">
        <v>1</v>
      </c>
      <c r="AF10" s="28">
        <v>1</v>
      </c>
      <c r="AG10" s="28">
        <v>1</v>
      </c>
      <c r="AH10" s="28">
        <v>1</v>
      </c>
      <c r="AI10" s="28">
        <v>1</v>
      </c>
      <c r="AJ10" s="28">
        <v>1</v>
      </c>
      <c r="AK10" s="28">
        <v>1</v>
      </c>
      <c r="AL10" s="28">
        <v>1</v>
      </c>
      <c r="AM10" s="28">
        <v>1</v>
      </c>
      <c r="AN10" s="28">
        <v>1</v>
      </c>
      <c r="AO10" s="28">
        <v>1</v>
      </c>
      <c r="AP10" s="28">
        <v>1</v>
      </c>
      <c r="AQ10" s="28">
        <v>1</v>
      </c>
      <c r="AR10" s="28">
        <v>1</v>
      </c>
      <c r="AS10" s="28">
        <v>1</v>
      </c>
      <c r="AT10" s="28">
        <v>1</v>
      </c>
      <c r="AU10" s="28">
        <v>1</v>
      </c>
      <c r="AV10" s="28">
        <v>1</v>
      </c>
      <c r="AW10" s="28">
        <v>1</v>
      </c>
      <c r="AX10" s="28">
        <v>1</v>
      </c>
      <c r="AY10" s="28">
        <v>1</v>
      </c>
      <c r="AZ10" s="28">
        <v>1</v>
      </c>
      <c r="BA10" s="28">
        <v>1</v>
      </c>
      <c r="BB10" s="28">
        <v>1</v>
      </c>
      <c r="BC10" s="28">
        <v>1</v>
      </c>
      <c r="BD10" s="28">
        <v>1</v>
      </c>
      <c r="BE10" s="28">
        <v>1</v>
      </c>
      <c r="BF10" s="28">
        <v>1</v>
      </c>
      <c r="BG10" s="28">
        <v>1</v>
      </c>
      <c r="BH10" s="28">
        <v>1</v>
      </c>
      <c r="BI10" s="28">
        <v>1</v>
      </c>
      <c r="BJ10" s="28">
        <v>1</v>
      </c>
      <c r="BK10" s="28">
        <v>1</v>
      </c>
      <c r="BL10" s="28">
        <v>1</v>
      </c>
      <c r="BM10" s="28">
        <v>1</v>
      </c>
      <c r="BN10" s="28">
        <v>1</v>
      </c>
      <c r="BO10" s="28">
        <v>1</v>
      </c>
      <c r="BP10" s="28">
        <v>1</v>
      </c>
      <c r="BQ10" s="28">
        <v>1</v>
      </c>
      <c r="BR10" s="28">
        <v>1</v>
      </c>
      <c r="BS10" s="28">
        <v>1</v>
      </c>
      <c r="BT10" s="28">
        <v>1</v>
      </c>
      <c r="BU10" s="28">
        <v>1</v>
      </c>
      <c r="BV10" s="28">
        <v>1</v>
      </c>
      <c r="BW10" s="28">
        <v>1</v>
      </c>
      <c r="BX10" s="28">
        <v>1</v>
      </c>
      <c r="BY10" s="28">
        <v>1</v>
      </c>
      <c r="BZ10" s="28">
        <v>1</v>
      </c>
      <c r="CA10" s="28">
        <v>1</v>
      </c>
      <c r="CB10" s="28">
        <v>1</v>
      </c>
      <c r="CC10" s="28">
        <v>1</v>
      </c>
      <c r="CD10" s="28">
        <v>1</v>
      </c>
    </row>
    <row r="11" spans="1:82" x14ac:dyDescent="0.45">
      <c r="A11" t="s">
        <v>72</v>
      </c>
      <c r="C11" s="28">
        <v>1</v>
      </c>
      <c r="D11" s="28">
        <v>1</v>
      </c>
      <c r="E11" s="28">
        <v>1</v>
      </c>
      <c r="F11" s="28">
        <v>1</v>
      </c>
      <c r="G11" s="28">
        <v>1</v>
      </c>
      <c r="H11" s="28">
        <v>1</v>
      </c>
      <c r="I11" s="28">
        <v>1</v>
      </c>
      <c r="J11" s="28">
        <v>1</v>
      </c>
      <c r="K11" s="28">
        <v>1</v>
      </c>
      <c r="L11" s="28">
        <v>1</v>
      </c>
      <c r="M11" s="28">
        <v>1</v>
      </c>
      <c r="N11" s="28">
        <v>1</v>
      </c>
      <c r="O11" s="28">
        <v>1</v>
      </c>
      <c r="P11" s="28">
        <v>1</v>
      </c>
      <c r="Q11" s="28">
        <v>1</v>
      </c>
      <c r="R11" s="28">
        <v>1</v>
      </c>
      <c r="S11" s="28">
        <v>1</v>
      </c>
      <c r="T11" s="28">
        <v>1</v>
      </c>
      <c r="U11" s="28">
        <v>1</v>
      </c>
      <c r="V11" s="28">
        <v>1</v>
      </c>
      <c r="W11" s="28">
        <v>1</v>
      </c>
      <c r="X11" s="28">
        <v>1</v>
      </c>
      <c r="Y11" s="28">
        <v>1</v>
      </c>
      <c r="Z11" s="28">
        <v>1</v>
      </c>
      <c r="AA11" s="28">
        <v>1</v>
      </c>
      <c r="AB11" s="28">
        <v>1</v>
      </c>
      <c r="AC11" s="28">
        <v>1</v>
      </c>
      <c r="AD11" s="28">
        <v>1</v>
      </c>
      <c r="AE11" s="28">
        <v>1</v>
      </c>
      <c r="AF11" s="28">
        <v>1</v>
      </c>
      <c r="AG11" s="28">
        <v>1</v>
      </c>
      <c r="AH11" s="28">
        <v>1</v>
      </c>
      <c r="AI11" s="28">
        <v>1</v>
      </c>
      <c r="AJ11" s="28">
        <v>1</v>
      </c>
      <c r="AK11" s="28">
        <v>1</v>
      </c>
      <c r="AL11" s="28">
        <v>1</v>
      </c>
      <c r="AM11" s="28">
        <v>1</v>
      </c>
      <c r="AN11" s="28">
        <v>1</v>
      </c>
      <c r="AO11" s="28">
        <v>1</v>
      </c>
      <c r="AP11" s="28">
        <v>1</v>
      </c>
      <c r="AQ11" s="28">
        <v>1</v>
      </c>
      <c r="AR11" s="28">
        <v>1</v>
      </c>
      <c r="AS11" s="28">
        <v>1</v>
      </c>
      <c r="AT11" s="28">
        <v>1</v>
      </c>
      <c r="AU11" s="28">
        <v>1</v>
      </c>
      <c r="AV11" s="28">
        <v>1</v>
      </c>
      <c r="AW11" s="28">
        <v>1</v>
      </c>
      <c r="AX11" s="28">
        <v>1</v>
      </c>
      <c r="AY11" s="28">
        <v>1</v>
      </c>
      <c r="AZ11" s="28">
        <v>1</v>
      </c>
      <c r="BA11" s="28">
        <v>1</v>
      </c>
      <c r="BB11" s="28">
        <v>1</v>
      </c>
      <c r="BC11" s="28">
        <v>1</v>
      </c>
      <c r="BD11" s="28">
        <v>1</v>
      </c>
      <c r="BE11" s="28">
        <v>1</v>
      </c>
      <c r="BF11" s="28">
        <v>1</v>
      </c>
      <c r="BG11" s="28">
        <v>1</v>
      </c>
      <c r="BH11" s="28">
        <v>1</v>
      </c>
      <c r="BI11" s="28">
        <v>1</v>
      </c>
      <c r="BJ11" s="28">
        <v>1</v>
      </c>
      <c r="BK11" s="28">
        <v>1</v>
      </c>
      <c r="BL11" s="28">
        <v>1</v>
      </c>
      <c r="BM11" s="28">
        <v>1</v>
      </c>
      <c r="BN11" s="28">
        <v>1</v>
      </c>
      <c r="BO11" s="28">
        <v>1</v>
      </c>
      <c r="BP11" s="28">
        <v>1</v>
      </c>
      <c r="BQ11" s="28">
        <v>1</v>
      </c>
      <c r="BR11" s="28">
        <v>1</v>
      </c>
      <c r="BS11" s="28">
        <v>1</v>
      </c>
      <c r="BT11" s="28">
        <v>1</v>
      </c>
      <c r="BU11" s="28">
        <v>1</v>
      </c>
      <c r="BV11" s="28">
        <v>1</v>
      </c>
      <c r="BW11" s="28">
        <v>1</v>
      </c>
      <c r="BX11" s="28">
        <v>1</v>
      </c>
      <c r="BY11" s="28">
        <v>1</v>
      </c>
      <c r="BZ11" s="28">
        <v>1</v>
      </c>
      <c r="CA11" s="28">
        <v>1</v>
      </c>
      <c r="CB11" s="28">
        <v>1</v>
      </c>
      <c r="CC11" s="28">
        <v>1</v>
      </c>
      <c r="CD11" s="28">
        <v>1</v>
      </c>
    </row>
    <row r="12" spans="1:82" x14ac:dyDescent="0.45">
      <c r="A12" t="s">
        <v>73</v>
      </c>
      <c r="C12" s="28">
        <v>1</v>
      </c>
      <c r="D12" s="28">
        <v>1</v>
      </c>
      <c r="E12" s="28">
        <v>1</v>
      </c>
      <c r="F12" s="28">
        <v>1</v>
      </c>
      <c r="G12" s="28">
        <v>1</v>
      </c>
      <c r="H12" s="28">
        <v>1</v>
      </c>
      <c r="I12" s="28">
        <v>1</v>
      </c>
      <c r="J12" s="28">
        <v>1</v>
      </c>
      <c r="K12" s="28">
        <v>1</v>
      </c>
      <c r="L12" s="28">
        <v>1</v>
      </c>
      <c r="M12" s="28">
        <v>1</v>
      </c>
      <c r="N12" s="28">
        <v>1</v>
      </c>
      <c r="O12" s="28">
        <v>1</v>
      </c>
      <c r="P12" s="28">
        <v>1</v>
      </c>
      <c r="Q12" s="28">
        <v>1</v>
      </c>
      <c r="R12" s="28">
        <v>1</v>
      </c>
      <c r="S12" s="28">
        <v>1</v>
      </c>
      <c r="T12" s="28">
        <v>1</v>
      </c>
      <c r="U12" s="28">
        <v>1</v>
      </c>
      <c r="V12" s="28">
        <v>1</v>
      </c>
      <c r="W12" s="28">
        <v>1</v>
      </c>
      <c r="X12" s="28">
        <v>1</v>
      </c>
      <c r="Y12" s="28">
        <v>1</v>
      </c>
      <c r="Z12" s="28">
        <v>1</v>
      </c>
      <c r="AA12" s="28">
        <v>1</v>
      </c>
      <c r="AB12" s="28">
        <v>1</v>
      </c>
      <c r="AC12" s="28">
        <v>1</v>
      </c>
      <c r="AD12" s="28">
        <v>1</v>
      </c>
      <c r="AE12" s="28">
        <v>1</v>
      </c>
      <c r="AF12" s="28">
        <v>1</v>
      </c>
      <c r="AG12" s="28">
        <v>1</v>
      </c>
      <c r="AH12" s="28">
        <v>1</v>
      </c>
      <c r="AI12" s="28">
        <v>1</v>
      </c>
      <c r="AJ12" s="28">
        <v>1</v>
      </c>
      <c r="AK12" s="28">
        <v>1</v>
      </c>
      <c r="AL12" s="28">
        <v>1</v>
      </c>
      <c r="AM12" s="28">
        <v>1</v>
      </c>
      <c r="AN12" s="28">
        <v>1</v>
      </c>
      <c r="AO12" s="28">
        <v>1</v>
      </c>
      <c r="AP12" s="28">
        <v>1</v>
      </c>
      <c r="AQ12" s="28">
        <v>1</v>
      </c>
      <c r="AR12" s="28">
        <v>1</v>
      </c>
      <c r="AS12" s="28">
        <v>1</v>
      </c>
      <c r="AT12" s="28">
        <v>1</v>
      </c>
      <c r="AU12" s="28">
        <v>1</v>
      </c>
      <c r="AV12" s="28">
        <v>1</v>
      </c>
      <c r="AW12" s="28">
        <v>1</v>
      </c>
      <c r="AX12" s="28">
        <v>1</v>
      </c>
      <c r="AY12" s="28">
        <v>1</v>
      </c>
      <c r="AZ12" s="28">
        <v>1</v>
      </c>
      <c r="BA12" s="28">
        <v>1</v>
      </c>
      <c r="BB12" s="28">
        <v>1</v>
      </c>
      <c r="BC12" s="28">
        <v>1</v>
      </c>
      <c r="BD12" s="28">
        <v>1</v>
      </c>
      <c r="BE12" s="28">
        <v>1</v>
      </c>
      <c r="BF12" s="28">
        <v>1</v>
      </c>
      <c r="BG12" s="28">
        <v>1</v>
      </c>
      <c r="BH12" s="28">
        <v>1</v>
      </c>
      <c r="BI12" s="28">
        <v>1</v>
      </c>
      <c r="BJ12" s="28">
        <v>1</v>
      </c>
      <c r="BK12" s="28">
        <v>1</v>
      </c>
      <c r="BL12" s="28">
        <v>1</v>
      </c>
      <c r="BM12" s="28">
        <v>1</v>
      </c>
      <c r="BN12" s="28">
        <v>1</v>
      </c>
      <c r="BO12" s="28">
        <v>1</v>
      </c>
      <c r="BP12" s="28">
        <v>1</v>
      </c>
      <c r="BQ12" s="28">
        <v>1</v>
      </c>
      <c r="BR12" s="28">
        <v>1</v>
      </c>
      <c r="BS12" s="28">
        <v>1</v>
      </c>
      <c r="BT12" s="28">
        <v>1</v>
      </c>
      <c r="BU12" s="28">
        <v>1</v>
      </c>
      <c r="BV12" s="28">
        <v>1</v>
      </c>
      <c r="BW12" s="28">
        <v>1</v>
      </c>
      <c r="BX12" s="28">
        <v>1</v>
      </c>
      <c r="BY12" s="28">
        <v>1</v>
      </c>
      <c r="BZ12" s="28">
        <v>1</v>
      </c>
      <c r="CA12" s="28">
        <v>1</v>
      </c>
      <c r="CB12" s="28">
        <v>1</v>
      </c>
      <c r="CC12" s="28">
        <v>1</v>
      </c>
      <c r="CD12" s="28">
        <v>1</v>
      </c>
    </row>
    <row r="13" spans="1:82" x14ac:dyDescent="0.45">
      <c r="A13" t="s">
        <v>74</v>
      </c>
      <c r="C13" s="28">
        <v>1</v>
      </c>
      <c r="D13" s="28">
        <v>1</v>
      </c>
      <c r="E13" s="28">
        <v>1</v>
      </c>
      <c r="F13" s="28">
        <v>1</v>
      </c>
      <c r="G13" s="28">
        <v>1</v>
      </c>
      <c r="H13" s="28">
        <v>1</v>
      </c>
      <c r="I13" s="28">
        <v>1</v>
      </c>
      <c r="J13" s="28">
        <v>1</v>
      </c>
      <c r="K13" s="28">
        <v>1</v>
      </c>
      <c r="L13" s="28">
        <v>1</v>
      </c>
      <c r="M13" s="28">
        <v>1</v>
      </c>
      <c r="N13" s="28">
        <v>1</v>
      </c>
      <c r="O13" s="28">
        <v>1</v>
      </c>
      <c r="P13" s="28">
        <v>1</v>
      </c>
      <c r="Q13" s="28">
        <v>1</v>
      </c>
      <c r="R13" s="28">
        <v>1</v>
      </c>
      <c r="S13" s="28">
        <v>1</v>
      </c>
      <c r="T13" s="28">
        <v>1</v>
      </c>
      <c r="U13" s="28">
        <v>1</v>
      </c>
      <c r="V13" s="28">
        <v>1</v>
      </c>
      <c r="W13" s="28">
        <v>1</v>
      </c>
      <c r="X13" s="28">
        <v>1</v>
      </c>
      <c r="Y13" s="28">
        <v>1</v>
      </c>
      <c r="Z13" s="28">
        <v>1</v>
      </c>
      <c r="AA13" s="28">
        <v>1</v>
      </c>
      <c r="AB13" s="28">
        <v>1</v>
      </c>
      <c r="AC13" s="28">
        <v>1</v>
      </c>
      <c r="AD13" s="28">
        <v>1</v>
      </c>
      <c r="AE13" s="28">
        <v>1</v>
      </c>
      <c r="AF13" s="28">
        <v>1</v>
      </c>
      <c r="AG13" s="28">
        <v>1</v>
      </c>
      <c r="AH13" s="28">
        <v>1</v>
      </c>
      <c r="AI13" s="28">
        <v>1</v>
      </c>
      <c r="AJ13" s="28">
        <v>1</v>
      </c>
      <c r="AK13" s="28">
        <v>1</v>
      </c>
      <c r="AL13" s="28">
        <v>1</v>
      </c>
      <c r="AM13" s="28">
        <v>1</v>
      </c>
      <c r="AN13" s="28">
        <v>1</v>
      </c>
      <c r="AO13" s="28">
        <v>1</v>
      </c>
      <c r="AP13" s="28">
        <v>1</v>
      </c>
      <c r="AQ13" s="28">
        <v>1</v>
      </c>
      <c r="AR13" s="28">
        <v>1</v>
      </c>
      <c r="AS13" s="28">
        <v>1</v>
      </c>
      <c r="AT13" s="28">
        <v>1</v>
      </c>
      <c r="AU13" s="28">
        <v>1</v>
      </c>
      <c r="AV13" s="28">
        <v>1</v>
      </c>
      <c r="AW13" s="28">
        <v>1</v>
      </c>
      <c r="AX13" s="28">
        <v>1</v>
      </c>
      <c r="AY13" s="28">
        <v>1</v>
      </c>
      <c r="AZ13" s="28">
        <v>1</v>
      </c>
      <c r="BA13" s="28">
        <v>1</v>
      </c>
      <c r="BB13" s="28">
        <v>1</v>
      </c>
      <c r="BC13" s="28">
        <v>1</v>
      </c>
      <c r="BD13" s="28">
        <v>1</v>
      </c>
      <c r="BE13" s="28">
        <v>1</v>
      </c>
      <c r="BF13" s="28">
        <v>1</v>
      </c>
      <c r="BG13" s="28">
        <v>1</v>
      </c>
      <c r="BH13" s="28">
        <v>1</v>
      </c>
      <c r="BI13" s="28">
        <v>1</v>
      </c>
      <c r="BJ13" s="28">
        <v>1</v>
      </c>
      <c r="BK13" s="28">
        <v>1</v>
      </c>
      <c r="BL13" s="28">
        <v>1</v>
      </c>
      <c r="BM13" s="28">
        <v>1</v>
      </c>
      <c r="BN13" s="28">
        <v>1</v>
      </c>
      <c r="BO13" s="28">
        <v>1</v>
      </c>
      <c r="BP13" s="28">
        <v>1</v>
      </c>
      <c r="BQ13" s="28">
        <v>1</v>
      </c>
      <c r="BR13" s="28">
        <v>1</v>
      </c>
      <c r="BS13" s="28">
        <v>1</v>
      </c>
      <c r="BT13" s="28">
        <v>1</v>
      </c>
      <c r="BU13" s="28">
        <v>1</v>
      </c>
      <c r="BV13" s="28">
        <v>1</v>
      </c>
      <c r="BW13" s="28">
        <v>1</v>
      </c>
      <c r="BX13" s="28">
        <v>1</v>
      </c>
      <c r="BY13" s="28">
        <v>1</v>
      </c>
      <c r="BZ13" s="28">
        <v>1</v>
      </c>
      <c r="CA13" s="28">
        <v>1</v>
      </c>
      <c r="CB13" s="28">
        <v>1</v>
      </c>
      <c r="CC13" s="28">
        <v>1</v>
      </c>
      <c r="CD13" s="28">
        <v>1</v>
      </c>
    </row>
    <row r="14" spans="1:82" x14ac:dyDescent="0.45">
      <c r="A14" t="s">
        <v>75</v>
      </c>
      <c r="C14" s="28">
        <v>1</v>
      </c>
      <c r="D14" s="28">
        <v>1</v>
      </c>
      <c r="E14" s="28">
        <v>1</v>
      </c>
      <c r="F14" s="28">
        <v>1</v>
      </c>
      <c r="G14" s="28">
        <v>1</v>
      </c>
      <c r="H14" s="28">
        <v>1</v>
      </c>
      <c r="I14" s="28">
        <v>1</v>
      </c>
      <c r="J14" s="28">
        <v>1</v>
      </c>
      <c r="K14" s="28">
        <v>1</v>
      </c>
      <c r="L14" s="28">
        <v>1</v>
      </c>
      <c r="M14" s="28">
        <v>1</v>
      </c>
      <c r="N14" s="28">
        <v>1</v>
      </c>
      <c r="O14" s="28">
        <v>1</v>
      </c>
      <c r="P14" s="28">
        <v>1</v>
      </c>
      <c r="Q14" s="28">
        <v>1</v>
      </c>
      <c r="R14" s="28">
        <v>1</v>
      </c>
      <c r="S14" s="28">
        <v>1</v>
      </c>
      <c r="T14" s="28">
        <v>1</v>
      </c>
      <c r="U14" s="28">
        <v>1</v>
      </c>
      <c r="V14" s="28">
        <v>1</v>
      </c>
      <c r="W14" s="28">
        <v>1</v>
      </c>
      <c r="X14" s="28">
        <v>1</v>
      </c>
      <c r="Y14" s="28">
        <v>1</v>
      </c>
      <c r="Z14" s="28">
        <v>1</v>
      </c>
      <c r="AA14" s="28">
        <v>1</v>
      </c>
      <c r="AB14" s="28">
        <v>1</v>
      </c>
      <c r="AC14" s="28">
        <v>1</v>
      </c>
      <c r="AD14" s="28">
        <v>1</v>
      </c>
      <c r="AE14" s="28">
        <v>1</v>
      </c>
      <c r="AF14" s="28">
        <v>1</v>
      </c>
      <c r="AG14" s="28">
        <v>1</v>
      </c>
      <c r="AH14" s="28">
        <v>1</v>
      </c>
      <c r="AI14" s="28">
        <v>1</v>
      </c>
      <c r="AJ14" s="28">
        <v>1</v>
      </c>
      <c r="AK14" s="28">
        <v>1</v>
      </c>
      <c r="AL14" s="28">
        <v>1</v>
      </c>
      <c r="AM14" s="28">
        <v>1</v>
      </c>
      <c r="AN14" s="28">
        <v>1</v>
      </c>
      <c r="AO14" s="28">
        <v>1</v>
      </c>
      <c r="AP14" s="28">
        <v>1</v>
      </c>
      <c r="AQ14" s="28">
        <v>1</v>
      </c>
      <c r="AR14" s="28">
        <v>1</v>
      </c>
      <c r="AS14" s="28">
        <v>1</v>
      </c>
      <c r="AT14" s="28">
        <v>1</v>
      </c>
      <c r="AU14" s="28">
        <v>1</v>
      </c>
      <c r="AV14" s="28">
        <v>1</v>
      </c>
      <c r="AW14" s="28">
        <v>1</v>
      </c>
      <c r="AX14" s="28">
        <v>1</v>
      </c>
      <c r="AY14" s="28">
        <v>1</v>
      </c>
      <c r="AZ14" s="28">
        <v>1</v>
      </c>
      <c r="BA14" s="28">
        <v>1</v>
      </c>
      <c r="BB14" s="28">
        <v>1</v>
      </c>
      <c r="BC14" s="28">
        <v>1</v>
      </c>
      <c r="BD14" s="28">
        <v>1</v>
      </c>
      <c r="BE14" s="28">
        <v>1</v>
      </c>
      <c r="BF14" s="28">
        <v>1</v>
      </c>
      <c r="BG14" s="28">
        <v>1</v>
      </c>
      <c r="BH14" s="28">
        <v>1</v>
      </c>
      <c r="BI14" s="28">
        <v>1</v>
      </c>
      <c r="BJ14" s="28">
        <v>1</v>
      </c>
      <c r="BK14" s="28">
        <v>1</v>
      </c>
      <c r="BL14" s="28">
        <v>1</v>
      </c>
      <c r="BM14" s="28">
        <v>1</v>
      </c>
      <c r="BN14" s="28">
        <v>1</v>
      </c>
      <c r="BO14" s="28">
        <v>1</v>
      </c>
      <c r="BP14" s="28">
        <v>1</v>
      </c>
      <c r="BQ14" s="28">
        <v>1</v>
      </c>
      <c r="BR14" s="28">
        <v>1</v>
      </c>
      <c r="BS14" s="28">
        <v>1</v>
      </c>
      <c r="BT14" s="28">
        <v>1</v>
      </c>
      <c r="BU14" s="28">
        <v>1</v>
      </c>
      <c r="BV14" s="28">
        <v>1</v>
      </c>
      <c r="BW14" s="28">
        <v>1</v>
      </c>
      <c r="BX14" s="28">
        <v>1</v>
      </c>
      <c r="BY14" s="28">
        <v>1</v>
      </c>
      <c r="BZ14" s="28">
        <v>1</v>
      </c>
      <c r="CA14" s="28">
        <v>1</v>
      </c>
      <c r="CB14" s="28">
        <v>1</v>
      </c>
      <c r="CC14" s="28">
        <v>1</v>
      </c>
      <c r="CD14" s="28">
        <v>1</v>
      </c>
    </row>
    <row r="15" spans="1:82" x14ac:dyDescent="0.45">
      <c r="A15" t="s">
        <v>76</v>
      </c>
      <c r="C15" s="28">
        <v>1</v>
      </c>
      <c r="D15" s="28">
        <v>1</v>
      </c>
      <c r="E15" s="28">
        <v>1</v>
      </c>
      <c r="F15" s="28">
        <v>1</v>
      </c>
      <c r="G15" s="28">
        <v>1</v>
      </c>
      <c r="H15" s="28">
        <v>1</v>
      </c>
      <c r="I15" s="28">
        <v>1</v>
      </c>
      <c r="J15" s="28">
        <v>1</v>
      </c>
      <c r="K15" s="28">
        <v>1</v>
      </c>
      <c r="L15" s="28">
        <v>1</v>
      </c>
      <c r="M15" s="28">
        <v>1</v>
      </c>
      <c r="N15" s="28">
        <v>1</v>
      </c>
      <c r="O15" s="28">
        <v>1</v>
      </c>
      <c r="P15" s="28">
        <v>1</v>
      </c>
      <c r="Q15" s="28">
        <v>1</v>
      </c>
      <c r="R15" s="28">
        <v>1</v>
      </c>
      <c r="S15" s="28">
        <v>1</v>
      </c>
      <c r="T15" s="28">
        <v>1</v>
      </c>
      <c r="U15" s="28">
        <v>1</v>
      </c>
      <c r="V15" s="28">
        <v>1</v>
      </c>
      <c r="W15" s="28">
        <v>1</v>
      </c>
      <c r="X15" s="28">
        <v>1</v>
      </c>
      <c r="Y15" s="28">
        <v>1</v>
      </c>
      <c r="Z15" s="28">
        <v>1</v>
      </c>
      <c r="AA15" s="28">
        <v>1</v>
      </c>
      <c r="AB15" s="28">
        <v>1</v>
      </c>
      <c r="AC15" s="28">
        <v>1</v>
      </c>
      <c r="AD15" s="28">
        <v>1</v>
      </c>
      <c r="AE15" s="28">
        <v>1</v>
      </c>
      <c r="AF15" s="28">
        <v>1</v>
      </c>
      <c r="AG15" s="28">
        <v>1</v>
      </c>
      <c r="AH15" s="28">
        <v>1</v>
      </c>
      <c r="AI15" s="28">
        <v>1</v>
      </c>
      <c r="AJ15" s="28">
        <v>1</v>
      </c>
      <c r="AK15" s="28">
        <v>1</v>
      </c>
      <c r="AL15" s="28">
        <v>1</v>
      </c>
      <c r="AM15" s="28">
        <v>1</v>
      </c>
      <c r="AN15" s="28">
        <v>1</v>
      </c>
      <c r="AO15" s="28">
        <v>1</v>
      </c>
      <c r="AP15" s="28">
        <v>1</v>
      </c>
      <c r="AQ15" s="28">
        <v>1</v>
      </c>
      <c r="AR15" s="28">
        <v>1</v>
      </c>
      <c r="AS15" s="28">
        <v>1</v>
      </c>
      <c r="AT15" s="28">
        <v>1</v>
      </c>
      <c r="AU15" s="28">
        <v>1</v>
      </c>
      <c r="AV15" s="28">
        <v>1</v>
      </c>
      <c r="AW15" s="28">
        <v>1</v>
      </c>
      <c r="AX15" s="28">
        <v>1</v>
      </c>
      <c r="AY15" s="28">
        <v>1</v>
      </c>
      <c r="AZ15" s="28">
        <v>1</v>
      </c>
      <c r="BA15" s="28">
        <v>1</v>
      </c>
      <c r="BB15" s="28">
        <v>1</v>
      </c>
      <c r="BC15" s="28">
        <v>1</v>
      </c>
      <c r="BD15" s="28">
        <v>1</v>
      </c>
      <c r="BE15" s="28">
        <v>1</v>
      </c>
      <c r="BF15" s="28">
        <v>1</v>
      </c>
      <c r="BG15" s="28">
        <v>1</v>
      </c>
      <c r="BH15" s="28">
        <v>1</v>
      </c>
      <c r="BI15" s="28">
        <v>1</v>
      </c>
      <c r="BJ15" s="28">
        <v>1</v>
      </c>
      <c r="BK15" s="28">
        <v>1</v>
      </c>
      <c r="BL15" s="28">
        <v>1</v>
      </c>
      <c r="BM15" s="28">
        <v>1</v>
      </c>
      <c r="BN15" s="28">
        <v>1</v>
      </c>
      <c r="BO15" s="28">
        <v>1</v>
      </c>
      <c r="BP15" s="28">
        <v>1</v>
      </c>
      <c r="BQ15" s="28">
        <v>1</v>
      </c>
      <c r="BR15" s="28">
        <v>1</v>
      </c>
      <c r="BS15" s="28">
        <v>1</v>
      </c>
      <c r="BT15" s="28">
        <v>1</v>
      </c>
      <c r="BU15" s="28">
        <v>1</v>
      </c>
      <c r="BV15" s="28">
        <v>1</v>
      </c>
      <c r="BW15" s="28">
        <v>1</v>
      </c>
      <c r="BX15" s="28">
        <v>1</v>
      </c>
      <c r="BY15" s="28">
        <v>1</v>
      </c>
      <c r="BZ15" s="28">
        <v>1</v>
      </c>
      <c r="CA15" s="28">
        <v>1</v>
      </c>
      <c r="CB15" s="28">
        <v>1</v>
      </c>
      <c r="CC15" s="28">
        <v>1</v>
      </c>
      <c r="CD15" s="28">
        <v>1</v>
      </c>
    </row>
    <row r="16" spans="1:82" x14ac:dyDescent="0.45">
      <c r="A16" t="s">
        <v>77</v>
      </c>
      <c r="C16" s="28">
        <v>1</v>
      </c>
      <c r="D16" s="28">
        <v>1</v>
      </c>
      <c r="E16" s="28">
        <v>1</v>
      </c>
      <c r="F16" s="28">
        <v>1</v>
      </c>
      <c r="G16" s="28">
        <v>1</v>
      </c>
      <c r="H16" s="28">
        <v>1</v>
      </c>
      <c r="I16" s="28">
        <v>1</v>
      </c>
      <c r="J16" s="28">
        <v>1</v>
      </c>
      <c r="K16" s="28">
        <v>1</v>
      </c>
      <c r="L16" s="28">
        <v>1</v>
      </c>
      <c r="M16" s="28">
        <v>1</v>
      </c>
      <c r="N16" s="28">
        <v>1</v>
      </c>
      <c r="O16" s="28">
        <v>1</v>
      </c>
      <c r="P16" s="28">
        <v>1</v>
      </c>
      <c r="Q16" s="28">
        <v>1</v>
      </c>
      <c r="R16" s="28">
        <v>1</v>
      </c>
      <c r="S16" s="28">
        <v>1</v>
      </c>
      <c r="T16" s="28">
        <v>1</v>
      </c>
      <c r="U16" s="28">
        <v>1</v>
      </c>
      <c r="V16" s="28">
        <v>1</v>
      </c>
      <c r="W16" s="28">
        <v>1</v>
      </c>
      <c r="X16" s="28">
        <v>1</v>
      </c>
      <c r="Y16" s="28">
        <v>1</v>
      </c>
      <c r="Z16" s="28">
        <v>1</v>
      </c>
      <c r="AA16" s="28">
        <v>1</v>
      </c>
      <c r="AB16" s="28">
        <v>1</v>
      </c>
      <c r="AC16" s="28">
        <v>1</v>
      </c>
      <c r="AD16" s="28">
        <v>1</v>
      </c>
      <c r="AE16" s="28">
        <v>1</v>
      </c>
      <c r="AF16" s="28">
        <v>1</v>
      </c>
      <c r="AG16" s="28">
        <v>1</v>
      </c>
      <c r="AH16" s="28">
        <v>1</v>
      </c>
      <c r="AI16" s="28">
        <v>1</v>
      </c>
      <c r="AJ16" s="28">
        <v>1</v>
      </c>
      <c r="AK16" s="28">
        <v>1</v>
      </c>
      <c r="AL16" s="28">
        <v>1</v>
      </c>
      <c r="AM16" s="28">
        <v>1</v>
      </c>
      <c r="AN16" s="28">
        <v>1</v>
      </c>
      <c r="AO16" s="28">
        <v>1</v>
      </c>
      <c r="AP16" s="28">
        <v>1</v>
      </c>
      <c r="AQ16" s="28">
        <v>1</v>
      </c>
      <c r="AR16" s="28">
        <v>1</v>
      </c>
      <c r="AS16" s="28">
        <v>1</v>
      </c>
      <c r="AT16" s="28">
        <v>1</v>
      </c>
      <c r="AU16" s="28">
        <v>1</v>
      </c>
      <c r="AV16" s="28">
        <v>1</v>
      </c>
      <c r="AW16" s="28">
        <v>1</v>
      </c>
      <c r="AX16" s="28">
        <v>1</v>
      </c>
      <c r="AY16" s="28">
        <v>1</v>
      </c>
      <c r="AZ16" s="28">
        <v>1</v>
      </c>
      <c r="BA16" s="28">
        <v>1</v>
      </c>
      <c r="BB16" s="28">
        <v>1</v>
      </c>
      <c r="BC16" s="28">
        <v>1</v>
      </c>
      <c r="BD16" s="28">
        <v>1</v>
      </c>
      <c r="BE16" s="28">
        <v>1</v>
      </c>
      <c r="BF16" s="28">
        <v>1</v>
      </c>
      <c r="BG16" s="28">
        <v>1</v>
      </c>
      <c r="BH16" s="28">
        <v>1</v>
      </c>
      <c r="BI16" s="28">
        <v>1</v>
      </c>
      <c r="BJ16" s="28">
        <v>1</v>
      </c>
      <c r="BK16" s="28">
        <v>1</v>
      </c>
      <c r="BL16" s="28">
        <v>1</v>
      </c>
      <c r="BM16" s="28">
        <v>1</v>
      </c>
      <c r="BN16" s="28">
        <v>1</v>
      </c>
      <c r="BO16" s="28">
        <v>1</v>
      </c>
      <c r="BP16" s="28">
        <v>1</v>
      </c>
      <c r="BQ16" s="28">
        <v>1</v>
      </c>
      <c r="BR16" s="28">
        <v>1</v>
      </c>
      <c r="BS16" s="28">
        <v>1</v>
      </c>
      <c r="BT16" s="28">
        <v>1</v>
      </c>
      <c r="BU16" s="28">
        <v>1</v>
      </c>
      <c r="BV16" s="28">
        <v>1</v>
      </c>
      <c r="BW16" s="28">
        <v>1</v>
      </c>
      <c r="BX16" s="28">
        <v>1</v>
      </c>
      <c r="BY16" s="28">
        <v>1</v>
      </c>
      <c r="BZ16" s="28">
        <v>1</v>
      </c>
      <c r="CA16" s="28">
        <v>1</v>
      </c>
      <c r="CB16" s="28">
        <v>1</v>
      </c>
      <c r="CC16" s="28">
        <v>1</v>
      </c>
      <c r="CD16" s="28">
        <v>1</v>
      </c>
    </row>
    <row r="17" spans="1:82" x14ac:dyDescent="0.45">
      <c r="A17" t="s">
        <v>78</v>
      </c>
      <c r="C17" s="28">
        <v>1</v>
      </c>
      <c r="D17" s="28">
        <v>1</v>
      </c>
      <c r="E17" s="28">
        <v>1</v>
      </c>
      <c r="F17" s="28">
        <v>1</v>
      </c>
      <c r="G17" s="28">
        <v>1</v>
      </c>
      <c r="H17" s="28">
        <v>1</v>
      </c>
      <c r="I17" s="28">
        <v>1</v>
      </c>
      <c r="J17" s="28">
        <v>1</v>
      </c>
      <c r="K17" s="28">
        <v>1</v>
      </c>
      <c r="L17" s="28">
        <v>1</v>
      </c>
      <c r="M17" s="28">
        <v>1</v>
      </c>
      <c r="N17" s="28">
        <v>1</v>
      </c>
      <c r="O17" s="28">
        <v>1</v>
      </c>
      <c r="P17" s="28">
        <v>1</v>
      </c>
      <c r="Q17" s="28">
        <v>1</v>
      </c>
      <c r="R17" s="28">
        <v>1</v>
      </c>
      <c r="S17" s="28">
        <v>1</v>
      </c>
      <c r="T17" s="28">
        <v>1</v>
      </c>
      <c r="U17" s="28">
        <v>1</v>
      </c>
      <c r="V17" s="28">
        <v>1</v>
      </c>
      <c r="W17" s="28">
        <v>1</v>
      </c>
      <c r="X17" s="28">
        <v>1</v>
      </c>
      <c r="Y17" s="28">
        <v>1</v>
      </c>
      <c r="Z17" s="28">
        <v>1</v>
      </c>
      <c r="AA17" s="28">
        <v>1</v>
      </c>
      <c r="AB17" s="28">
        <v>1</v>
      </c>
      <c r="AC17" s="28">
        <v>1</v>
      </c>
      <c r="AD17" s="28">
        <v>1</v>
      </c>
      <c r="AE17" s="28">
        <v>1</v>
      </c>
      <c r="AF17" s="28">
        <v>1</v>
      </c>
      <c r="AG17" s="28">
        <v>1</v>
      </c>
      <c r="AH17" s="28">
        <v>1</v>
      </c>
      <c r="AI17" s="28">
        <v>1</v>
      </c>
      <c r="AJ17" s="28">
        <v>1</v>
      </c>
      <c r="AK17" s="28">
        <v>1</v>
      </c>
      <c r="AL17" s="28">
        <v>1</v>
      </c>
      <c r="AM17" s="28">
        <v>1</v>
      </c>
      <c r="AN17" s="28">
        <v>1</v>
      </c>
      <c r="AO17" s="28">
        <v>1</v>
      </c>
      <c r="AP17" s="28">
        <v>1</v>
      </c>
      <c r="AQ17" s="28">
        <v>1</v>
      </c>
      <c r="AR17" s="28">
        <v>1</v>
      </c>
      <c r="AS17" s="28">
        <v>1</v>
      </c>
      <c r="AT17" s="28">
        <v>1</v>
      </c>
      <c r="AU17" s="28">
        <v>1</v>
      </c>
      <c r="AV17" s="28">
        <v>1</v>
      </c>
      <c r="AW17" s="28">
        <v>1</v>
      </c>
      <c r="AX17" s="28">
        <v>1</v>
      </c>
      <c r="AY17" s="28">
        <v>1</v>
      </c>
      <c r="AZ17" s="28">
        <v>1</v>
      </c>
      <c r="BA17" s="28">
        <v>1</v>
      </c>
      <c r="BB17" s="28">
        <v>1</v>
      </c>
      <c r="BC17" s="28">
        <v>1</v>
      </c>
      <c r="BD17" s="28">
        <v>1</v>
      </c>
      <c r="BE17" s="28">
        <v>1</v>
      </c>
      <c r="BF17" s="28">
        <v>1</v>
      </c>
      <c r="BG17" s="28">
        <v>1</v>
      </c>
      <c r="BH17" s="28">
        <v>1</v>
      </c>
      <c r="BI17" s="28">
        <v>1</v>
      </c>
      <c r="BJ17" s="28">
        <v>1</v>
      </c>
      <c r="BK17" s="28">
        <v>1</v>
      </c>
      <c r="BL17" s="28">
        <v>1</v>
      </c>
      <c r="BM17" s="28">
        <v>1</v>
      </c>
      <c r="BN17" s="28">
        <v>1</v>
      </c>
      <c r="BO17" s="28">
        <v>1</v>
      </c>
      <c r="BP17" s="28">
        <v>1</v>
      </c>
      <c r="BQ17" s="28">
        <v>1</v>
      </c>
      <c r="BR17" s="28">
        <v>1</v>
      </c>
      <c r="BS17" s="28">
        <v>1</v>
      </c>
      <c r="BT17" s="28">
        <v>1</v>
      </c>
      <c r="BU17" s="28">
        <v>1</v>
      </c>
      <c r="BV17" s="28">
        <v>1</v>
      </c>
      <c r="BW17" s="28">
        <v>1</v>
      </c>
      <c r="BX17" s="28">
        <v>1</v>
      </c>
      <c r="BY17" s="28">
        <v>1</v>
      </c>
      <c r="BZ17" s="28">
        <v>1</v>
      </c>
      <c r="CA17" s="28">
        <v>1</v>
      </c>
      <c r="CB17" s="28">
        <v>1</v>
      </c>
      <c r="CC17" s="28">
        <v>1</v>
      </c>
      <c r="CD17" s="28">
        <v>1</v>
      </c>
    </row>
    <row r="18" spans="1:82" x14ac:dyDescent="0.45">
      <c r="A18" s="3" t="s">
        <v>113</v>
      </c>
      <c r="C18" s="29">
        <f>INDEX(C$8:C$17,Cover!$B$20)</f>
        <v>1</v>
      </c>
      <c r="D18" s="29">
        <f>INDEX(D$8:D$17,Cover!$B$20)</f>
        <v>1</v>
      </c>
      <c r="E18" s="29">
        <f>INDEX(E$8:E$17,Cover!$B$20)</f>
        <v>1</v>
      </c>
      <c r="F18" s="29">
        <f>INDEX(F$8:F$17,Cover!$B$20)</f>
        <v>1</v>
      </c>
      <c r="G18" s="29">
        <f>INDEX(G$8:G$17,Cover!$B$20)</f>
        <v>1</v>
      </c>
      <c r="H18" s="29">
        <f>INDEX(H$8:H$17,Cover!$B$20)</f>
        <v>1</v>
      </c>
      <c r="I18" s="29">
        <f>INDEX(I$8:I$17,Cover!$B$20)</f>
        <v>1</v>
      </c>
      <c r="J18" s="29">
        <f>INDEX(J$8:J$17,Cover!$B$20)</f>
        <v>1</v>
      </c>
      <c r="K18" s="29">
        <f>INDEX(K$8:K$17,Cover!$B$20)</f>
        <v>1</v>
      </c>
      <c r="L18" s="29">
        <f>INDEX(L$8:L$17,Cover!$B$20)</f>
        <v>1</v>
      </c>
      <c r="M18" s="29">
        <f>INDEX(M$8:M$17,Cover!$B$20)</f>
        <v>1</v>
      </c>
      <c r="N18" s="29">
        <f>INDEX(N$8:N$17,Cover!$B$20)</f>
        <v>1</v>
      </c>
      <c r="O18" s="29">
        <f>INDEX(O$8:O$17,Cover!$B$20)</f>
        <v>1</v>
      </c>
      <c r="P18" s="29">
        <f>INDEX(P$8:P$17,Cover!$B$20)</f>
        <v>1</v>
      </c>
      <c r="Q18" s="29">
        <f>INDEX(Q$8:Q$17,Cover!$B$20)</f>
        <v>1</v>
      </c>
      <c r="R18" s="29">
        <f>INDEX(R$8:R$17,Cover!$B$20)</f>
        <v>1</v>
      </c>
      <c r="S18" s="29">
        <f>INDEX(S$8:S$17,Cover!$B$20)</f>
        <v>1</v>
      </c>
      <c r="T18" s="29">
        <f>INDEX(T$8:T$17,Cover!$B$20)</f>
        <v>1</v>
      </c>
      <c r="U18" s="29">
        <f>INDEX(U$8:U$17,Cover!$B$20)</f>
        <v>1</v>
      </c>
      <c r="V18" s="29">
        <f>INDEX(V$8:V$17,Cover!$B$20)</f>
        <v>1</v>
      </c>
      <c r="W18" s="29">
        <f>INDEX(W$8:W$17,Cover!$B$20)</f>
        <v>1</v>
      </c>
      <c r="X18" s="29">
        <f>INDEX(X$8:X$17,Cover!$B$20)</f>
        <v>1</v>
      </c>
      <c r="Y18" s="29">
        <f>INDEX(Y$8:Y$17,Cover!$B$20)</f>
        <v>1</v>
      </c>
      <c r="Z18" s="29">
        <f>INDEX(Z$8:Z$17,Cover!$B$20)</f>
        <v>1</v>
      </c>
      <c r="AA18" s="29">
        <f>INDEX(AA$8:AA$17,Cover!$B$20)</f>
        <v>1</v>
      </c>
      <c r="AB18" s="29">
        <f>INDEX(AB$8:AB$17,Cover!$B$20)</f>
        <v>1</v>
      </c>
      <c r="AC18" s="29">
        <f>INDEX(AC$8:AC$17,Cover!$B$20)</f>
        <v>1</v>
      </c>
      <c r="AD18" s="29">
        <f>INDEX(AD$8:AD$17,Cover!$B$20)</f>
        <v>1</v>
      </c>
      <c r="AE18" s="29">
        <f>INDEX(AE$8:AE$17,Cover!$B$20)</f>
        <v>1</v>
      </c>
      <c r="AF18" s="29">
        <f>INDEX(AF$8:AF$17,Cover!$B$20)</f>
        <v>1</v>
      </c>
      <c r="AG18" s="29">
        <f>INDEX(AG$8:AG$17,Cover!$B$20)</f>
        <v>1</v>
      </c>
      <c r="AH18" s="29">
        <f>INDEX(AH$8:AH$17,Cover!$B$20)</f>
        <v>1</v>
      </c>
      <c r="AI18" s="29">
        <f>INDEX(AI$8:AI$17,Cover!$B$20)</f>
        <v>1</v>
      </c>
      <c r="AJ18" s="29">
        <f>INDEX(AJ$8:AJ$17,Cover!$B$20)</f>
        <v>1</v>
      </c>
      <c r="AK18" s="29">
        <f>INDEX(AK$8:AK$17,Cover!$B$20)</f>
        <v>1</v>
      </c>
      <c r="AL18" s="29">
        <f>INDEX(AL$8:AL$17,Cover!$B$20)</f>
        <v>1</v>
      </c>
      <c r="AM18" s="29">
        <f>INDEX(AM$8:AM$17,Cover!$B$20)</f>
        <v>1</v>
      </c>
      <c r="AN18" s="29">
        <f>INDEX(AN$8:AN$17,Cover!$B$20)</f>
        <v>1</v>
      </c>
      <c r="AO18" s="29">
        <f>INDEX(AO$8:AO$17,Cover!$B$20)</f>
        <v>1</v>
      </c>
      <c r="AP18" s="29">
        <f>INDEX(AP$8:AP$17,Cover!$B$20)</f>
        <v>1</v>
      </c>
      <c r="AQ18" s="29">
        <f>INDEX(AQ$8:AQ$17,Cover!$B$20)</f>
        <v>1</v>
      </c>
      <c r="AR18" s="29">
        <f>INDEX(AR$8:AR$17,Cover!$B$20)</f>
        <v>1</v>
      </c>
      <c r="AS18" s="29">
        <f>INDEX(AS$8:AS$17,Cover!$B$20)</f>
        <v>1</v>
      </c>
      <c r="AT18" s="29">
        <f>INDEX(AT$8:AT$17,Cover!$B$20)</f>
        <v>1</v>
      </c>
      <c r="AU18" s="29">
        <f>INDEX(AU$8:AU$17,Cover!$B$20)</f>
        <v>1</v>
      </c>
      <c r="AV18" s="29">
        <f>INDEX(AV$8:AV$17,Cover!$B$20)</f>
        <v>1</v>
      </c>
      <c r="AW18" s="29">
        <f>INDEX(AW$8:AW$17,Cover!$B$20)</f>
        <v>1</v>
      </c>
      <c r="AX18" s="29">
        <f>INDEX(AX$8:AX$17,Cover!$B$20)</f>
        <v>1</v>
      </c>
      <c r="AY18" s="29">
        <f>INDEX(AY$8:AY$17,Cover!$B$20)</f>
        <v>1</v>
      </c>
      <c r="AZ18" s="29">
        <f>INDEX(AZ$8:AZ$17,Cover!$B$20)</f>
        <v>1</v>
      </c>
      <c r="BA18" s="29">
        <f>INDEX(BA$8:BA$17,Cover!$B$20)</f>
        <v>1</v>
      </c>
      <c r="BB18" s="29">
        <f>INDEX(BB$8:BB$17,Cover!$B$20)</f>
        <v>1</v>
      </c>
      <c r="BC18" s="29">
        <f>INDEX(BC$8:BC$17,Cover!$B$20)</f>
        <v>1</v>
      </c>
      <c r="BD18" s="29">
        <f>INDEX(BD$8:BD$17,Cover!$B$20)</f>
        <v>1</v>
      </c>
      <c r="BE18" s="29">
        <f>INDEX(BE$8:BE$17,Cover!$B$20)</f>
        <v>1</v>
      </c>
      <c r="BF18" s="29">
        <f>INDEX(BF$8:BF$17,Cover!$B$20)</f>
        <v>1</v>
      </c>
      <c r="BG18" s="29">
        <f>INDEX(BG$8:BG$17,Cover!$B$20)</f>
        <v>1</v>
      </c>
      <c r="BH18" s="29">
        <f>INDEX(BH$8:BH$17,Cover!$B$20)</f>
        <v>1</v>
      </c>
      <c r="BI18" s="29">
        <f>INDEX(BI$8:BI$17,Cover!$B$20)</f>
        <v>1</v>
      </c>
      <c r="BJ18" s="29">
        <f>INDEX(BJ$8:BJ$17,Cover!$B$20)</f>
        <v>1</v>
      </c>
      <c r="BK18" s="29">
        <f>INDEX(BK$8:BK$17,Cover!$B$20)</f>
        <v>1</v>
      </c>
      <c r="BL18" s="29">
        <f>INDEX(BL$8:BL$17,Cover!$B$20)</f>
        <v>1</v>
      </c>
      <c r="BM18" s="29">
        <f>INDEX(BM$8:BM$17,Cover!$B$20)</f>
        <v>1</v>
      </c>
      <c r="BN18" s="29">
        <f>INDEX(BN$8:BN$17,Cover!$B$20)</f>
        <v>1</v>
      </c>
      <c r="BO18" s="29">
        <f>INDEX(BO$8:BO$17,Cover!$B$20)</f>
        <v>1</v>
      </c>
      <c r="BP18" s="29">
        <f>INDEX(BP$8:BP$17,Cover!$B$20)</f>
        <v>1</v>
      </c>
      <c r="BQ18" s="29">
        <f>INDEX(BQ$8:BQ$17,Cover!$B$20)</f>
        <v>1</v>
      </c>
      <c r="BR18" s="29">
        <f>INDEX(BR$8:BR$17,Cover!$B$20)</f>
        <v>1</v>
      </c>
      <c r="BS18" s="29">
        <f>INDEX(BS$8:BS$17,Cover!$B$20)</f>
        <v>1</v>
      </c>
      <c r="BT18" s="29">
        <f>INDEX(BT$8:BT$17,Cover!$B$20)</f>
        <v>1</v>
      </c>
      <c r="BU18" s="29">
        <f>INDEX(BU$8:BU$17,Cover!$B$20)</f>
        <v>1</v>
      </c>
      <c r="BV18" s="29">
        <f>INDEX(BV$8:BV$17,Cover!$B$20)</f>
        <v>1</v>
      </c>
      <c r="BW18" s="29">
        <f>INDEX(BW$8:BW$17,Cover!$B$20)</f>
        <v>1</v>
      </c>
      <c r="BX18" s="29">
        <f>INDEX(BX$8:BX$17,Cover!$B$20)</f>
        <v>1</v>
      </c>
      <c r="BY18" s="29">
        <f>INDEX(BY$8:BY$17,Cover!$B$20)</f>
        <v>1</v>
      </c>
      <c r="BZ18" s="29">
        <f>INDEX(BZ$8:BZ$17,Cover!$B$20)</f>
        <v>1</v>
      </c>
      <c r="CA18" s="29">
        <f>INDEX(CA$8:CA$17,Cover!$B$20)</f>
        <v>1</v>
      </c>
      <c r="CB18" s="29">
        <f>INDEX(CB$8:CB$17,Cover!$B$20)</f>
        <v>1</v>
      </c>
      <c r="CC18" s="29">
        <f>INDEX(CC$8:CC$17,Cover!$B$20)</f>
        <v>1</v>
      </c>
      <c r="CD18" s="29">
        <f>INDEX(CD$8:CD$17,Cover!$B$20)</f>
        <v>1</v>
      </c>
    </row>
    <row r="20" spans="1:82" x14ac:dyDescent="0.45">
      <c r="A20" s="3" t="s">
        <v>114</v>
      </c>
    </row>
    <row r="21" spans="1:82" x14ac:dyDescent="0.45">
      <c r="A21" t="s">
        <v>92</v>
      </c>
      <c r="C21" s="28">
        <v>1</v>
      </c>
      <c r="D21" s="28">
        <v>1</v>
      </c>
      <c r="E21" s="28">
        <v>1</v>
      </c>
      <c r="F21" s="28">
        <v>1</v>
      </c>
      <c r="G21" s="28">
        <v>1</v>
      </c>
      <c r="H21" s="28">
        <v>1</v>
      </c>
      <c r="I21" s="28">
        <v>1</v>
      </c>
      <c r="J21" s="28">
        <v>1</v>
      </c>
      <c r="K21" s="28">
        <v>1</v>
      </c>
      <c r="L21" s="28">
        <v>1</v>
      </c>
      <c r="M21" s="28">
        <v>1</v>
      </c>
      <c r="N21" s="28">
        <v>1</v>
      </c>
      <c r="O21" s="28">
        <v>1</v>
      </c>
      <c r="P21" s="28">
        <v>1</v>
      </c>
      <c r="Q21" s="28">
        <v>1</v>
      </c>
      <c r="R21" s="28">
        <v>1</v>
      </c>
      <c r="S21" s="28">
        <v>1</v>
      </c>
      <c r="T21" s="28">
        <v>1</v>
      </c>
      <c r="U21" s="28">
        <v>1</v>
      </c>
      <c r="V21" s="28">
        <v>1</v>
      </c>
      <c r="W21" s="28">
        <v>1</v>
      </c>
      <c r="X21" s="28">
        <v>1</v>
      </c>
      <c r="Y21" s="28">
        <v>1</v>
      </c>
      <c r="Z21" s="28">
        <v>1</v>
      </c>
      <c r="AA21" s="28">
        <v>1</v>
      </c>
      <c r="AB21" s="28">
        <v>1</v>
      </c>
      <c r="AC21" s="28">
        <v>1</v>
      </c>
      <c r="AD21" s="28">
        <v>1</v>
      </c>
      <c r="AE21" s="28">
        <v>1</v>
      </c>
      <c r="AF21" s="28">
        <v>1</v>
      </c>
      <c r="AG21" s="28">
        <v>1</v>
      </c>
      <c r="AH21" s="28">
        <v>1</v>
      </c>
      <c r="AI21" s="28">
        <v>1</v>
      </c>
      <c r="AJ21" s="28">
        <v>1</v>
      </c>
      <c r="AK21" s="28">
        <v>1</v>
      </c>
      <c r="AL21" s="28">
        <v>1</v>
      </c>
      <c r="AM21" s="28">
        <v>1</v>
      </c>
      <c r="AN21" s="28">
        <v>1</v>
      </c>
      <c r="AO21" s="28">
        <v>1</v>
      </c>
      <c r="AP21" s="28">
        <v>1</v>
      </c>
      <c r="AQ21" s="28">
        <v>1</v>
      </c>
      <c r="AR21" s="28">
        <v>1</v>
      </c>
      <c r="AS21" s="28">
        <v>1</v>
      </c>
      <c r="AT21" s="28">
        <v>1</v>
      </c>
      <c r="AU21" s="28">
        <v>1</v>
      </c>
      <c r="AV21" s="28">
        <v>1</v>
      </c>
      <c r="AW21" s="28">
        <v>1</v>
      </c>
      <c r="AX21" s="28">
        <v>1</v>
      </c>
      <c r="AY21" s="28">
        <v>1</v>
      </c>
      <c r="AZ21" s="28">
        <v>1</v>
      </c>
      <c r="BA21" s="28">
        <v>1</v>
      </c>
      <c r="BB21" s="28">
        <v>1</v>
      </c>
      <c r="BC21" s="28">
        <v>1</v>
      </c>
      <c r="BD21" s="28">
        <v>1</v>
      </c>
      <c r="BE21" s="28">
        <v>1</v>
      </c>
      <c r="BF21" s="28">
        <v>1</v>
      </c>
      <c r="BG21" s="28">
        <v>1</v>
      </c>
      <c r="BH21" s="28">
        <v>1</v>
      </c>
      <c r="BI21" s="28">
        <v>1</v>
      </c>
      <c r="BJ21" s="28">
        <v>1</v>
      </c>
      <c r="BK21" s="28">
        <v>1</v>
      </c>
      <c r="BL21" s="28">
        <v>1</v>
      </c>
      <c r="BM21" s="28">
        <v>1</v>
      </c>
      <c r="BN21" s="28">
        <v>1</v>
      </c>
      <c r="BO21" s="28">
        <v>1</v>
      </c>
      <c r="BP21" s="28">
        <v>1</v>
      </c>
      <c r="BQ21" s="28">
        <v>1</v>
      </c>
      <c r="BR21" s="28">
        <v>1</v>
      </c>
      <c r="BS21" s="28">
        <v>1</v>
      </c>
      <c r="BT21" s="28">
        <v>1</v>
      </c>
      <c r="BU21" s="28">
        <v>1</v>
      </c>
      <c r="BV21" s="28">
        <v>1</v>
      </c>
      <c r="BW21" s="28">
        <v>1</v>
      </c>
      <c r="BX21" s="28">
        <v>1</v>
      </c>
      <c r="BY21" s="28">
        <v>1</v>
      </c>
      <c r="BZ21" s="28">
        <v>1</v>
      </c>
      <c r="CA21" s="28">
        <v>1</v>
      </c>
      <c r="CB21" s="28">
        <v>1</v>
      </c>
      <c r="CC21" s="28">
        <v>1</v>
      </c>
      <c r="CD21" s="28">
        <v>1</v>
      </c>
    </row>
    <row r="22" spans="1:82" x14ac:dyDescent="0.45">
      <c r="A22" t="s">
        <v>93</v>
      </c>
      <c r="C22" s="28">
        <v>1</v>
      </c>
      <c r="D22" s="28">
        <v>1</v>
      </c>
      <c r="E22" s="28">
        <v>1</v>
      </c>
      <c r="F22" s="28">
        <v>1</v>
      </c>
      <c r="G22" s="28">
        <v>1</v>
      </c>
      <c r="H22" s="28">
        <v>1</v>
      </c>
      <c r="I22" s="28">
        <v>1</v>
      </c>
      <c r="J22" s="28">
        <v>1</v>
      </c>
      <c r="K22" s="28">
        <v>1</v>
      </c>
      <c r="L22" s="28">
        <v>1</v>
      </c>
      <c r="M22" s="28">
        <v>1</v>
      </c>
      <c r="N22" s="28">
        <v>1</v>
      </c>
      <c r="O22" s="28">
        <v>1</v>
      </c>
      <c r="P22" s="28">
        <v>1</v>
      </c>
      <c r="Q22" s="28">
        <v>1</v>
      </c>
      <c r="R22" s="28">
        <v>1</v>
      </c>
      <c r="S22" s="28">
        <v>1</v>
      </c>
      <c r="T22" s="28">
        <v>1</v>
      </c>
      <c r="U22" s="28">
        <v>1</v>
      </c>
      <c r="V22" s="28">
        <v>1</v>
      </c>
      <c r="W22" s="28">
        <v>1</v>
      </c>
      <c r="X22" s="28">
        <v>1</v>
      </c>
      <c r="Y22" s="28">
        <v>1</v>
      </c>
      <c r="Z22" s="28">
        <v>1</v>
      </c>
      <c r="AA22" s="28">
        <v>1</v>
      </c>
      <c r="AB22" s="28">
        <v>1</v>
      </c>
      <c r="AC22" s="28">
        <v>1</v>
      </c>
      <c r="AD22" s="28">
        <v>1</v>
      </c>
      <c r="AE22" s="28">
        <v>1</v>
      </c>
      <c r="AF22" s="28">
        <v>1</v>
      </c>
      <c r="AG22" s="28">
        <v>1</v>
      </c>
      <c r="AH22" s="28">
        <v>1</v>
      </c>
      <c r="AI22" s="28">
        <v>1</v>
      </c>
      <c r="AJ22" s="28">
        <v>1</v>
      </c>
      <c r="AK22" s="28">
        <v>1</v>
      </c>
      <c r="AL22" s="28">
        <v>1</v>
      </c>
      <c r="AM22" s="28">
        <v>1</v>
      </c>
      <c r="AN22" s="28">
        <v>1</v>
      </c>
      <c r="AO22" s="28">
        <v>1</v>
      </c>
      <c r="AP22" s="28">
        <v>1</v>
      </c>
      <c r="AQ22" s="28">
        <v>1</v>
      </c>
      <c r="AR22" s="28">
        <v>1</v>
      </c>
      <c r="AS22" s="28">
        <v>1</v>
      </c>
      <c r="AT22" s="28">
        <v>1</v>
      </c>
      <c r="AU22" s="28">
        <v>1</v>
      </c>
      <c r="AV22" s="28">
        <v>1</v>
      </c>
      <c r="AW22" s="28">
        <v>1</v>
      </c>
      <c r="AX22" s="28">
        <v>1</v>
      </c>
      <c r="AY22" s="28">
        <v>1</v>
      </c>
      <c r="AZ22" s="28">
        <v>1</v>
      </c>
      <c r="BA22" s="28">
        <v>1</v>
      </c>
      <c r="BB22" s="28">
        <v>1</v>
      </c>
      <c r="BC22" s="28">
        <v>1</v>
      </c>
      <c r="BD22" s="28">
        <v>1</v>
      </c>
      <c r="BE22" s="28">
        <v>1</v>
      </c>
      <c r="BF22" s="28">
        <v>1</v>
      </c>
      <c r="BG22" s="28">
        <v>1</v>
      </c>
      <c r="BH22" s="28">
        <v>1</v>
      </c>
      <c r="BI22" s="28">
        <v>1</v>
      </c>
      <c r="BJ22" s="28">
        <v>1</v>
      </c>
      <c r="BK22" s="28">
        <v>1</v>
      </c>
      <c r="BL22" s="28">
        <v>1</v>
      </c>
      <c r="BM22" s="28">
        <v>1</v>
      </c>
      <c r="BN22" s="28">
        <v>1</v>
      </c>
      <c r="BO22" s="28">
        <v>1</v>
      </c>
      <c r="BP22" s="28">
        <v>1</v>
      </c>
      <c r="BQ22" s="28">
        <v>1</v>
      </c>
      <c r="BR22" s="28">
        <v>1</v>
      </c>
      <c r="BS22" s="28">
        <v>1</v>
      </c>
      <c r="BT22" s="28">
        <v>1</v>
      </c>
      <c r="BU22" s="28">
        <v>1</v>
      </c>
      <c r="BV22" s="28">
        <v>1</v>
      </c>
      <c r="BW22" s="28">
        <v>1</v>
      </c>
      <c r="BX22" s="28">
        <v>1</v>
      </c>
      <c r="BY22" s="28">
        <v>1</v>
      </c>
      <c r="BZ22" s="28">
        <v>1</v>
      </c>
      <c r="CA22" s="28">
        <v>1</v>
      </c>
      <c r="CB22" s="28">
        <v>1</v>
      </c>
      <c r="CC22" s="28">
        <v>1</v>
      </c>
      <c r="CD22" s="28">
        <v>1</v>
      </c>
    </row>
    <row r="23" spans="1:82" x14ac:dyDescent="0.45">
      <c r="A23" t="s">
        <v>94</v>
      </c>
      <c r="C23" s="28">
        <v>1</v>
      </c>
      <c r="D23" s="28">
        <v>1</v>
      </c>
      <c r="E23" s="28">
        <v>1</v>
      </c>
      <c r="F23" s="28">
        <v>1</v>
      </c>
      <c r="G23" s="28">
        <v>1</v>
      </c>
      <c r="H23" s="28">
        <v>1</v>
      </c>
      <c r="I23" s="28">
        <v>1</v>
      </c>
      <c r="J23" s="28">
        <v>1</v>
      </c>
      <c r="K23" s="28">
        <v>1</v>
      </c>
      <c r="L23" s="28">
        <v>1</v>
      </c>
      <c r="M23" s="28">
        <v>1</v>
      </c>
      <c r="N23" s="28">
        <v>1</v>
      </c>
      <c r="O23" s="28">
        <v>1</v>
      </c>
      <c r="P23" s="28">
        <v>1</v>
      </c>
      <c r="Q23" s="28">
        <v>1</v>
      </c>
      <c r="R23" s="28">
        <v>1</v>
      </c>
      <c r="S23" s="28">
        <v>1</v>
      </c>
      <c r="T23" s="28">
        <v>1</v>
      </c>
      <c r="U23" s="28">
        <v>1</v>
      </c>
      <c r="V23" s="28">
        <v>1</v>
      </c>
      <c r="W23" s="28">
        <v>1</v>
      </c>
      <c r="X23" s="28">
        <v>1</v>
      </c>
      <c r="Y23" s="28">
        <v>1</v>
      </c>
      <c r="Z23" s="28">
        <v>1</v>
      </c>
      <c r="AA23" s="28">
        <v>1</v>
      </c>
      <c r="AB23" s="28">
        <v>1</v>
      </c>
      <c r="AC23" s="28">
        <v>1</v>
      </c>
      <c r="AD23" s="28">
        <v>1</v>
      </c>
      <c r="AE23" s="28">
        <v>1</v>
      </c>
      <c r="AF23" s="28">
        <v>1</v>
      </c>
      <c r="AG23" s="28">
        <v>1</v>
      </c>
      <c r="AH23" s="28">
        <v>1</v>
      </c>
      <c r="AI23" s="28">
        <v>1</v>
      </c>
      <c r="AJ23" s="28">
        <v>1</v>
      </c>
      <c r="AK23" s="28">
        <v>1</v>
      </c>
      <c r="AL23" s="28">
        <v>1</v>
      </c>
      <c r="AM23" s="28">
        <v>1</v>
      </c>
      <c r="AN23" s="28">
        <v>1</v>
      </c>
      <c r="AO23" s="28">
        <v>1</v>
      </c>
      <c r="AP23" s="28">
        <v>1</v>
      </c>
      <c r="AQ23" s="28">
        <v>1</v>
      </c>
      <c r="AR23" s="28">
        <v>1</v>
      </c>
      <c r="AS23" s="28">
        <v>1</v>
      </c>
      <c r="AT23" s="28">
        <v>1</v>
      </c>
      <c r="AU23" s="28">
        <v>1</v>
      </c>
      <c r="AV23" s="28">
        <v>1</v>
      </c>
      <c r="AW23" s="28">
        <v>1</v>
      </c>
      <c r="AX23" s="28">
        <v>1</v>
      </c>
      <c r="AY23" s="28">
        <v>1</v>
      </c>
      <c r="AZ23" s="28">
        <v>1</v>
      </c>
      <c r="BA23" s="28">
        <v>1</v>
      </c>
      <c r="BB23" s="28">
        <v>1</v>
      </c>
      <c r="BC23" s="28">
        <v>1</v>
      </c>
      <c r="BD23" s="28">
        <v>1</v>
      </c>
      <c r="BE23" s="28">
        <v>1</v>
      </c>
      <c r="BF23" s="28">
        <v>1</v>
      </c>
      <c r="BG23" s="28">
        <v>1</v>
      </c>
      <c r="BH23" s="28">
        <v>1</v>
      </c>
      <c r="BI23" s="28">
        <v>1</v>
      </c>
      <c r="BJ23" s="28">
        <v>1</v>
      </c>
      <c r="BK23" s="28">
        <v>1</v>
      </c>
      <c r="BL23" s="28">
        <v>1</v>
      </c>
      <c r="BM23" s="28">
        <v>1</v>
      </c>
      <c r="BN23" s="28">
        <v>1</v>
      </c>
      <c r="BO23" s="28">
        <v>1</v>
      </c>
      <c r="BP23" s="28">
        <v>1</v>
      </c>
      <c r="BQ23" s="28">
        <v>1</v>
      </c>
      <c r="BR23" s="28">
        <v>1</v>
      </c>
      <c r="BS23" s="28">
        <v>1</v>
      </c>
      <c r="BT23" s="28">
        <v>1</v>
      </c>
      <c r="BU23" s="28">
        <v>1</v>
      </c>
      <c r="BV23" s="28">
        <v>1</v>
      </c>
      <c r="BW23" s="28">
        <v>1</v>
      </c>
      <c r="BX23" s="28">
        <v>1</v>
      </c>
      <c r="BY23" s="28">
        <v>1</v>
      </c>
      <c r="BZ23" s="28">
        <v>1</v>
      </c>
      <c r="CA23" s="28">
        <v>1</v>
      </c>
      <c r="CB23" s="28">
        <v>1</v>
      </c>
      <c r="CC23" s="28">
        <v>1</v>
      </c>
      <c r="CD23" s="28">
        <v>1</v>
      </c>
    </row>
    <row r="24" spans="1:82" x14ac:dyDescent="0.45">
      <c r="A24" t="s">
        <v>72</v>
      </c>
      <c r="C24" s="28">
        <v>1</v>
      </c>
      <c r="D24" s="28">
        <v>1</v>
      </c>
      <c r="E24" s="28">
        <v>1</v>
      </c>
      <c r="F24" s="28">
        <v>1</v>
      </c>
      <c r="G24" s="28">
        <v>1</v>
      </c>
      <c r="H24" s="28">
        <v>1</v>
      </c>
      <c r="I24" s="28">
        <v>1</v>
      </c>
      <c r="J24" s="28">
        <v>1</v>
      </c>
      <c r="K24" s="28">
        <v>1</v>
      </c>
      <c r="L24" s="28">
        <v>1</v>
      </c>
      <c r="M24" s="28">
        <v>1</v>
      </c>
      <c r="N24" s="28">
        <v>1</v>
      </c>
      <c r="O24" s="28">
        <v>1</v>
      </c>
      <c r="P24" s="28">
        <v>1</v>
      </c>
      <c r="Q24" s="28">
        <v>1</v>
      </c>
      <c r="R24" s="28">
        <v>1</v>
      </c>
      <c r="S24" s="28">
        <v>1</v>
      </c>
      <c r="T24" s="28">
        <v>1</v>
      </c>
      <c r="U24" s="28">
        <v>1</v>
      </c>
      <c r="V24" s="28">
        <v>1</v>
      </c>
      <c r="W24" s="28">
        <v>1</v>
      </c>
      <c r="X24" s="28">
        <v>1</v>
      </c>
      <c r="Y24" s="28">
        <v>1</v>
      </c>
      <c r="Z24" s="28">
        <v>1</v>
      </c>
      <c r="AA24" s="28">
        <v>1</v>
      </c>
      <c r="AB24" s="28">
        <v>1</v>
      </c>
      <c r="AC24" s="28">
        <v>1</v>
      </c>
      <c r="AD24" s="28">
        <v>1</v>
      </c>
      <c r="AE24" s="28">
        <v>1</v>
      </c>
      <c r="AF24" s="28">
        <v>1</v>
      </c>
      <c r="AG24" s="28">
        <v>1</v>
      </c>
      <c r="AH24" s="28">
        <v>1</v>
      </c>
      <c r="AI24" s="28">
        <v>1</v>
      </c>
      <c r="AJ24" s="28">
        <v>1</v>
      </c>
      <c r="AK24" s="28">
        <v>1</v>
      </c>
      <c r="AL24" s="28">
        <v>1</v>
      </c>
      <c r="AM24" s="28">
        <v>1</v>
      </c>
      <c r="AN24" s="28">
        <v>1</v>
      </c>
      <c r="AO24" s="28">
        <v>1</v>
      </c>
      <c r="AP24" s="28">
        <v>1</v>
      </c>
      <c r="AQ24" s="28">
        <v>1</v>
      </c>
      <c r="AR24" s="28">
        <v>1</v>
      </c>
      <c r="AS24" s="28">
        <v>1</v>
      </c>
      <c r="AT24" s="28">
        <v>1</v>
      </c>
      <c r="AU24" s="28">
        <v>1</v>
      </c>
      <c r="AV24" s="28">
        <v>1</v>
      </c>
      <c r="AW24" s="28">
        <v>1</v>
      </c>
      <c r="AX24" s="28">
        <v>1</v>
      </c>
      <c r="AY24" s="28">
        <v>1</v>
      </c>
      <c r="AZ24" s="28">
        <v>1</v>
      </c>
      <c r="BA24" s="28">
        <v>1</v>
      </c>
      <c r="BB24" s="28">
        <v>1</v>
      </c>
      <c r="BC24" s="28">
        <v>1</v>
      </c>
      <c r="BD24" s="28">
        <v>1</v>
      </c>
      <c r="BE24" s="28">
        <v>1</v>
      </c>
      <c r="BF24" s="28">
        <v>1</v>
      </c>
      <c r="BG24" s="28">
        <v>1</v>
      </c>
      <c r="BH24" s="28">
        <v>1</v>
      </c>
      <c r="BI24" s="28">
        <v>1</v>
      </c>
      <c r="BJ24" s="28">
        <v>1</v>
      </c>
      <c r="BK24" s="28">
        <v>1</v>
      </c>
      <c r="BL24" s="28">
        <v>1</v>
      </c>
      <c r="BM24" s="28">
        <v>1</v>
      </c>
      <c r="BN24" s="28">
        <v>1</v>
      </c>
      <c r="BO24" s="28">
        <v>1</v>
      </c>
      <c r="BP24" s="28">
        <v>1</v>
      </c>
      <c r="BQ24" s="28">
        <v>1</v>
      </c>
      <c r="BR24" s="28">
        <v>1</v>
      </c>
      <c r="BS24" s="28">
        <v>1</v>
      </c>
      <c r="BT24" s="28">
        <v>1</v>
      </c>
      <c r="BU24" s="28">
        <v>1</v>
      </c>
      <c r="BV24" s="28">
        <v>1</v>
      </c>
      <c r="BW24" s="28">
        <v>1</v>
      </c>
      <c r="BX24" s="28">
        <v>1</v>
      </c>
      <c r="BY24" s="28">
        <v>1</v>
      </c>
      <c r="BZ24" s="28">
        <v>1</v>
      </c>
      <c r="CA24" s="28">
        <v>1</v>
      </c>
      <c r="CB24" s="28">
        <v>1</v>
      </c>
      <c r="CC24" s="28">
        <v>1</v>
      </c>
      <c r="CD24" s="28">
        <v>1</v>
      </c>
    </row>
    <row r="25" spans="1:82" x14ac:dyDescent="0.45">
      <c r="A25" t="s">
        <v>73</v>
      </c>
      <c r="C25" s="28">
        <v>1</v>
      </c>
      <c r="D25" s="28">
        <v>1</v>
      </c>
      <c r="E25" s="28">
        <v>1</v>
      </c>
      <c r="F25" s="28">
        <v>1</v>
      </c>
      <c r="G25" s="28">
        <v>1</v>
      </c>
      <c r="H25" s="28">
        <v>1</v>
      </c>
      <c r="I25" s="28">
        <v>1</v>
      </c>
      <c r="J25" s="28">
        <v>1</v>
      </c>
      <c r="K25" s="28">
        <v>1</v>
      </c>
      <c r="L25" s="28">
        <v>1</v>
      </c>
      <c r="M25" s="28">
        <v>1</v>
      </c>
      <c r="N25" s="28">
        <v>1</v>
      </c>
      <c r="O25" s="28">
        <v>1</v>
      </c>
      <c r="P25" s="28">
        <v>1</v>
      </c>
      <c r="Q25" s="28">
        <v>1</v>
      </c>
      <c r="R25" s="28">
        <v>1</v>
      </c>
      <c r="S25" s="28">
        <v>1</v>
      </c>
      <c r="T25" s="28">
        <v>1</v>
      </c>
      <c r="U25" s="28">
        <v>1</v>
      </c>
      <c r="V25" s="28">
        <v>1</v>
      </c>
      <c r="W25" s="28">
        <v>1</v>
      </c>
      <c r="X25" s="28">
        <v>1</v>
      </c>
      <c r="Y25" s="28">
        <v>1</v>
      </c>
      <c r="Z25" s="28">
        <v>1</v>
      </c>
      <c r="AA25" s="28">
        <v>1</v>
      </c>
      <c r="AB25" s="28">
        <v>1</v>
      </c>
      <c r="AC25" s="28">
        <v>1</v>
      </c>
      <c r="AD25" s="28">
        <v>1</v>
      </c>
      <c r="AE25" s="28">
        <v>1</v>
      </c>
      <c r="AF25" s="28">
        <v>1</v>
      </c>
      <c r="AG25" s="28">
        <v>1</v>
      </c>
      <c r="AH25" s="28">
        <v>1</v>
      </c>
      <c r="AI25" s="28">
        <v>1</v>
      </c>
      <c r="AJ25" s="28">
        <v>1</v>
      </c>
      <c r="AK25" s="28">
        <v>1</v>
      </c>
      <c r="AL25" s="28">
        <v>1</v>
      </c>
      <c r="AM25" s="28">
        <v>1</v>
      </c>
      <c r="AN25" s="28">
        <v>1</v>
      </c>
      <c r="AO25" s="28">
        <v>1</v>
      </c>
      <c r="AP25" s="28">
        <v>1</v>
      </c>
      <c r="AQ25" s="28">
        <v>1</v>
      </c>
      <c r="AR25" s="28">
        <v>1</v>
      </c>
      <c r="AS25" s="28">
        <v>1</v>
      </c>
      <c r="AT25" s="28">
        <v>1</v>
      </c>
      <c r="AU25" s="28">
        <v>1</v>
      </c>
      <c r="AV25" s="28">
        <v>1</v>
      </c>
      <c r="AW25" s="28">
        <v>1</v>
      </c>
      <c r="AX25" s="28">
        <v>1</v>
      </c>
      <c r="AY25" s="28">
        <v>1</v>
      </c>
      <c r="AZ25" s="28">
        <v>1</v>
      </c>
      <c r="BA25" s="28">
        <v>1</v>
      </c>
      <c r="BB25" s="28">
        <v>1</v>
      </c>
      <c r="BC25" s="28">
        <v>1</v>
      </c>
      <c r="BD25" s="28">
        <v>1</v>
      </c>
      <c r="BE25" s="28">
        <v>1</v>
      </c>
      <c r="BF25" s="28">
        <v>1</v>
      </c>
      <c r="BG25" s="28">
        <v>1</v>
      </c>
      <c r="BH25" s="28">
        <v>1</v>
      </c>
      <c r="BI25" s="28">
        <v>1</v>
      </c>
      <c r="BJ25" s="28">
        <v>1</v>
      </c>
      <c r="BK25" s="28">
        <v>1</v>
      </c>
      <c r="BL25" s="28">
        <v>1</v>
      </c>
      <c r="BM25" s="28">
        <v>1</v>
      </c>
      <c r="BN25" s="28">
        <v>1</v>
      </c>
      <c r="BO25" s="28">
        <v>1</v>
      </c>
      <c r="BP25" s="28">
        <v>1</v>
      </c>
      <c r="BQ25" s="28">
        <v>1</v>
      </c>
      <c r="BR25" s="28">
        <v>1</v>
      </c>
      <c r="BS25" s="28">
        <v>1</v>
      </c>
      <c r="BT25" s="28">
        <v>1</v>
      </c>
      <c r="BU25" s="28">
        <v>1</v>
      </c>
      <c r="BV25" s="28">
        <v>1</v>
      </c>
      <c r="BW25" s="28">
        <v>1</v>
      </c>
      <c r="BX25" s="28">
        <v>1</v>
      </c>
      <c r="BY25" s="28">
        <v>1</v>
      </c>
      <c r="BZ25" s="28">
        <v>1</v>
      </c>
      <c r="CA25" s="28">
        <v>1</v>
      </c>
      <c r="CB25" s="28">
        <v>1</v>
      </c>
      <c r="CC25" s="28">
        <v>1</v>
      </c>
      <c r="CD25" s="28">
        <v>1</v>
      </c>
    </row>
    <row r="26" spans="1:82" x14ac:dyDescent="0.45">
      <c r="A26" t="s">
        <v>74</v>
      </c>
      <c r="C26" s="28">
        <v>1</v>
      </c>
      <c r="D26" s="28">
        <v>1</v>
      </c>
      <c r="E26" s="28">
        <v>1</v>
      </c>
      <c r="F26" s="28">
        <v>1</v>
      </c>
      <c r="G26" s="28">
        <v>1</v>
      </c>
      <c r="H26" s="28">
        <v>1</v>
      </c>
      <c r="I26" s="28">
        <v>1</v>
      </c>
      <c r="J26" s="28">
        <v>1</v>
      </c>
      <c r="K26" s="28">
        <v>1</v>
      </c>
      <c r="L26" s="28">
        <v>1</v>
      </c>
      <c r="M26" s="28">
        <v>1</v>
      </c>
      <c r="N26" s="28">
        <v>1</v>
      </c>
      <c r="O26" s="28">
        <v>1</v>
      </c>
      <c r="P26" s="28">
        <v>1</v>
      </c>
      <c r="Q26" s="28">
        <v>1</v>
      </c>
      <c r="R26" s="28">
        <v>1</v>
      </c>
      <c r="S26" s="28">
        <v>1</v>
      </c>
      <c r="T26" s="28">
        <v>1</v>
      </c>
      <c r="U26" s="28">
        <v>1</v>
      </c>
      <c r="V26" s="28">
        <v>1</v>
      </c>
      <c r="W26" s="28">
        <v>1</v>
      </c>
      <c r="X26" s="28">
        <v>1</v>
      </c>
      <c r="Y26" s="28">
        <v>1</v>
      </c>
      <c r="Z26" s="28">
        <v>1</v>
      </c>
      <c r="AA26" s="28">
        <v>1</v>
      </c>
      <c r="AB26" s="28">
        <v>1</v>
      </c>
      <c r="AC26" s="28">
        <v>1</v>
      </c>
      <c r="AD26" s="28">
        <v>1</v>
      </c>
      <c r="AE26" s="28">
        <v>1</v>
      </c>
      <c r="AF26" s="28">
        <v>1</v>
      </c>
      <c r="AG26" s="28">
        <v>1</v>
      </c>
      <c r="AH26" s="28">
        <v>1</v>
      </c>
      <c r="AI26" s="28">
        <v>1</v>
      </c>
      <c r="AJ26" s="28">
        <v>1</v>
      </c>
      <c r="AK26" s="28">
        <v>1</v>
      </c>
      <c r="AL26" s="28">
        <v>1</v>
      </c>
      <c r="AM26" s="28">
        <v>1</v>
      </c>
      <c r="AN26" s="28">
        <v>1</v>
      </c>
      <c r="AO26" s="28">
        <v>1</v>
      </c>
      <c r="AP26" s="28">
        <v>1</v>
      </c>
      <c r="AQ26" s="28">
        <v>1</v>
      </c>
      <c r="AR26" s="28">
        <v>1</v>
      </c>
      <c r="AS26" s="28">
        <v>1</v>
      </c>
      <c r="AT26" s="28">
        <v>1</v>
      </c>
      <c r="AU26" s="28">
        <v>1</v>
      </c>
      <c r="AV26" s="28">
        <v>1</v>
      </c>
      <c r="AW26" s="28">
        <v>1</v>
      </c>
      <c r="AX26" s="28">
        <v>1</v>
      </c>
      <c r="AY26" s="28">
        <v>1</v>
      </c>
      <c r="AZ26" s="28">
        <v>1</v>
      </c>
      <c r="BA26" s="28">
        <v>1</v>
      </c>
      <c r="BB26" s="28">
        <v>1</v>
      </c>
      <c r="BC26" s="28">
        <v>1</v>
      </c>
      <c r="BD26" s="28">
        <v>1</v>
      </c>
      <c r="BE26" s="28">
        <v>1</v>
      </c>
      <c r="BF26" s="28">
        <v>1</v>
      </c>
      <c r="BG26" s="28">
        <v>1</v>
      </c>
      <c r="BH26" s="28">
        <v>1</v>
      </c>
      <c r="BI26" s="28">
        <v>1</v>
      </c>
      <c r="BJ26" s="28">
        <v>1</v>
      </c>
      <c r="BK26" s="28">
        <v>1</v>
      </c>
      <c r="BL26" s="28">
        <v>1</v>
      </c>
      <c r="BM26" s="28">
        <v>1</v>
      </c>
      <c r="BN26" s="28">
        <v>1</v>
      </c>
      <c r="BO26" s="28">
        <v>1</v>
      </c>
      <c r="BP26" s="28">
        <v>1</v>
      </c>
      <c r="BQ26" s="28">
        <v>1</v>
      </c>
      <c r="BR26" s="28">
        <v>1</v>
      </c>
      <c r="BS26" s="28">
        <v>1</v>
      </c>
      <c r="BT26" s="28">
        <v>1</v>
      </c>
      <c r="BU26" s="28">
        <v>1</v>
      </c>
      <c r="BV26" s="28">
        <v>1</v>
      </c>
      <c r="BW26" s="28">
        <v>1</v>
      </c>
      <c r="BX26" s="28">
        <v>1</v>
      </c>
      <c r="BY26" s="28">
        <v>1</v>
      </c>
      <c r="BZ26" s="28">
        <v>1</v>
      </c>
      <c r="CA26" s="28">
        <v>1</v>
      </c>
      <c r="CB26" s="28">
        <v>1</v>
      </c>
      <c r="CC26" s="28">
        <v>1</v>
      </c>
      <c r="CD26" s="28">
        <v>1</v>
      </c>
    </row>
    <row r="27" spans="1:82" x14ac:dyDescent="0.45">
      <c r="A27" t="s">
        <v>75</v>
      </c>
      <c r="C27" s="28">
        <v>1</v>
      </c>
      <c r="D27" s="28">
        <v>1</v>
      </c>
      <c r="E27" s="28">
        <v>1</v>
      </c>
      <c r="F27" s="28">
        <v>1</v>
      </c>
      <c r="G27" s="28">
        <v>1</v>
      </c>
      <c r="H27" s="28">
        <v>1</v>
      </c>
      <c r="I27" s="28">
        <v>1</v>
      </c>
      <c r="J27" s="28">
        <v>1</v>
      </c>
      <c r="K27" s="28">
        <v>1</v>
      </c>
      <c r="L27" s="28">
        <v>1</v>
      </c>
      <c r="M27" s="28">
        <v>1</v>
      </c>
      <c r="N27" s="28">
        <v>1</v>
      </c>
      <c r="O27" s="28">
        <v>1</v>
      </c>
      <c r="P27" s="28">
        <v>1</v>
      </c>
      <c r="Q27" s="28">
        <v>1</v>
      </c>
      <c r="R27" s="28">
        <v>1</v>
      </c>
      <c r="S27" s="28">
        <v>1</v>
      </c>
      <c r="T27" s="28">
        <v>1</v>
      </c>
      <c r="U27" s="28">
        <v>1</v>
      </c>
      <c r="V27" s="28">
        <v>1</v>
      </c>
      <c r="W27" s="28">
        <v>1</v>
      </c>
      <c r="X27" s="28">
        <v>1</v>
      </c>
      <c r="Y27" s="28">
        <v>1</v>
      </c>
      <c r="Z27" s="28">
        <v>1</v>
      </c>
      <c r="AA27" s="28">
        <v>1</v>
      </c>
      <c r="AB27" s="28">
        <v>1</v>
      </c>
      <c r="AC27" s="28">
        <v>1</v>
      </c>
      <c r="AD27" s="28">
        <v>1</v>
      </c>
      <c r="AE27" s="28">
        <v>1</v>
      </c>
      <c r="AF27" s="28">
        <v>1</v>
      </c>
      <c r="AG27" s="28">
        <v>1</v>
      </c>
      <c r="AH27" s="28">
        <v>1</v>
      </c>
      <c r="AI27" s="28">
        <v>1</v>
      </c>
      <c r="AJ27" s="28">
        <v>1</v>
      </c>
      <c r="AK27" s="28">
        <v>1</v>
      </c>
      <c r="AL27" s="28">
        <v>1</v>
      </c>
      <c r="AM27" s="28">
        <v>1</v>
      </c>
      <c r="AN27" s="28">
        <v>1</v>
      </c>
      <c r="AO27" s="28">
        <v>1</v>
      </c>
      <c r="AP27" s="28">
        <v>1</v>
      </c>
      <c r="AQ27" s="28">
        <v>1</v>
      </c>
      <c r="AR27" s="28">
        <v>1</v>
      </c>
      <c r="AS27" s="28">
        <v>1</v>
      </c>
      <c r="AT27" s="28">
        <v>1</v>
      </c>
      <c r="AU27" s="28">
        <v>1</v>
      </c>
      <c r="AV27" s="28">
        <v>1</v>
      </c>
      <c r="AW27" s="28">
        <v>1</v>
      </c>
      <c r="AX27" s="28">
        <v>1</v>
      </c>
      <c r="AY27" s="28">
        <v>1</v>
      </c>
      <c r="AZ27" s="28">
        <v>1</v>
      </c>
      <c r="BA27" s="28">
        <v>1</v>
      </c>
      <c r="BB27" s="28">
        <v>1</v>
      </c>
      <c r="BC27" s="28">
        <v>1</v>
      </c>
      <c r="BD27" s="28">
        <v>1</v>
      </c>
      <c r="BE27" s="28">
        <v>1</v>
      </c>
      <c r="BF27" s="28">
        <v>1</v>
      </c>
      <c r="BG27" s="28">
        <v>1</v>
      </c>
      <c r="BH27" s="28">
        <v>1</v>
      </c>
      <c r="BI27" s="28">
        <v>1</v>
      </c>
      <c r="BJ27" s="28">
        <v>1</v>
      </c>
      <c r="BK27" s="28">
        <v>1</v>
      </c>
      <c r="BL27" s="28">
        <v>1</v>
      </c>
      <c r="BM27" s="28">
        <v>1</v>
      </c>
      <c r="BN27" s="28">
        <v>1</v>
      </c>
      <c r="BO27" s="28">
        <v>1</v>
      </c>
      <c r="BP27" s="28">
        <v>1</v>
      </c>
      <c r="BQ27" s="28">
        <v>1</v>
      </c>
      <c r="BR27" s="28">
        <v>1</v>
      </c>
      <c r="BS27" s="28">
        <v>1</v>
      </c>
      <c r="BT27" s="28">
        <v>1</v>
      </c>
      <c r="BU27" s="28">
        <v>1</v>
      </c>
      <c r="BV27" s="28">
        <v>1</v>
      </c>
      <c r="BW27" s="28">
        <v>1</v>
      </c>
      <c r="BX27" s="28">
        <v>1</v>
      </c>
      <c r="BY27" s="28">
        <v>1</v>
      </c>
      <c r="BZ27" s="28">
        <v>1</v>
      </c>
      <c r="CA27" s="28">
        <v>1</v>
      </c>
      <c r="CB27" s="28">
        <v>1</v>
      </c>
      <c r="CC27" s="28">
        <v>1</v>
      </c>
      <c r="CD27" s="28">
        <v>1</v>
      </c>
    </row>
    <row r="28" spans="1:82" x14ac:dyDescent="0.45">
      <c r="A28" t="s">
        <v>76</v>
      </c>
      <c r="C28" s="28">
        <v>1</v>
      </c>
      <c r="D28" s="28">
        <v>1</v>
      </c>
      <c r="E28" s="28">
        <v>1</v>
      </c>
      <c r="F28" s="28">
        <v>1</v>
      </c>
      <c r="G28" s="28">
        <v>1</v>
      </c>
      <c r="H28" s="28">
        <v>1</v>
      </c>
      <c r="I28" s="28">
        <v>1</v>
      </c>
      <c r="J28" s="28">
        <v>1</v>
      </c>
      <c r="K28" s="28">
        <v>1</v>
      </c>
      <c r="L28" s="28">
        <v>1</v>
      </c>
      <c r="M28" s="28">
        <v>1</v>
      </c>
      <c r="N28" s="28">
        <v>1</v>
      </c>
      <c r="O28" s="28">
        <v>1</v>
      </c>
      <c r="P28" s="28">
        <v>1</v>
      </c>
      <c r="Q28" s="28">
        <v>1</v>
      </c>
      <c r="R28" s="28">
        <v>1</v>
      </c>
      <c r="S28" s="28">
        <v>1</v>
      </c>
      <c r="T28" s="28">
        <v>1</v>
      </c>
      <c r="U28" s="28">
        <v>1</v>
      </c>
      <c r="V28" s="28">
        <v>1</v>
      </c>
      <c r="W28" s="28">
        <v>1</v>
      </c>
      <c r="X28" s="28">
        <v>1</v>
      </c>
      <c r="Y28" s="28">
        <v>1</v>
      </c>
      <c r="Z28" s="28">
        <v>1</v>
      </c>
      <c r="AA28" s="28">
        <v>1</v>
      </c>
      <c r="AB28" s="28">
        <v>1</v>
      </c>
      <c r="AC28" s="28">
        <v>1</v>
      </c>
      <c r="AD28" s="28">
        <v>1</v>
      </c>
      <c r="AE28" s="28">
        <v>1</v>
      </c>
      <c r="AF28" s="28">
        <v>1</v>
      </c>
      <c r="AG28" s="28">
        <v>1</v>
      </c>
      <c r="AH28" s="28">
        <v>1</v>
      </c>
      <c r="AI28" s="28">
        <v>1</v>
      </c>
      <c r="AJ28" s="28">
        <v>1</v>
      </c>
      <c r="AK28" s="28">
        <v>1</v>
      </c>
      <c r="AL28" s="28">
        <v>1</v>
      </c>
      <c r="AM28" s="28">
        <v>1</v>
      </c>
      <c r="AN28" s="28">
        <v>1</v>
      </c>
      <c r="AO28" s="28">
        <v>1</v>
      </c>
      <c r="AP28" s="28">
        <v>1</v>
      </c>
      <c r="AQ28" s="28">
        <v>1</v>
      </c>
      <c r="AR28" s="28">
        <v>1</v>
      </c>
      <c r="AS28" s="28">
        <v>1</v>
      </c>
      <c r="AT28" s="28">
        <v>1</v>
      </c>
      <c r="AU28" s="28">
        <v>1</v>
      </c>
      <c r="AV28" s="28">
        <v>1</v>
      </c>
      <c r="AW28" s="28">
        <v>1</v>
      </c>
      <c r="AX28" s="28">
        <v>1</v>
      </c>
      <c r="AY28" s="28">
        <v>1</v>
      </c>
      <c r="AZ28" s="28">
        <v>1</v>
      </c>
      <c r="BA28" s="28">
        <v>1</v>
      </c>
      <c r="BB28" s="28">
        <v>1</v>
      </c>
      <c r="BC28" s="28">
        <v>1</v>
      </c>
      <c r="BD28" s="28">
        <v>1</v>
      </c>
      <c r="BE28" s="28">
        <v>1</v>
      </c>
      <c r="BF28" s="28">
        <v>1</v>
      </c>
      <c r="BG28" s="28">
        <v>1</v>
      </c>
      <c r="BH28" s="28">
        <v>1</v>
      </c>
      <c r="BI28" s="28">
        <v>1</v>
      </c>
      <c r="BJ28" s="28">
        <v>1</v>
      </c>
      <c r="BK28" s="28">
        <v>1</v>
      </c>
      <c r="BL28" s="28">
        <v>1</v>
      </c>
      <c r="BM28" s="28">
        <v>1</v>
      </c>
      <c r="BN28" s="28">
        <v>1</v>
      </c>
      <c r="BO28" s="28">
        <v>1</v>
      </c>
      <c r="BP28" s="28">
        <v>1</v>
      </c>
      <c r="BQ28" s="28">
        <v>1</v>
      </c>
      <c r="BR28" s="28">
        <v>1</v>
      </c>
      <c r="BS28" s="28">
        <v>1</v>
      </c>
      <c r="BT28" s="28">
        <v>1</v>
      </c>
      <c r="BU28" s="28">
        <v>1</v>
      </c>
      <c r="BV28" s="28">
        <v>1</v>
      </c>
      <c r="BW28" s="28">
        <v>1</v>
      </c>
      <c r="BX28" s="28">
        <v>1</v>
      </c>
      <c r="BY28" s="28">
        <v>1</v>
      </c>
      <c r="BZ28" s="28">
        <v>1</v>
      </c>
      <c r="CA28" s="28">
        <v>1</v>
      </c>
      <c r="CB28" s="28">
        <v>1</v>
      </c>
      <c r="CC28" s="28">
        <v>1</v>
      </c>
      <c r="CD28" s="28">
        <v>1</v>
      </c>
    </row>
    <row r="29" spans="1:82" x14ac:dyDescent="0.45">
      <c r="A29" t="s">
        <v>77</v>
      </c>
      <c r="C29" s="28">
        <v>1</v>
      </c>
      <c r="D29" s="28">
        <v>1</v>
      </c>
      <c r="E29" s="28">
        <v>1</v>
      </c>
      <c r="F29" s="28">
        <v>1</v>
      </c>
      <c r="G29" s="28">
        <v>1</v>
      </c>
      <c r="H29" s="28">
        <v>1</v>
      </c>
      <c r="I29" s="28">
        <v>1</v>
      </c>
      <c r="J29" s="28">
        <v>1</v>
      </c>
      <c r="K29" s="28">
        <v>1</v>
      </c>
      <c r="L29" s="28">
        <v>1</v>
      </c>
      <c r="M29" s="28">
        <v>1</v>
      </c>
      <c r="N29" s="28">
        <v>1</v>
      </c>
      <c r="O29" s="28">
        <v>1</v>
      </c>
      <c r="P29" s="28">
        <v>1</v>
      </c>
      <c r="Q29" s="28">
        <v>1</v>
      </c>
      <c r="R29" s="28">
        <v>1</v>
      </c>
      <c r="S29" s="28">
        <v>1</v>
      </c>
      <c r="T29" s="28">
        <v>1</v>
      </c>
      <c r="U29" s="28">
        <v>1</v>
      </c>
      <c r="V29" s="28">
        <v>1</v>
      </c>
      <c r="W29" s="28">
        <v>1</v>
      </c>
      <c r="X29" s="28">
        <v>1</v>
      </c>
      <c r="Y29" s="28">
        <v>1</v>
      </c>
      <c r="Z29" s="28">
        <v>1</v>
      </c>
      <c r="AA29" s="28">
        <v>1</v>
      </c>
      <c r="AB29" s="28">
        <v>1</v>
      </c>
      <c r="AC29" s="28">
        <v>1</v>
      </c>
      <c r="AD29" s="28">
        <v>1</v>
      </c>
      <c r="AE29" s="28">
        <v>1</v>
      </c>
      <c r="AF29" s="28">
        <v>1</v>
      </c>
      <c r="AG29" s="28">
        <v>1</v>
      </c>
      <c r="AH29" s="28">
        <v>1</v>
      </c>
      <c r="AI29" s="28">
        <v>1</v>
      </c>
      <c r="AJ29" s="28">
        <v>1</v>
      </c>
      <c r="AK29" s="28">
        <v>1</v>
      </c>
      <c r="AL29" s="28">
        <v>1</v>
      </c>
      <c r="AM29" s="28">
        <v>1</v>
      </c>
      <c r="AN29" s="28">
        <v>1</v>
      </c>
      <c r="AO29" s="28">
        <v>1</v>
      </c>
      <c r="AP29" s="28">
        <v>1</v>
      </c>
      <c r="AQ29" s="28">
        <v>1</v>
      </c>
      <c r="AR29" s="28">
        <v>1</v>
      </c>
      <c r="AS29" s="28">
        <v>1</v>
      </c>
      <c r="AT29" s="28">
        <v>1</v>
      </c>
      <c r="AU29" s="28">
        <v>1</v>
      </c>
      <c r="AV29" s="28">
        <v>1</v>
      </c>
      <c r="AW29" s="28">
        <v>1</v>
      </c>
      <c r="AX29" s="28">
        <v>1</v>
      </c>
      <c r="AY29" s="28">
        <v>1</v>
      </c>
      <c r="AZ29" s="28">
        <v>1</v>
      </c>
      <c r="BA29" s="28">
        <v>1</v>
      </c>
      <c r="BB29" s="28">
        <v>1</v>
      </c>
      <c r="BC29" s="28">
        <v>1</v>
      </c>
      <c r="BD29" s="28">
        <v>1</v>
      </c>
      <c r="BE29" s="28">
        <v>1</v>
      </c>
      <c r="BF29" s="28">
        <v>1</v>
      </c>
      <c r="BG29" s="28">
        <v>1</v>
      </c>
      <c r="BH29" s="28">
        <v>1</v>
      </c>
      <c r="BI29" s="28">
        <v>1</v>
      </c>
      <c r="BJ29" s="28">
        <v>1</v>
      </c>
      <c r="BK29" s="28">
        <v>1</v>
      </c>
      <c r="BL29" s="28">
        <v>1</v>
      </c>
      <c r="BM29" s="28">
        <v>1</v>
      </c>
      <c r="BN29" s="28">
        <v>1</v>
      </c>
      <c r="BO29" s="28">
        <v>1</v>
      </c>
      <c r="BP29" s="28">
        <v>1</v>
      </c>
      <c r="BQ29" s="28">
        <v>1</v>
      </c>
      <c r="BR29" s="28">
        <v>1</v>
      </c>
      <c r="BS29" s="28">
        <v>1</v>
      </c>
      <c r="BT29" s="28">
        <v>1</v>
      </c>
      <c r="BU29" s="28">
        <v>1</v>
      </c>
      <c r="BV29" s="28">
        <v>1</v>
      </c>
      <c r="BW29" s="28">
        <v>1</v>
      </c>
      <c r="BX29" s="28">
        <v>1</v>
      </c>
      <c r="BY29" s="28">
        <v>1</v>
      </c>
      <c r="BZ29" s="28">
        <v>1</v>
      </c>
      <c r="CA29" s="28">
        <v>1</v>
      </c>
      <c r="CB29" s="28">
        <v>1</v>
      </c>
      <c r="CC29" s="28">
        <v>1</v>
      </c>
      <c r="CD29" s="28">
        <v>1</v>
      </c>
    </row>
    <row r="30" spans="1:82" x14ac:dyDescent="0.45">
      <c r="A30" t="s">
        <v>78</v>
      </c>
      <c r="C30" s="28">
        <v>1</v>
      </c>
      <c r="D30" s="28">
        <v>1</v>
      </c>
      <c r="E30" s="28">
        <v>1</v>
      </c>
      <c r="F30" s="28">
        <v>1</v>
      </c>
      <c r="G30" s="28">
        <v>1</v>
      </c>
      <c r="H30" s="28">
        <v>1</v>
      </c>
      <c r="I30" s="28">
        <v>1</v>
      </c>
      <c r="J30" s="28">
        <v>1</v>
      </c>
      <c r="K30" s="28">
        <v>1</v>
      </c>
      <c r="L30" s="28">
        <v>1</v>
      </c>
      <c r="M30" s="28">
        <v>1</v>
      </c>
      <c r="N30" s="28">
        <v>1</v>
      </c>
      <c r="O30" s="28">
        <v>1</v>
      </c>
      <c r="P30" s="28">
        <v>1</v>
      </c>
      <c r="Q30" s="28">
        <v>1</v>
      </c>
      <c r="R30" s="28">
        <v>1</v>
      </c>
      <c r="S30" s="28">
        <v>1</v>
      </c>
      <c r="T30" s="28">
        <v>1</v>
      </c>
      <c r="U30" s="28">
        <v>1</v>
      </c>
      <c r="V30" s="28">
        <v>1</v>
      </c>
      <c r="W30" s="28">
        <v>1</v>
      </c>
      <c r="X30" s="28">
        <v>1</v>
      </c>
      <c r="Y30" s="28">
        <v>1</v>
      </c>
      <c r="Z30" s="28">
        <v>1</v>
      </c>
      <c r="AA30" s="28">
        <v>1</v>
      </c>
      <c r="AB30" s="28">
        <v>1</v>
      </c>
      <c r="AC30" s="28">
        <v>1</v>
      </c>
      <c r="AD30" s="28">
        <v>1</v>
      </c>
      <c r="AE30" s="28">
        <v>1</v>
      </c>
      <c r="AF30" s="28">
        <v>1</v>
      </c>
      <c r="AG30" s="28">
        <v>1</v>
      </c>
      <c r="AH30" s="28">
        <v>1</v>
      </c>
      <c r="AI30" s="28">
        <v>1</v>
      </c>
      <c r="AJ30" s="28">
        <v>1</v>
      </c>
      <c r="AK30" s="28">
        <v>1</v>
      </c>
      <c r="AL30" s="28">
        <v>1</v>
      </c>
      <c r="AM30" s="28">
        <v>1</v>
      </c>
      <c r="AN30" s="28">
        <v>1</v>
      </c>
      <c r="AO30" s="28">
        <v>1</v>
      </c>
      <c r="AP30" s="28">
        <v>1</v>
      </c>
      <c r="AQ30" s="28">
        <v>1</v>
      </c>
      <c r="AR30" s="28">
        <v>1</v>
      </c>
      <c r="AS30" s="28">
        <v>1</v>
      </c>
      <c r="AT30" s="28">
        <v>1</v>
      </c>
      <c r="AU30" s="28">
        <v>1</v>
      </c>
      <c r="AV30" s="28">
        <v>1</v>
      </c>
      <c r="AW30" s="28">
        <v>1</v>
      </c>
      <c r="AX30" s="28">
        <v>1</v>
      </c>
      <c r="AY30" s="28">
        <v>1</v>
      </c>
      <c r="AZ30" s="28">
        <v>1</v>
      </c>
      <c r="BA30" s="28">
        <v>1</v>
      </c>
      <c r="BB30" s="28">
        <v>1</v>
      </c>
      <c r="BC30" s="28">
        <v>1</v>
      </c>
      <c r="BD30" s="28">
        <v>1</v>
      </c>
      <c r="BE30" s="28">
        <v>1</v>
      </c>
      <c r="BF30" s="28">
        <v>1</v>
      </c>
      <c r="BG30" s="28">
        <v>1</v>
      </c>
      <c r="BH30" s="28">
        <v>1</v>
      </c>
      <c r="BI30" s="28">
        <v>1</v>
      </c>
      <c r="BJ30" s="28">
        <v>1</v>
      </c>
      <c r="BK30" s="28">
        <v>1</v>
      </c>
      <c r="BL30" s="28">
        <v>1</v>
      </c>
      <c r="BM30" s="28">
        <v>1</v>
      </c>
      <c r="BN30" s="28">
        <v>1</v>
      </c>
      <c r="BO30" s="28">
        <v>1</v>
      </c>
      <c r="BP30" s="28">
        <v>1</v>
      </c>
      <c r="BQ30" s="28">
        <v>1</v>
      </c>
      <c r="BR30" s="28">
        <v>1</v>
      </c>
      <c r="BS30" s="28">
        <v>1</v>
      </c>
      <c r="BT30" s="28">
        <v>1</v>
      </c>
      <c r="BU30" s="28">
        <v>1</v>
      </c>
      <c r="BV30" s="28">
        <v>1</v>
      </c>
      <c r="BW30" s="28">
        <v>1</v>
      </c>
      <c r="BX30" s="28">
        <v>1</v>
      </c>
      <c r="BY30" s="28">
        <v>1</v>
      </c>
      <c r="BZ30" s="28">
        <v>1</v>
      </c>
      <c r="CA30" s="28">
        <v>1</v>
      </c>
      <c r="CB30" s="28">
        <v>1</v>
      </c>
      <c r="CC30" s="28">
        <v>1</v>
      </c>
      <c r="CD30" s="28">
        <v>1</v>
      </c>
    </row>
    <row r="31" spans="1:82" x14ac:dyDescent="0.45">
      <c r="A31" s="3" t="s">
        <v>115</v>
      </c>
      <c r="C31" s="29">
        <f>INDEX(C$21:C$30,Cover!$B$20)</f>
        <v>1</v>
      </c>
      <c r="D31" s="29">
        <f>INDEX(D$21:D$30,Cover!$B$20)</f>
        <v>1</v>
      </c>
      <c r="E31" s="29">
        <f>INDEX(E$21:E$30,Cover!$B$20)</f>
        <v>1</v>
      </c>
      <c r="F31" s="29">
        <f>INDEX(F$21:F$30,Cover!$B$20)</f>
        <v>1</v>
      </c>
      <c r="G31" s="29">
        <f>INDEX(G$21:G$30,Cover!$B$20)</f>
        <v>1</v>
      </c>
      <c r="H31" s="29">
        <f>INDEX(H$21:H$30,Cover!$B$20)</f>
        <v>1</v>
      </c>
      <c r="I31" s="29">
        <f>INDEX(I$21:I$30,Cover!$B$20)</f>
        <v>1</v>
      </c>
      <c r="J31" s="29">
        <f>INDEX(J$21:J$30,Cover!$B$20)</f>
        <v>1</v>
      </c>
      <c r="K31" s="29">
        <f>INDEX(K$21:K$30,Cover!$B$20)</f>
        <v>1</v>
      </c>
      <c r="L31" s="29">
        <f>INDEX(L$21:L$30,Cover!$B$20)</f>
        <v>1</v>
      </c>
      <c r="M31" s="29">
        <f>INDEX(M$21:M$30,Cover!$B$20)</f>
        <v>1</v>
      </c>
      <c r="N31" s="29">
        <f>INDEX(N$21:N$30,Cover!$B$20)</f>
        <v>1</v>
      </c>
      <c r="O31" s="29">
        <f>INDEX(O$21:O$30,Cover!$B$20)</f>
        <v>1</v>
      </c>
      <c r="P31" s="29">
        <f>INDEX(P$21:P$30,Cover!$B$20)</f>
        <v>1</v>
      </c>
      <c r="Q31" s="29">
        <f>INDEX(Q$21:Q$30,Cover!$B$20)</f>
        <v>1</v>
      </c>
      <c r="R31" s="29">
        <f>INDEX(R$21:R$30,Cover!$B$20)</f>
        <v>1</v>
      </c>
      <c r="S31" s="29">
        <f>INDEX(S$21:S$30,Cover!$B$20)</f>
        <v>1</v>
      </c>
      <c r="T31" s="29">
        <f>INDEX(T$21:T$30,Cover!$B$20)</f>
        <v>1</v>
      </c>
      <c r="U31" s="29">
        <f>INDEX(U$21:U$30,Cover!$B$20)</f>
        <v>1</v>
      </c>
      <c r="V31" s="29">
        <f>INDEX(V$21:V$30,Cover!$B$20)</f>
        <v>1</v>
      </c>
      <c r="W31" s="29">
        <f>INDEX(W$21:W$30,Cover!$B$20)</f>
        <v>1</v>
      </c>
      <c r="X31" s="29">
        <f>INDEX(X$21:X$30,Cover!$B$20)</f>
        <v>1</v>
      </c>
      <c r="Y31" s="29">
        <f>INDEX(Y$21:Y$30,Cover!$B$20)</f>
        <v>1</v>
      </c>
      <c r="Z31" s="29">
        <f>INDEX(Z$21:Z$30,Cover!$B$20)</f>
        <v>1</v>
      </c>
      <c r="AA31" s="29">
        <f>INDEX(AA$21:AA$30,Cover!$B$20)</f>
        <v>1</v>
      </c>
      <c r="AB31" s="29">
        <f>INDEX(AB$21:AB$30,Cover!$B$20)</f>
        <v>1</v>
      </c>
      <c r="AC31" s="29">
        <f>INDEX(AC$21:AC$30,Cover!$B$20)</f>
        <v>1</v>
      </c>
      <c r="AD31" s="29">
        <f>INDEX(AD$21:AD$30,Cover!$B$20)</f>
        <v>1</v>
      </c>
      <c r="AE31" s="29">
        <f>INDEX(AE$21:AE$30,Cover!$B$20)</f>
        <v>1</v>
      </c>
      <c r="AF31" s="29">
        <f>INDEX(AF$21:AF$30,Cover!$B$20)</f>
        <v>1</v>
      </c>
      <c r="AG31" s="29">
        <f>INDEX(AG$21:AG$30,Cover!$B$20)</f>
        <v>1</v>
      </c>
      <c r="AH31" s="29">
        <f>INDEX(AH$21:AH$30,Cover!$B$20)</f>
        <v>1</v>
      </c>
      <c r="AI31" s="29">
        <f>INDEX(AI$21:AI$30,Cover!$B$20)</f>
        <v>1</v>
      </c>
      <c r="AJ31" s="29">
        <f>INDEX(AJ$21:AJ$30,Cover!$B$20)</f>
        <v>1</v>
      </c>
      <c r="AK31" s="29">
        <f>INDEX(AK$21:AK$30,Cover!$B$20)</f>
        <v>1</v>
      </c>
      <c r="AL31" s="29">
        <f>INDEX(AL$21:AL$30,Cover!$B$20)</f>
        <v>1</v>
      </c>
      <c r="AM31" s="29">
        <f>INDEX(AM$21:AM$30,Cover!$B$20)</f>
        <v>1</v>
      </c>
      <c r="AN31" s="29">
        <f>INDEX(AN$21:AN$30,Cover!$B$20)</f>
        <v>1</v>
      </c>
      <c r="AO31" s="29">
        <f>INDEX(AO$21:AO$30,Cover!$B$20)</f>
        <v>1</v>
      </c>
      <c r="AP31" s="29">
        <f>INDEX(AP$21:AP$30,Cover!$B$20)</f>
        <v>1</v>
      </c>
      <c r="AQ31" s="29">
        <f>INDEX(AQ$21:AQ$30,Cover!$B$20)</f>
        <v>1</v>
      </c>
      <c r="AR31" s="29">
        <f>INDEX(AR$21:AR$30,Cover!$B$20)</f>
        <v>1</v>
      </c>
      <c r="AS31" s="29">
        <f>INDEX(AS$21:AS$30,Cover!$B$20)</f>
        <v>1</v>
      </c>
      <c r="AT31" s="29">
        <f>INDEX(AT$21:AT$30,Cover!$B$20)</f>
        <v>1</v>
      </c>
      <c r="AU31" s="29">
        <f>INDEX(AU$21:AU$30,Cover!$B$20)</f>
        <v>1</v>
      </c>
      <c r="AV31" s="29">
        <f>INDEX(AV$21:AV$30,Cover!$B$20)</f>
        <v>1</v>
      </c>
      <c r="AW31" s="29">
        <f>INDEX(AW$21:AW$30,Cover!$B$20)</f>
        <v>1</v>
      </c>
      <c r="AX31" s="29">
        <f>INDEX(AX$21:AX$30,Cover!$B$20)</f>
        <v>1</v>
      </c>
      <c r="AY31" s="29">
        <f>INDEX(AY$21:AY$30,Cover!$B$20)</f>
        <v>1</v>
      </c>
      <c r="AZ31" s="29">
        <f>INDEX(AZ$21:AZ$30,Cover!$B$20)</f>
        <v>1</v>
      </c>
      <c r="BA31" s="29">
        <f>INDEX(BA$21:BA$30,Cover!$B$20)</f>
        <v>1</v>
      </c>
      <c r="BB31" s="29">
        <f>INDEX(BB$21:BB$30,Cover!$B$20)</f>
        <v>1</v>
      </c>
      <c r="BC31" s="29">
        <f>INDEX(BC$21:BC$30,Cover!$B$20)</f>
        <v>1</v>
      </c>
      <c r="BD31" s="29">
        <f>INDEX(BD$21:BD$30,Cover!$B$20)</f>
        <v>1</v>
      </c>
      <c r="BE31" s="29">
        <f>INDEX(BE$21:BE$30,Cover!$B$20)</f>
        <v>1</v>
      </c>
      <c r="BF31" s="29">
        <f>INDEX(BF$21:BF$30,Cover!$B$20)</f>
        <v>1</v>
      </c>
      <c r="BG31" s="29">
        <f>INDEX(BG$21:BG$30,Cover!$B$20)</f>
        <v>1</v>
      </c>
      <c r="BH31" s="29">
        <f>INDEX(BH$21:BH$30,Cover!$B$20)</f>
        <v>1</v>
      </c>
      <c r="BI31" s="29">
        <f>INDEX(BI$21:BI$30,Cover!$B$20)</f>
        <v>1</v>
      </c>
      <c r="BJ31" s="29">
        <f>INDEX(BJ$21:BJ$30,Cover!$B$20)</f>
        <v>1</v>
      </c>
      <c r="BK31" s="29">
        <f>INDEX(BK$21:BK$30,Cover!$B$20)</f>
        <v>1</v>
      </c>
      <c r="BL31" s="29">
        <f>INDEX(BL$21:BL$30,Cover!$B$20)</f>
        <v>1</v>
      </c>
      <c r="BM31" s="29">
        <f>INDEX(BM$21:BM$30,Cover!$B$20)</f>
        <v>1</v>
      </c>
      <c r="BN31" s="29">
        <f>INDEX(BN$21:BN$30,Cover!$B$20)</f>
        <v>1</v>
      </c>
      <c r="BO31" s="29">
        <f>INDEX(BO$21:BO$30,Cover!$B$20)</f>
        <v>1</v>
      </c>
      <c r="BP31" s="29">
        <f>INDEX(BP$21:BP$30,Cover!$B$20)</f>
        <v>1</v>
      </c>
      <c r="BQ31" s="29">
        <f>INDEX(BQ$21:BQ$30,Cover!$B$20)</f>
        <v>1</v>
      </c>
      <c r="BR31" s="29">
        <f>INDEX(BR$21:BR$30,Cover!$B$20)</f>
        <v>1</v>
      </c>
      <c r="BS31" s="29">
        <f>INDEX(BS$21:BS$30,Cover!$B$20)</f>
        <v>1</v>
      </c>
      <c r="BT31" s="29">
        <f>INDEX(BT$21:BT$30,Cover!$B$20)</f>
        <v>1</v>
      </c>
      <c r="BU31" s="29">
        <f>INDEX(BU$21:BU$30,Cover!$B$20)</f>
        <v>1</v>
      </c>
      <c r="BV31" s="29">
        <f>INDEX(BV$21:BV$30,Cover!$B$20)</f>
        <v>1</v>
      </c>
      <c r="BW31" s="29">
        <f>INDEX(BW$21:BW$30,Cover!$B$20)</f>
        <v>1</v>
      </c>
      <c r="BX31" s="29">
        <f>INDEX(BX$21:BX$30,Cover!$B$20)</f>
        <v>1</v>
      </c>
      <c r="BY31" s="29">
        <f>INDEX(BY$21:BY$30,Cover!$B$20)</f>
        <v>1</v>
      </c>
      <c r="BZ31" s="29">
        <f>INDEX(BZ$21:BZ$30,Cover!$B$20)</f>
        <v>1</v>
      </c>
      <c r="CA31" s="29">
        <f>INDEX(CA$21:CA$30,Cover!$B$20)</f>
        <v>1</v>
      </c>
      <c r="CB31" s="29">
        <f>INDEX(CB$21:CB$30,Cover!$B$20)</f>
        <v>1</v>
      </c>
      <c r="CC31" s="29">
        <f>INDEX(CC$21:CC$30,Cover!$B$20)</f>
        <v>1</v>
      </c>
      <c r="CD31" s="29">
        <f>INDEX(CD$21:CD$30,Cover!$B$20)</f>
        <v>1</v>
      </c>
    </row>
    <row r="33" spans="1:82" x14ac:dyDescent="0.45">
      <c r="A33" s="3" t="s">
        <v>116</v>
      </c>
    </row>
    <row r="34" spans="1:82" x14ac:dyDescent="0.45">
      <c r="A34" t="s">
        <v>92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2000000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0</v>
      </c>
      <c r="AL34" s="19">
        <v>0</v>
      </c>
      <c r="AM34" s="19">
        <v>0</v>
      </c>
      <c r="AN34" s="19">
        <v>0</v>
      </c>
      <c r="AO34" s="19">
        <v>0</v>
      </c>
      <c r="AP34" s="19">
        <v>2000000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>
        <v>0</v>
      </c>
      <c r="AZ34" s="19">
        <v>0</v>
      </c>
      <c r="BA34" s="19">
        <v>0</v>
      </c>
      <c r="BB34" s="19">
        <v>0</v>
      </c>
      <c r="BC34" s="19">
        <v>0</v>
      </c>
      <c r="BD34" s="19">
        <v>0</v>
      </c>
      <c r="BE34" s="19">
        <v>0</v>
      </c>
      <c r="BF34" s="19">
        <v>0</v>
      </c>
      <c r="BG34" s="19">
        <v>0</v>
      </c>
      <c r="BH34" s="19">
        <v>0</v>
      </c>
      <c r="BI34" s="19">
        <v>0</v>
      </c>
      <c r="BJ34" s="19">
        <v>2000000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19">
        <v>0</v>
      </c>
      <c r="CA34" s="19">
        <v>0</v>
      </c>
      <c r="CB34" s="19">
        <v>0</v>
      </c>
      <c r="CC34" s="19">
        <v>0</v>
      </c>
      <c r="CD34" s="19">
        <v>2000000</v>
      </c>
    </row>
    <row r="35" spans="1:82" x14ac:dyDescent="0.45">
      <c r="A35" t="s">
        <v>93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2000000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>
        <v>0</v>
      </c>
      <c r="AI35" s="19">
        <v>0</v>
      </c>
      <c r="AJ35" s="19">
        <v>0</v>
      </c>
      <c r="AK35" s="19">
        <v>0</v>
      </c>
      <c r="AL35" s="19">
        <v>0</v>
      </c>
      <c r="AM35" s="19">
        <v>0</v>
      </c>
      <c r="AN35" s="19">
        <v>0</v>
      </c>
      <c r="AO35" s="19">
        <v>0</v>
      </c>
      <c r="AP35" s="19">
        <v>2000000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>
        <v>0</v>
      </c>
      <c r="AZ35" s="19">
        <v>0</v>
      </c>
      <c r="BA35" s="19">
        <v>0</v>
      </c>
      <c r="BB35" s="19">
        <v>0</v>
      </c>
      <c r="BC35" s="19">
        <v>0</v>
      </c>
      <c r="BD35" s="19">
        <v>0</v>
      </c>
      <c r="BE35" s="19">
        <v>0</v>
      </c>
      <c r="BF35" s="19">
        <v>0</v>
      </c>
      <c r="BG35" s="19">
        <v>0</v>
      </c>
      <c r="BH35" s="19">
        <v>0</v>
      </c>
      <c r="BI35" s="19">
        <v>0</v>
      </c>
      <c r="BJ35" s="19">
        <v>2000000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19">
        <v>0</v>
      </c>
      <c r="CA35" s="19">
        <v>0</v>
      </c>
      <c r="CB35" s="19">
        <v>0</v>
      </c>
      <c r="CC35" s="19">
        <v>0</v>
      </c>
      <c r="CD35" s="19">
        <v>2000000</v>
      </c>
    </row>
    <row r="36" spans="1:82" x14ac:dyDescent="0.45">
      <c r="A36" t="s">
        <v>94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2000000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19">
        <v>0</v>
      </c>
      <c r="AN36" s="19">
        <v>0</v>
      </c>
      <c r="AO36" s="19">
        <v>0</v>
      </c>
      <c r="AP36" s="19">
        <v>2000000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19">
        <v>0</v>
      </c>
      <c r="AZ36" s="19">
        <v>0</v>
      </c>
      <c r="BA36" s="19">
        <v>0</v>
      </c>
      <c r="BB36" s="19">
        <v>0</v>
      </c>
      <c r="BC36" s="19">
        <v>0</v>
      </c>
      <c r="BD36" s="19">
        <v>0</v>
      </c>
      <c r="BE36" s="19">
        <v>0</v>
      </c>
      <c r="BF36" s="19">
        <v>0</v>
      </c>
      <c r="BG36" s="19">
        <v>0</v>
      </c>
      <c r="BH36" s="19">
        <v>0</v>
      </c>
      <c r="BI36" s="19">
        <v>0</v>
      </c>
      <c r="BJ36" s="19">
        <v>2000000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19">
        <v>0</v>
      </c>
      <c r="CA36" s="19">
        <v>0</v>
      </c>
      <c r="CB36" s="19">
        <v>0</v>
      </c>
      <c r="CC36" s="19">
        <v>0</v>
      </c>
      <c r="CD36" s="19">
        <v>2000000</v>
      </c>
    </row>
    <row r="37" spans="1:82" x14ac:dyDescent="0.45">
      <c r="A37" t="s">
        <v>72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2000000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19">
        <v>0</v>
      </c>
      <c r="AN37" s="19">
        <v>0</v>
      </c>
      <c r="AO37" s="19">
        <v>0</v>
      </c>
      <c r="AP37" s="19">
        <v>2000000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19">
        <v>0</v>
      </c>
      <c r="AZ37" s="19">
        <v>0</v>
      </c>
      <c r="BA37" s="19">
        <v>0</v>
      </c>
      <c r="BB37" s="19">
        <v>0</v>
      </c>
      <c r="BC37" s="19">
        <v>0</v>
      </c>
      <c r="BD37" s="19">
        <v>0</v>
      </c>
      <c r="BE37" s="19">
        <v>0</v>
      </c>
      <c r="BF37" s="19">
        <v>0</v>
      </c>
      <c r="BG37" s="19">
        <v>0</v>
      </c>
      <c r="BH37" s="19">
        <v>0</v>
      </c>
      <c r="BI37" s="19">
        <v>0</v>
      </c>
      <c r="BJ37" s="19">
        <v>2000000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19">
        <v>0</v>
      </c>
      <c r="CA37" s="19">
        <v>0</v>
      </c>
      <c r="CB37" s="19">
        <v>0</v>
      </c>
      <c r="CC37" s="19">
        <v>0</v>
      </c>
      <c r="CD37" s="19">
        <v>2000000</v>
      </c>
    </row>
    <row r="38" spans="1:82" x14ac:dyDescent="0.45">
      <c r="A38" t="s">
        <v>73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2000000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19">
        <v>0</v>
      </c>
      <c r="AN38" s="19">
        <v>0</v>
      </c>
      <c r="AO38" s="19">
        <v>0</v>
      </c>
      <c r="AP38" s="19">
        <v>2000000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19">
        <v>0</v>
      </c>
      <c r="AZ38" s="19">
        <v>0</v>
      </c>
      <c r="BA38" s="19">
        <v>0</v>
      </c>
      <c r="BB38" s="19">
        <v>0</v>
      </c>
      <c r="BC38" s="19">
        <v>0</v>
      </c>
      <c r="BD38" s="19">
        <v>0</v>
      </c>
      <c r="BE38" s="19">
        <v>0</v>
      </c>
      <c r="BF38" s="19">
        <v>0</v>
      </c>
      <c r="BG38" s="19">
        <v>0</v>
      </c>
      <c r="BH38" s="19">
        <v>0</v>
      </c>
      <c r="BI38" s="19">
        <v>0</v>
      </c>
      <c r="BJ38" s="19">
        <v>2000000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19">
        <v>0</v>
      </c>
      <c r="CA38" s="19">
        <v>0</v>
      </c>
      <c r="CB38" s="19">
        <v>0</v>
      </c>
      <c r="CC38" s="19">
        <v>0</v>
      </c>
      <c r="CD38" s="19">
        <v>2000000</v>
      </c>
    </row>
    <row r="39" spans="1:82" x14ac:dyDescent="0.45">
      <c r="A39" t="s">
        <v>74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2000000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0</v>
      </c>
      <c r="AL39" s="19">
        <v>0</v>
      </c>
      <c r="AM39" s="19">
        <v>0</v>
      </c>
      <c r="AN39" s="19">
        <v>0</v>
      </c>
      <c r="AO39" s="19">
        <v>0</v>
      </c>
      <c r="AP39" s="19">
        <v>2000000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19">
        <v>0</v>
      </c>
      <c r="AZ39" s="19">
        <v>0</v>
      </c>
      <c r="BA39" s="19">
        <v>0</v>
      </c>
      <c r="BB39" s="19">
        <v>0</v>
      </c>
      <c r="BC39" s="19">
        <v>0</v>
      </c>
      <c r="BD39" s="19">
        <v>0</v>
      </c>
      <c r="BE39" s="19">
        <v>0</v>
      </c>
      <c r="BF39" s="19">
        <v>0</v>
      </c>
      <c r="BG39" s="19">
        <v>0</v>
      </c>
      <c r="BH39" s="19">
        <v>0</v>
      </c>
      <c r="BI39" s="19">
        <v>0</v>
      </c>
      <c r="BJ39" s="19">
        <v>2000000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19">
        <v>0</v>
      </c>
      <c r="CA39" s="19">
        <v>0</v>
      </c>
      <c r="CB39" s="19">
        <v>0</v>
      </c>
      <c r="CC39" s="19">
        <v>0</v>
      </c>
      <c r="CD39" s="19">
        <v>2000000</v>
      </c>
    </row>
    <row r="40" spans="1:82" x14ac:dyDescent="0.45">
      <c r="A40" t="s">
        <v>75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0</v>
      </c>
      <c r="T40" s="19">
        <v>0</v>
      </c>
      <c r="U40" s="19">
        <v>0</v>
      </c>
      <c r="V40" s="19">
        <v>2000000</v>
      </c>
      <c r="W40" s="19">
        <v>0</v>
      </c>
      <c r="X40" s="19">
        <v>0</v>
      </c>
      <c r="Y40" s="19">
        <v>0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9">
        <v>0</v>
      </c>
      <c r="AF40" s="19">
        <v>0</v>
      </c>
      <c r="AG40" s="19">
        <v>0</v>
      </c>
      <c r="AH40" s="19">
        <v>0</v>
      </c>
      <c r="AI40" s="19">
        <v>0</v>
      </c>
      <c r="AJ40" s="19">
        <v>0</v>
      </c>
      <c r="AK40" s="19">
        <v>0</v>
      </c>
      <c r="AL40" s="19">
        <v>0</v>
      </c>
      <c r="AM40" s="19">
        <v>0</v>
      </c>
      <c r="AN40" s="19">
        <v>0</v>
      </c>
      <c r="AO40" s="19">
        <v>0</v>
      </c>
      <c r="AP40" s="19">
        <v>2000000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19">
        <v>0</v>
      </c>
      <c r="AZ40" s="19">
        <v>0</v>
      </c>
      <c r="BA40" s="19">
        <v>0</v>
      </c>
      <c r="BB40" s="19">
        <v>0</v>
      </c>
      <c r="BC40" s="19">
        <v>0</v>
      </c>
      <c r="BD40" s="19">
        <v>0</v>
      </c>
      <c r="BE40" s="19">
        <v>0</v>
      </c>
      <c r="BF40" s="19">
        <v>0</v>
      </c>
      <c r="BG40" s="19">
        <v>0</v>
      </c>
      <c r="BH40" s="19">
        <v>0</v>
      </c>
      <c r="BI40" s="19">
        <v>0</v>
      </c>
      <c r="BJ40" s="19">
        <v>2000000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19">
        <v>0</v>
      </c>
      <c r="CA40" s="19">
        <v>0</v>
      </c>
      <c r="CB40" s="19">
        <v>0</v>
      </c>
      <c r="CC40" s="19">
        <v>0</v>
      </c>
      <c r="CD40" s="19">
        <v>2000000</v>
      </c>
    </row>
    <row r="41" spans="1:82" x14ac:dyDescent="0.45">
      <c r="A41" t="s">
        <v>76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2000000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19">
        <v>0</v>
      </c>
      <c r="AN41" s="19">
        <v>0</v>
      </c>
      <c r="AO41" s="19">
        <v>0</v>
      </c>
      <c r="AP41" s="19">
        <v>2000000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19">
        <v>0</v>
      </c>
      <c r="AZ41" s="19">
        <v>0</v>
      </c>
      <c r="BA41" s="19">
        <v>0</v>
      </c>
      <c r="BB41" s="19">
        <v>0</v>
      </c>
      <c r="BC41" s="19">
        <v>0</v>
      </c>
      <c r="BD41" s="19">
        <v>0</v>
      </c>
      <c r="BE41" s="19">
        <v>0</v>
      </c>
      <c r="BF41" s="19">
        <v>0</v>
      </c>
      <c r="BG41" s="19">
        <v>0</v>
      </c>
      <c r="BH41" s="19">
        <v>0</v>
      </c>
      <c r="BI41" s="19">
        <v>0</v>
      </c>
      <c r="BJ41" s="19">
        <v>2000000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19">
        <v>0</v>
      </c>
      <c r="CA41" s="19">
        <v>0</v>
      </c>
      <c r="CB41" s="19">
        <v>0</v>
      </c>
      <c r="CC41" s="19">
        <v>0</v>
      </c>
      <c r="CD41" s="19">
        <v>2000000</v>
      </c>
    </row>
    <row r="42" spans="1:82" x14ac:dyDescent="0.45">
      <c r="A42" t="s">
        <v>77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2000000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19">
        <v>0</v>
      </c>
      <c r="AN42" s="19">
        <v>0</v>
      </c>
      <c r="AO42" s="19">
        <v>0</v>
      </c>
      <c r="AP42" s="19">
        <v>2000000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19">
        <v>0</v>
      </c>
      <c r="AZ42" s="19">
        <v>0</v>
      </c>
      <c r="BA42" s="19">
        <v>0</v>
      </c>
      <c r="BB42" s="19">
        <v>0</v>
      </c>
      <c r="BC42" s="19">
        <v>0</v>
      </c>
      <c r="BD42" s="19">
        <v>0</v>
      </c>
      <c r="BE42" s="19">
        <v>0</v>
      </c>
      <c r="BF42" s="19">
        <v>0</v>
      </c>
      <c r="BG42" s="19">
        <v>0</v>
      </c>
      <c r="BH42" s="19">
        <v>0</v>
      </c>
      <c r="BI42" s="19">
        <v>0</v>
      </c>
      <c r="BJ42" s="19">
        <v>2000000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19">
        <v>0</v>
      </c>
      <c r="CA42" s="19">
        <v>0</v>
      </c>
      <c r="CB42" s="19">
        <v>0</v>
      </c>
      <c r="CC42" s="19">
        <v>0</v>
      </c>
      <c r="CD42" s="19">
        <v>2000000</v>
      </c>
    </row>
    <row r="43" spans="1:82" x14ac:dyDescent="0.45">
      <c r="A43" t="s">
        <v>78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2000000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19">
        <v>0</v>
      </c>
      <c r="AN43" s="19">
        <v>0</v>
      </c>
      <c r="AO43" s="19">
        <v>0</v>
      </c>
      <c r="AP43" s="19">
        <v>2000000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19">
        <v>0</v>
      </c>
      <c r="AZ43" s="19">
        <v>0</v>
      </c>
      <c r="BA43" s="19">
        <v>0</v>
      </c>
      <c r="BB43" s="19">
        <v>0</v>
      </c>
      <c r="BC43" s="19">
        <v>0</v>
      </c>
      <c r="BD43" s="19">
        <v>0</v>
      </c>
      <c r="BE43" s="19">
        <v>0</v>
      </c>
      <c r="BF43" s="19">
        <v>0</v>
      </c>
      <c r="BG43" s="19">
        <v>0</v>
      </c>
      <c r="BH43" s="19">
        <v>0</v>
      </c>
      <c r="BI43" s="19">
        <v>0</v>
      </c>
      <c r="BJ43" s="19">
        <v>2000000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19">
        <v>0</v>
      </c>
      <c r="CA43" s="19">
        <v>0</v>
      </c>
      <c r="CB43" s="19">
        <v>0</v>
      </c>
      <c r="CC43" s="19">
        <v>0</v>
      </c>
      <c r="CD43" s="19">
        <v>2000000</v>
      </c>
    </row>
    <row r="44" spans="1:82" x14ac:dyDescent="0.45">
      <c r="A44" s="3" t="s">
        <v>117</v>
      </c>
      <c r="C44" s="18">
        <f>INDEX(C$34:C$43,Cover!$B$20)</f>
        <v>0</v>
      </c>
      <c r="D44" s="18">
        <f>INDEX(D$34:D$43,Cover!$B$20)</f>
        <v>0</v>
      </c>
      <c r="E44" s="18">
        <f>INDEX(E$34:E$43,Cover!$B$20)</f>
        <v>0</v>
      </c>
      <c r="F44" s="18">
        <f>INDEX(F$34:F$43,Cover!$B$20)</f>
        <v>0</v>
      </c>
      <c r="G44" s="18">
        <f>INDEX(G$34:G$43,Cover!$B$20)</f>
        <v>0</v>
      </c>
      <c r="H44" s="18">
        <f>INDEX(H$34:H$43,Cover!$B$20)</f>
        <v>0</v>
      </c>
      <c r="I44" s="18">
        <f>INDEX(I$34:I$43,Cover!$B$20)</f>
        <v>0</v>
      </c>
      <c r="J44" s="18">
        <f>INDEX(J$34:J$43,Cover!$B$20)</f>
        <v>0</v>
      </c>
      <c r="K44" s="18">
        <f>INDEX(K$34:K$43,Cover!$B$20)</f>
        <v>0</v>
      </c>
      <c r="L44" s="18">
        <f>INDEX(L$34:L$43,Cover!$B$20)</f>
        <v>0</v>
      </c>
      <c r="M44" s="18">
        <f>INDEX(M$34:M$43,Cover!$B$20)</f>
        <v>0</v>
      </c>
      <c r="N44" s="18">
        <f>INDEX(N$34:N$43,Cover!$B$20)</f>
        <v>0</v>
      </c>
      <c r="O44" s="18">
        <f>INDEX(O$34:O$43,Cover!$B$20)</f>
        <v>0</v>
      </c>
      <c r="P44" s="18">
        <f>INDEX(P$34:P$43,Cover!$B$20)</f>
        <v>0</v>
      </c>
      <c r="Q44" s="18">
        <f>INDEX(Q$34:Q$43,Cover!$B$20)</f>
        <v>0</v>
      </c>
      <c r="R44" s="18">
        <f>INDEX(R$34:R$43,Cover!$B$20)</f>
        <v>0</v>
      </c>
      <c r="S44" s="18">
        <f>INDEX(S$34:S$43,Cover!$B$20)</f>
        <v>0</v>
      </c>
      <c r="T44" s="18">
        <f>INDEX(T$34:T$43,Cover!$B$20)</f>
        <v>0</v>
      </c>
      <c r="U44" s="18">
        <f>INDEX(U$34:U$43,Cover!$B$20)</f>
        <v>0</v>
      </c>
      <c r="V44" s="18">
        <f>INDEX(V$34:V$43,Cover!$B$20)</f>
        <v>2000000</v>
      </c>
      <c r="W44" s="18">
        <f>INDEX(W$34:W$43,Cover!$B$20)</f>
        <v>0</v>
      </c>
      <c r="X44" s="18">
        <f>INDEX(X$34:X$43,Cover!$B$20)</f>
        <v>0</v>
      </c>
      <c r="Y44" s="18">
        <f>INDEX(Y$34:Y$43,Cover!$B$20)</f>
        <v>0</v>
      </c>
      <c r="Z44" s="18">
        <f>INDEX(Z$34:Z$43,Cover!$B$20)</f>
        <v>0</v>
      </c>
      <c r="AA44" s="18">
        <f>INDEX(AA$34:AA$43,Cover!$B$20)</f>
        <v>0</v>
      </c>
      <c r="AB44" s="18">
        <f>INDEX(AB$34:AB$43,Cover!$B$20)</f>
        <v>0</v>
      </c>
      <c r="AC44" s="18">
        <f>INDEX(AC$34:AC$43,Cover!$B$20)</f>
        <v>0</v>
      </c>
      <c r="AD44" s="18">
        <f>INDEX(AD$34:AD$43,Cover!$B$20)</f>
        <v>0</v>
      </c>
      <c r="AE44" s="18">
        <f>INDEX(AE$34:AE$43,Cover!$B$20)</f>
        <v>0</v>
      </c>
      <c r="AF44" s="18">
        <f>INDEX(AF$34:AF$43,Cover!$B$20)</f>
        <v>0</v>
      </c>
      <c r="AG44" s="18">
        <f>INDEX(AG$34:AG$43,Cover!$B$20)</f>
        <v>0</v>
      </c>
      <c r="AH44" s="18">
        <f>INDEX(AH$34:AH$43,Cover!$B$20)</f>
        <v>0</v>
      </c>
      <c r="AI44" s="18">
        <f>INDEX(AI$34:AI$43,Cover!$B$20)</f>
        <v>0</v>
      </c>
      <c r="AJ44" s="18">
        <f>INDEX(AJ$34:AJ$43,Cover!$B$20)</f>
        <v>0</v>
      </c>
      <c r="AK44" s="18">
        <f>INDEX(AK$34:AK$43,Cover!$B$20)</f>
        <v>0</v>
      </c>
      <c r="AL44" s="18">
        <f>INDEX(AL$34:AL$43,Cover!$B$20)</f>
        <v>0</v>
      </c>
      <c r="AM44" s="18">
        <f>INDEX(AM$34:AM$43,Cover!$B$20)</f>
        <v>0</v>
      </c>
      <c r="AN44" s="18">
        <f>INDEX(AN$34:AN$43,Cover!$B$20)</f>
        <v>0</v>
      </c>
      <c r="AO44" s="18">
        <f>INDEX(AO$34:AO$43,Cover!$B$20)</f>
        <v>0</v>
      </c>
      <c r="AP44" s="18">
        <f>INDEX(AP$34:AP$43,Cover!$B$20)</f>
        <v>2000000</v>
      </c>
      <c r="AQ44" s="18">
        <f>INDEX(AQ$34:AQ$43,Cover!$B$20)</f>
        <v>0</v>
      </c>
      <c r="AR44" s="18">
        <f>INDEX(AR$34:AR$43,Cover!$B$20)</f>
        <v>0</v>
      </c>
      <c r="AS44" s="18">
        <f>INDEX(AS$34:AS$43,Cover!$B$20)</f>
        <v>0</v>
      </c>
      <c r="AT44" s="18">
        <f>INDEX(AT$34:AT$43,Cover!$B$20)</f>
        <v>0</v>
      </c>
      <c r="AU44" s="18">
        <f>INDEX(AU$34:AU$43,Cover!$B$20)</f>
        <v>0</v>
      </c>
      <c r="AV44" s="18">
        <f>INDEX(AV$34:AV$43,Cover!$B$20)</f>
        <v>0</v>
      </c>
      <c r="AW44" s="18">
        <f>INDEX(AW$34:AW$43,Cover!$B$20)</f>
        <v>0</v>
      </c>
      <c r="AX44" s="18">
        <f>INDEX(AX$34:AX$43,Cover!$B$20)</f>
        <v>0</v>
      </c>
      <c r="AY44" s="18">
        <f>INDEX(AY$34:AY$43,Cover!$B$20)</f>
        <v>0</v>
      </c>
      <c r="AZ44" s="18">
        <f>INDEX(AZ$34:AZ$43,Cover!$B$20)</f>
        <v>0</v>
      </c>
      <c r="BA44" s="18">
        <f>INDEX(BA$34:BA$43,Cover!$B$20)</f>
        <v>0</v>
      </c>
      <c r="BB44" s="18">
        <f>INDEX(BB$34:BB$43,Cover!$B$20)</f>
        <v>0</v>
      </c>
      <c r="BC44" s="18">
        <f>INDEX(BC$34:BC$43,Cover!$B$20)</f>
        <v>0</v>
      </c>
      <c r="BD44" s="18">
        <f>INDEX(BD$34:BD$43,Cover!$B$20)</f>
        <v>0</v>
      </c>
      <c r="BE44" s="18">
        <f>INDEX(BE$34:BE$43,Cover!$B$20)</f>
        <v>0</v>
      </c>
      <c r="BF44" s="18">
        <f>INDEX(BF$34:BF$43,Cover!$B$20)</f>
        <v>0</v>
      </c>
      <c r="BG44" s="18">
        <f>INDEX(BG$34:BG$43,Cover!$B$20)</f>
        <v>0</v>
      </c>
      <c r="BH44" s="18">
        <f>INDEX(BH$34:BH$43,Cover!$B$20)</f>
        <v>0</v>
      </c>
      <c r="BI44" s="18">
        <f>INDEX(BI$34:BI$43,Cover!$B$20)</f>
        <v>0</v>
      </c>
      <c r="BJ44" s="18">
        <f>INDEX(BJ$34:BJ$43,Cover!$B$20)</f>
        <v>2000000</v>
      </c>
      <c r="BK44" s="18">
        <f>INDEX(BK$34:BK$43,Cover!$B$20)</f>
        <v>0</v>
      </c>
      <c r="BL44" s="18">
        <f>INDEX(BL$34:BL$43,Cover!$B$20)</f>
        <v>0</v>
      </c>
      <c r="BM44" s="18">
        <f>INDEX(BM$34:BM$43,Cover!$B$20)</f>
        <v>0</v>
      </c>
      <c r="BN44" s="18">
        <f>INDEX(BN$34:BN$43,Cover!$B$20)</f>
        <v>0</v>
      </c>
      <c r="BO44" s="18">
        <f>INDEX(BO$34:BO$43,Cover!$B$20)</f>
        <v>0</v>
      </c>
      <c r="BP44" s="18">
        <f>INDEX(BP$34:BP$43,Cover!$B$20)</f>
        <v>0</v>
      </c>
      <c r="BQ44" s="18">
        <f>INDEX(BQ$34:BQ$43,Cover!$B$20)</f>
        <v>0</v>
      </c>
      <c r="BR44" s="18">
        <f>INDEX(BR$34:BR$43,Cover!$B$20)</f>
        <v>0</v>
      </c>
      <c r="BS44" s="18">
        <f>INDEX(BS$34:BS$43,Cover!$B$20)</f>
        <v>0</v>
      </c>
      <c r="BT44" s="18">
        <f>INDEX(BT$34:BT$43,Cover!$B$20)</f>
        <v>0</v>
      </c>
      <c r="BU44" s="18">
        <f>INDEX(BU$34:BU$43,Cover!$B$20)</f>
        <v>0</v>
      </c>
      <c r="BV44" s="18">
        <f>INDEX(BV$34:BV$43,Cover!$B$20)</f>
        <v>0</v>
      </c>
      <c r="BW44" s="18">
        <f>INDEX(BW$34:BW$43,Cover!$B$20)</f>
        <v>0</v>
      </c>
      <c r="BX44" s="18">
        <f>INDEX(BX$34:BX$43,Cover!$B$20)</f>
        <v>0</v>
      </c>
      <c r="BY44" s="18">
        <f>INDEX(BY$34:BY$43,Cover!$B$20)</f>
        <v>0</v>
      </c>
      <c r="BZ44" s="18">
        <f>INDEX(BZ$34:BZ$43,Cover!$B$20)</f>
        <v>0</v>
      </c>
      <c r="CA44" s="18">
        <f>INDEX(CA$34:CA$43,Cover!$B$20)</f>
        <v>0</v>
      </c>
      <c r="CB44" s="18">
        <f>INDEX(CB$34:CB$43,Cover!$B$20)</f>
        <v>0</v>
      </c>
      <c r="CC44" s="18">
        <f>INDEX(CC$34:CC$43,Cover!$B$20)</f>
        <v>0</v>
      </c>
      <c r="CD44" s="18">
        <f>INDEX(CD$34:CD$43,Cover!$B$20)</f>
        <v>2000000</v>
      </c>
    </row>
    <row r="47" spans="1:82" x14ac:dyDescent="0.45">
      <c r="A47" s="3" t="s">
        <v>118</v>
      </c>
    </row>
    <row r="48" spans="1:82" x14ac:dyDescent="0.45">
      <c r="A48" s="3" t="s">
        <v>119</v>
      </c>
      <c r="B48" s="3" t="s">
        <v>120</v>
      </c>
    </row>
    <row r="49" spans="1:82" x14ac:dyDescent="0.45">
      <c r="A49" t="s">
        <v>121</v>
      </c>
      <c r="B49" s="13">
        <f>Assumptions_Constant!$B$16</f>
        <v>0</v>
      </c>
      <c r="C49" s="30">
        <v>1</v>
      </c>
      <c r="D49" s="30">
        <f t="shared" ref="D49:AI49" si="0">C49*(1+$B$49)^(1/4)</f>
        <v>1</v>
      </c>
      <c r="E49" s="30">
        <f t="shared" si="0"/>
        <v>1</v>
      </c>
      <c r="F49" s="30">
        <f t="shared" si="0"/>
        <v>1</v>
      </c>
      <c r="G49" s="30">
        <f t="shared" si="0"/>
        <v>1</v>
      </c>
      <c r="H49" s="30">
        <f t="shared" si="0"/>
        <v>1</v>
      </c>
      <c r="I49" s="30">
        <f t="shared" si="0"/>
        <v>1</v>
      </c>
      <c r="J49" s="30">
        <f t="shared" si="0"/>
        <v>1</v>
      </c>
      <c r="K49" s="30">
        <f t="shared" si="0"/>
        <v>1</v>
      </c>
      <c r="L49" s="30">
        <f t="shared" si="0"/>
        <v>1</v>
      </c>
      <c r="M49" s="30">
        <f t="shared" si="0"/>
        <v>1</v>
      </c>
      <c r="N49" s="30">
        <f t="shared" si="0"/>
        <v>1</v>
      </c>
      <c r="O49" s="30">
        <f t="shared" si="0"/>
        <v>1</v>
      </c>
      <c r="P49" s="30">
        <f t="shared" si="0"/>
        <v>1</v>
      </c>
      <c r="Q49" s="30">
        <f t="shared" si="0"/>
        <v>1</v>
      </c>
      <c r="R49" s="30">
        <f t="shared" si="0"/>
        <v>1</v>
      </c>
      <c r="S49" s="30">
        <f t="shared" si="0"/>
        <v>1</v>
      </c>
      <c r="T49" s="30">
        <f t="shared" si="0"/>
        <v>1</v>
      </c>
      <c r="U49" s="30">
        <f t="shared" si="0"/>
        <v>1</v>
      </c>
      <c r="V49" s="30">
        <f t="shared" si="0"/>
        <v>1</v>
      </c>
      <c r="W49" s="30">
        <f t="shared" si="0"/>
        <v>1</v>
      </c>
      <c r="X49" s="30">
        <f t="shared" si="0"/>
        <v>1</v>
      </c>
      <c r="Y49" s="30">
        <f t="shared" si="0"/>
        <v>1</v>
      </c>
      <c r="Z49" s="30">
        <f t="shared" si="0"/>
        <v>1</v>
      </c>
      <c r="AA49" s="30">
        <f t="shared" si="0"/>
        <v>1</v>
      </c>
      <c r="AB49" s="30">
        <f t="shared" si="0"/>
        <v>1</v>
      </c>
      <c r="AC49" s="30">
        <f t="shared" si="0"/>
        <v>1</v>
      </c>
      <c r="AD49" s="30">
        <f t="shared" si="0"/>
        <v>1</v>
      </c>
      <c r="AE49" s="30">
        <f t="shared" si="0"/>
        <v>1</v>
      </c>
      <c r="AF49" s="30">
        <f t="shared" si="0"/>
        <v>1</v>
      </c>
      <c r="AG49" s="30">
        <f t="shared" si="0"/>
        <v>1</v>
      </c>
      <c r="AH49" s="30">
        <f t="shared" si="0"/>
        <v>1</v>
      </c>
      <c r="AI49" s="30">
        <f t="shared" si="0"/>
        <v>1</v>
      </c>
      <c r="AJ49" s="30">
        <f t="shared" ref="AJ49:BO49" si="1">AI49*(1+$B$49)^(1/4)</f>
        <v>1</v>
      </c>
      <c r="AK49" s="30">
        <f t="shared" si="1"/>
        <v>1</v>
      </c>
      <c r="AL49" s="30">
        <f t="shared" si="1"/>
        <v>1</v>
      </c>
      <c r="AM49" s="30">
        <f t="shared" si="1"/>
        <v>1</v>
      </c>
      <c r="AN49" s="30">
        <f t="shared" si="1"/>
        <v>1</v>
      </c>
      <c r="AO49" s="30">
        <f t="shared" si="1"/>
        <v>1</v>
      </c>
      <c r="AP49" s="30">
        <f t="shared" si="1"/>
        <v>1</v>
      </c>
      <c r="AQ49" s="30">
        <f t="shared" si="1"/>
        <v>1</v>
      </c>
      <c r="AR49" s="30">
        <f t="shared" si="1"/>
        <v>1</v>
      </c>
      <c r="AS49" s="30">
        <f t="shared" si="1"/>
        <v>1</v>
      </c>
      <c r="AT49" s="30">
        <f t="shared" si="1"/>
        <v>1</v>
      </c>
      <c r="AU49" s="30">
        <f t="shared" si="1"/>
        <v>1</v>
      </c>
      <c r="AV49" s="30">
        <f t="shared" si="1"/>
        <v>1</v>
      </c>
      <c r="AW49" s="30">
        <f t="shared" si="1"/>
        <v>1</v>
      </c>
      <c r="AX49" s="30">
        <f t="shared" si="1"/>
        <v>1</v>
      </c>
      <c r="AY49" s="30">
        <f t="shared" si="1"/>
        <v>1</v>
      </c>
      <c r="AZ49" s="30">
        <f t="shared" si="1"/>
        <v>1</v>
      </c>
      <c r="BA49" s="30">
        <f t="shared" si="1"/>
        <v>1</v>
      </c>
      <c r="BB49" s="30">
        <f t="shared" si="1"/>
        <v>1</v>
      </c>
      <c r="BC49" s="30">
        <f t="shared" si="1"/>
        <v>1</v>
      </c>
      <c r="BD49" s="30">
        <f t="shared" si="1"/>
        <v>1</v>
      </c>
      <c r="BE49" s="30">
        <f t="shared" si="1"/>
        <v>1</v>
      </c>
      <c r="BF49" s="30">
        <f t="shared" si="1"/>
        <v>1</v>
      </c>
      <c r="BG49" s="30">
        <f t="shared" si="1"/>
        <v>1</v>
      </c>
      <c r="BH49" s="30">
        <f t="shared" si="1"/>
        <v>1</v>
      </c>
      <c r="BI49" s="30">
        <f t="shared" si="1"/>
        <v>1</v>
      </c>
      <c r="BJ49" s="30">
        <f t="shared" si="1"/>
        <v>1</v>
      </c>
      <c r="BK49" s="30">
        <f t="shared" si="1"/>
        <v>1</v>
      </c>
      <c r="BL49" s="30">
        <f t="shared" si="1"/>
        <v>1</v>
      </c>
      <c r="BM49" s="30">
        <f t="shared" si="1"/>
        <v>1</v>
      </c>
      <c r="BN49" s="30">
        <f t="shared" si="1"/>
        <v>1</v>
      </c>
      <c r="BO49" s="30">
        <f t="shared" si="1"/>
        <v>1</v>
      </c>
      <c r="BP49" s="30">
        <f t="shared" ref="BP49:CD49" si="2">BO49*(1+$B$49)^(1/4)</f>
        <v>1</v>
      </c>
      <c r="BQ49" s="30">
        <f t="shared" si="2"/>
        <v>1</v>
      </c>
      <c r="BR49" s="30">
        <f t="shared" si="2"/>
        <v>1</v>
      </c>
      <c r="BS49" s="30">
        <f t="shared" si="2"/>
        <v>1</v>
      </c>
      <c r="BT49" s="30">
        <f t="shared" si="2"/>
        <v>1</v>
      </c>
      <c r="BU49" s="30">
        <f t="shared" si="2"/>
        <v>1</v>
      </c>
      <c r="BV49" s="30">
        <f t="shared" si="2"/>
        <v>1</v>
      </c>
      <c r="BW49" s="30">
        <f t="shared" si="2"/>
        <v>1</v>
      </c>
      <c r="BX49" s="30">
        <f t="shared" si="2"/>
        <v>1</v>
      </c>
      <c r="BY49" s="30">
        <f t="shared" si="2"/>
        <v>1</v>
      </c>
      <c r="BZ49" s="30">
        <f t="shared" si="2"/>
        <v>1</v>
      </c>
      <c r="CA49" s="30">
        <f t="shared" si="2"/>
        <v>1</v>
      </c>
      <c r="CB49" s="30">
        <f t="shared" si="2"/>
        <v>1</v>
      </c>
      <c r="CC49" s="30">
        <f t="shared" si="2"/>
        <v>1</v>
      </c>
      <c r="CD49" s="30">
        <f t="shared" si="2"/>
        <v>1</v>
      </c>
    </row>
    <row r="50" spans="1:82" x14ac:dyDescent="0.45">
      <c r="A50" t="s">
        <v>122</v>
      </c>
      <c r="B50" s="13">
        <f>Assumptions_Constant!$B$17</f>
        <v>0</v>
      </c>
      <c r="C50" s="30">
        <v>1</v>
      </c>
      <c r="D50" s="30">
        <f t="shared" ref="D50:AI50" si="3">C50*(1+$B$50)^(1/4)</f>
        <v>1</v>
      </c>
      <c r="E50" s="30">
        <f t="shared" si="3"/>
        <v>1</v>
      </c>
      <c r="F50" s="30">
        <f t="shared" si="3"/>
        <v>1</v>
      </c>
      <c r="G50" s="30">
        <f t="shared" si="3"/>
        <v>1</v>
      </c>
      <c r="H50" s="30">
        <f t="shared" si="3"/>
        <v>1</v>
      </c>
      <c r="I50" s="30">
        <f t="shared" si="3"/>
        <v>1</v>
      </c>
      <c r="J50" s="30">
        <f t="shared" si="3"/>
        <v>1</v>
      </c>
      <c r="K50" s="30">
        <f t="shared" si="3"/>
        <v>1</v>
      </c>
      <c r="L50" s="30">
        <f t="shared" si="3"/>
        <v>1</v>
      </c>
      <c r="M50" s="30">
        <f t="shared" si="3"/>
        <v>1</v>
      </c>
      <c r="N50" s="30">
        <f t="shared" si="3"/>
        <v>1</v>
      </c>
      <c r="O50" s="30">
        <f t="shared" si="3"/>
        <v>1</v>
      </c>
      <c r="P50" s="30">
        <f t="shared" si="3"/>
        <v>1</v>
      </c>
      <c r="Q50" s="30">
        <f t="shared" si="3"/>
        <v>1</v>
      </c>
      <c r="R50" s="30">
        <f t="shared" si="3"/>
        <v>1</v>
      </c>
      <c r="S50" s="30">
        <f t="shared" si="3"/>
        <v>1</v>
      </c>
      <c r="T50" s="30">
        <f t="shared" si="3"/>
        <v>1</v>
      </c>
      <c r="U50" s="30">
        <f t="shared" si="3"/>
        <v>1</v>
      </c>
      <c r="V50" s="30">
        <f t="shared" si="3"/>
        <v>1</v>
      </c>
      <c r="W50" s="30">
        <f t="shared" si="3"/>
        <v>1</v>
      </c>
      <c r="X50" s="30">
        <f t="shared" si="3"/>
        <v>1</v>
      </c>
      <c r="Y50" s="30">
        <f t="shared" si="3"/>
        <v>1</v>
      </c>
      <c r="Z50" s="30">
        <f t="shared" si="3"/>
        <v>1</v>
      </c>
      <c r="AA50" s="30">
        <f t="shared" si="3"/>
        <v>1</v>
      </c>
      <c r="AB50" s="30">
        <f t="shared" si="3"/>
        <v>1</v>
      </c>
      <c r="AC50" s="30">
        <f t="shared" si="3"/>
        <v>1</v>
      </c>
      <c r="AD50" s="30">
        <f t="shared" si="3"/>
        <v>1</v>
      </c>
      <c r="AE50" s="30">
        <f t="shared" si="3"/>
        <v>1</v>
      </c>
      <c r="AF50" s="30">
        <f t="shared" si="3"/>
        <v>1</v>
      </c>
      <c r="AG50" s="30">
        <f t="shared" si="3"/>
        <v>1</v>
      </c>
      <c r="AH50" s="30">
        <f t="shared" si="3"/>
        <v>1</v>
      </c>
      <c r="AI50" s="30">
        <f t="shared" si="3"/>
        <v>1</v>
      </c>
      <c r="AJ50" s="30">
        <f t="shared" ref="AJ50:BO50" si="4">AI50*(1+$B$50)^(1/4)</f>
        <v>1</v>
      </c>
      <c r="AK50" s="30">
        <f t="shared" si="4"/>
        <v>1</v>
      </c>
      <c r="AL50" s="30">
        <f t="shared" si="4"/>
        <v>1</v>
      </c>
      <c r="AM50" s="30">
        <f t="shared" si="4"/>
        <v>1</v>
      </c>
      <c r="AN50" s="30">
        <f t="shared" si="4"/>
        <v>1</v>
      </c>
      <c r="AO50" s="30">
        <f t="shared" si="4"/>
        <v>1</v>
      </c>
      <c r="AP50" s="30">
        <f t="shared" si="4"/>
        <v>1</v>
      </c>
      <c r="AQ50" s="30">
        <f t="shared" si="4"/>
        <v>1</v>
      </c>
      <c r="AR50" s="30">
        <f t="shared" si="4"/>
        <v>1</v>
      </c>
      <c r="AS50" s="30">
        <f t="shared" si="4"/>
        <v>1</v>
      </c>
      <c r="AT50" s="30">
        <f t="shared" si="4"/>
        <v>1</v>
      </c>
      <c r="AU50" s="30">
        <f t="shared" si="4"/>
        <v>1</v>
      </c>
      <c r="AV50" s="30">
        <f t="shared" si="4"/>
        <v>1</v>
      </c>
      <c r="AW50" s="30">
        <f t="shared" si="4"/>
        <v>1</v>
      </c>
      <c r="AX50" s="30">
        <f t="shared" si="4"/>
        <v>1</v>
      </c>
      <c r="AY50" s="30">
        <f t="shared" si="4"/>
        <v>1</v>
      </c>
      <c r="AZ50" s="30">
        <f t="shared" si="4"/>
        <v>1</v>
      </c>
      <c r="BA50" s="30">
        <f t="shared" si="4"/>
        <v>1</v>
      </c>
      <c r="BB50" s="30">
        <f t="shared" si="4"/>
        <v>1</v>
      </c>
      <c r="BC50" s="30">
        <f t="shared" si="4"/>
        <v>1</v>
      </c>
      <c r="BD50" s="30">
        <f t="shared" si="4"/>
        <v>1</v>
      </c>
      <c r="BE50" s="30">
        <f t="shared" si="4"/>
        <v>1</v>
      </c>
      <c r="BF50" s="30">
        <f t="shared" si="4"/>
        <v>1</v>
      </c>
      <c r="BG50" s="30">
        <f t="shared" si="4"/>
        <v>1</v>
      </c>
      <c r="BH50" s="30">
        <f t="shared" si="4"/>
        <v>1</v>
      </c>
      <c r="BI50" s="30">
        <f t="shared" si="4"/>
        <v>1</v>
      </c>
      <c r="BJ50" s="30">
        <f t="shared" si="4"/>
        <v>1</v>
      </c>
      <c r="BK50" s="30">
        <f t="shared" si="4"/>
        <v>1</v>
      </c>
      <c r="BL50" s="30">
        <f t="shared" si="4"/>
        <v>1</v>
      </c>
      <c r="BM50" s="30">
        <f t="shared" si="4"/>
        <v>1</v>
      </c>
      <c r="BN50" s="30">
        <f t="shared" si="4"/>
        <v>1</v>
      </c>
      <c r="BO50" s="30">
        <f t="shared" si="4"/>
        <v>1</v>
      </c>
      <c r="BP50" s="30">
        <f t="shared" ref="BP50:CD50" si="5">BO50*(1+$B$50)^(1/4)</f>
        <v>1</v>
      </c>
      <c r="BQ50" s="30">
        <f t="shared" si="5"/>
        <v>1</v>
      </c>
      <c r="BR50" s="30">
        <f t="shared" si="5"/>
        <v>1</v>
      </c>
      <c r="BS50" s="30">
        <f t="shared" si="5"/>
        <v>1</v>
      </c>
      <c r="BT50" s="30">
        <f t="shared" si="5"/>
        <v>1</v>
      </c>
      <c r="BU50" s="30">
        <f t="shared" si="5"/>
        <v>1</v>
      </c>
      <c r="BV50" s="30">
        <f t="shared" si="5"/>
        <v>1</v>
      </c>
      <c r="BW50" s="30">
        <f t="shared" si="5"/>
        <v>1</v>
      </c>
      <c r="BX50" s="30">
        <f t="shared" si="5"/>
        <v>1</v>
      </c>
      <c r="BY50" s="30">
        <f t="shared" si="5"/>
        <v>1</v>
      </c>
      <c r="BZ50" s="30">
        <f t="shared" si="5"/>
        <v>1</v>
      </c>
      <c r="CA50" s="30">
        <f t="shared" si="5"/>
        <v>1</v>
      </c>
      <c r="CB50" s="30">
        <f t="shared" si="5"/>
        <v>1</v>
      </c>
      <c r="CC50" s="30">
        <f t="shared" si="5"/>
        <v>1</v>
      </c>
      <c r="CD50" s="30">
        <f t="shared" si="5"/>
        <v>1</v>
      </c>
    </row>
    <row r="51" spans="1:82" x14ac:dyDescent="0.45">
      <c r="A51" t="s">
        <v>123</v>
      </c>
      <c r="B51" s="13">
        <f>Assumptions_Constant!$B$18</f>
        <v>2.5000000000000001E-2</v>
      </c>
      <c r="C51" s="30">
        <v>1</v>
      </c>
      <c r="D51" s="30">
        <f t="shared" ref="D51:AI51" si="6">C51*(1+$B$51)^(1/4)</f>
        <v>1.0061922463256361</v>
      </c>
      <c r="E51" s="30">
        <f t="shared" si="6"/>
        <v>1.0124228365658294</v>
      </c>
      <c r="F51" s="30">
        <f t="shared" si="6"/>
        <v>1.0186920081555442</v>
      </c>
      <c r="G51" s="30">
        <f t="shared" si="6"/>
        <v>1.0250000000000001</v>
      </c>
      <c r="H51" s="30">
        <f t="shared" si="6"/>
        <v>1.0313470524837771</v>
      </c>
      <c r="I51" s="30">
        <f t="shared" si="6"/>
        <v>1.0377334074799753</v>
      </c>
      <c r="J51" s="30">
        <f t="shared" si="6"/>
        <v>1.0441593083594329</v>
      </c>
      <c r="K51" s="30">
        <f t="shared" si="6"/>
        <v>1.0506250000000004</v>
      </c>
      <c r="L51" s="30">
        <f t="shared" si="6"/>
        <v>1.0571307287958718</v>
      </c>
      <c r="M51" s="30">
        <f t="shared" si="6"/>
        <v>1.0636767426669751</v>
      </c>
      <c r="N51" s="30">
        <f t="shared" si="6"/>
        <v>1.0702632910684193</v>
      </c>
      <c r="O51" s="30">
        <f t="shared" si="6"/>
        <v>1.076890625000001</v>
      </c>
      <c r="P51" s="30">
        <f t="shared" si="6"/>
        <v>1.0835589970157693</v>
      </c>
      <c r="Q51" s="30">
        <f t="shared" si="6"/>
        <v>1.0902686612336501</v>
      </c>
      <c r="R51" s="30">
        <f t="shared" si="6"/>
        <v>1.0970198733451304</v>
      </c>
      <c r="S51" s="30">
        <f t="shared" si="6"/>
        <v>1.1038128906250015</v>
      </c>
      <c r="T51" s="30">
        <f t="shared" si="6"/>
        <v>1.1106479719411639</v>
      </c>
      <c r="U51" s="30">
        <f t="shared" si="6"/>
        <v>1.1175253777644918</v>
      </c>
      <c r="V51" s="30">
        <f t="shared" si="6"/>
        <v>1.1244453701787591</v>
      </c>
      <c r="W51" s="30">
        <f t="shared" si="6"/>
        <v>1.1314082128906271</v>
      </c>
      <c r="X51" s="30">
        <f t="shared" si="6"/>
        <v>1.1384141712396936</v>
      </c>
      <c r="Y51" s="30">
        <f t="shared" si="6"/>
        <v>1.1454635122086045</v>
      </c>
      <c r="Z51" s="30">
        <f t="shared" si="6"/>
        <v>1.1525565044332284</v>
      </c>
      <c r="AA51" s="30">
        <f t="shared" si="6"/>
        <v>1.1596934182128931</v>
      </c>
      <c r="AB51" s="30">
        <f t="shared" si="6"/>
        <v>1.1668745255206863</v>
      </c>
      <c r="AC51" s="30">
        <f t="shared" si="6"/>
        <v>1.17410010001382</v>
      </c>
      <c r="AD51" s="30">
        <f t="shared" si="6"/>
        <v>1.1813704170440595</v>
      </c>
      <c r="AE51" s="30">
        <f t="shared" si="6"/>
        <v>1.1886857536682158</v>
      </c>
      <c r="AF51" s="30">
        <f t="shared" si="6"/>
        <v>1.1960463886587038</v>
      </c>
      <c r="AG51" s="30">
        <f t="shared" si="6"/>
        <v>1.2034526025141661</v>
      </c>
      <c r="AH51" s="30">
        <f t="shared" si="6"/>
        <v>1.2109046774701615</v>
      </c>
      <c r="AI51" s="30">
        <f t="shared" si="6"/>
        <v>1.2184028975099217</v>
      </c>
      <c r="AJ51" s="30">
        <f t="shared" ref="AJ51:BO51" si="7">AI51*(1+$B$51)^(1/4)</f>
        <v>1.2259475483751718</v>
      </c>
      <c r="AK51" s="30">
        <f t="shared" si="7"/>
        <v>1.2335389175770206</v>
      </c>
      <c r="AL51" s="30">
        <f t="shared" si="7"/>
        <v>1.2411772944069159</v>
      </c>
      <c r="AM51" s="30">
        <f t="shared" si="7"/>
        <v>1.2488629699476701</v>
      </c>
      <c r="AN51" s="30">
        <f t="shared" si="7"/>
        <v>1.2565962370845516</v>
      </c>
      <c r="AO51" s="30">
        <f t="shared" si="7"/>
        <v>1.2643773905164466</v>
      </c>
      <c r="AP51" s="30">
        <f t="shared" si="7"/>
        <v>1.2722067267670893</v>
      </c>
      <c r="AQ51" s="30">
        <f t="shared" si="7"/>
        <v>1.2800845441963624</v>
      </c>
      <c r="AR51" s="30">
        <f t="shared" si="7"/>
        <v>1.2880111430116659</v>
      </c>
      <c r="AS51" s="30">
        <f t="shared" si="7"/>
        <v>1.2959868252793583</v>
      </c>
      <c r="AT51" s="30">
        <f t="shared" si="7"/>
        <v>1.3040118949362671</v>
      </c>
      <c r="AU51" s="30">
        <f t="shared" si="7"/>
        <v>1.312086657801272</v>
      </c>
      <c r="AV51" s="30">
        <f t="shared" si="7"/>
        <v>1.320211421586958</v>
      </c>
      <c r="AW51" s="30">
        <f t="shared" si="7"/>
        <v>1.3283864959113427</v>
      </c>
      <c r="AX51" s="30">
        <f t="shared" si="7"/>
        <v>1.3366121923096743</v>
      </c>
      <c r="AY51" s="30">
        <f t="shared" si="7"/>
        <v>1.3448888242463042</v>
      </c>
      <c r="AZ51" s="30">
        <f t="shared" si="7"/>
        <v>1.3532167071266323</v>
      </c>
      <c r="BA51" s="30">
        <f t="shared" si="7"/>
        <v>1.3615961583091265</v>
      </c>
      <c r="BB51" s="30">
        <f t="shared" si="7"/>
        <v>1.3700274971174164</v>
      </c>
      <c r="BC51" s="30">
        <f t="shared" si="7"/>
        <v>1.3785110448524622</v>
      </c>
      <c r="BD51" s="30">
        <f t="shared" si="7"/>
        <v>1.3870471248047986</v>
      </c>
      <c r="BE51" s="30">
        <f t="shared" si="7"/>
        <v>1.3956360622668553</v>
      </c>
      <c r="BF51" s="30">
        <f t="shared" si="7"/>
        <v>1.4042781845453525</v>
      </c>
      <c r="BG51" s="30">
        <f t="shared" si="7"/>
        <v>1.4129738209737743</v>
      </c>
      <c r="BH51" s="30">
        <f t="shared" si="7"/>
        <v>1.4217233029249192</v>
      </c>
      <c r="BI51" s="30">
        <f t="shared" si="7"/>
        <v>1.4305269638235272</v>
      </c>
      <c r="BJ51" s="30">
        <f t="shared" si="7"/>
        <v>1.4393851391589867</v>
      </c>
      <c r="BK51" s="30">
        <f t="shared" si="7"/>
        <v>1.4482981664981192</v>
      </c>
      <c r="BL51" s="30">
        <f t="shared" si="7"/>
        <v>1.4572663854980425</v>
      </c>
      <c r="BM51" s="30">
        <f t="shared" si="7"/>
        <v>1.4662901379191158</v>
      </c>
      <c r="BN51" s="30">
        <f t="shared" si="7"/>
        <v>1.4753697676379618</v>
      </c>
      <c r="BO51" s="30">
        <f t="shared" si="7"/>
        <v>1.4845056206605725</v>
      </c>
      <c r="BP51" s="30">
        <f t="shared" ref="BP51:CD51" si="8">BO51*(1+$B$51)^(1/4)</f>
        <v>1.493698045135494</v>
      </c>
      <c r="BQ51" s="30">
        <f t="shared" si="8"/>
        <v>1.5029473913670941</v>
      </c>
      <c r="BR51" s="30">
        <f t="shared" si="8"/>
        <v>1.5122540118289114</v>
      </c>
      <c r="BS51" s="30">
        <f t="shared" si="8"/>
        <v>1.5216182611770874</v>
      </c>
      <c r="BT51" s="30">
        <f t="shared" si="8"/>
        <v>1.5310404962638819</v>
      </c>
      <c r="BU51" s="30">
        <f t="shared" si="8"/>
        <v>1.540521076151272</v>
      </c>
      <c r="BV51" s="30">
        <f t="shared" si="8"/>
        <v>1.5500603621246347</v>
      </c>
      <c r="BW51" s="30">
        <f t="shared" si="8"/>
        <v>1.5596587177065151</v>
      </c>
      <c r="BX51" s="30">
        <f t="shared" si="8"/>
        <v>1.5693165086704794</v>
      </c>
      <c r="BY51" s="30">
        <f t="shared" si="8"/>
        <v>1.5790341030550543</v>
      </c>
      <c r="BZ51" s="30">
        <f t="shared" si="8"/>
        <v>1.588811871177751</v>
      </c>
      <c r="CA51" s="30">
        <f t="shared" si="8"/>
        <v>1.5986501856491784</v>
      </c>
      <c r="CB51" s="30">
        <f t="shared" si="8"/>
        <v>1.608549421387242</v>
      </c>
      <c r="CC51" s="30">
        <f t="shared" si="8"/>
        <v>1.6185099556314313</v>
      </c>
      <c r="CD51" s="30">
        <f t="shared" si="8"/>
        <v>1.6285321679571954</v>
      </c>
    </row>
    <row r="52" spans="1:82" x14ac:dyDescent="0.45">
      <c r="A52" t="s">
        <v>124</v>
      </c>
      <c r="B52" s="13">
        <f>Assumptions_Constant!$B$19</f>
        <v>0.03</v>
      </c>
      <c r="C52" s="30">
        <v>1</v>
      </c>
      <c r="D52" s="30">
        <f t="shared" ref="D52:AI52" si="9">C52*(1+$B$52)^(1/4)</f>
        <v>1.0074170717777329</v>
      </c>
      <c r="E52" s="30">
        <f t="shared" si="9"/>
        <v>1.0148891565092217</v>
      </c>
      <c r="F52" s="30">
        <f t="shared" si="9"/>
        <v>1.0224166622294935</v>
      </c>
      <c r="G52" s="30">
        <f t="shared" si="9"/>
        <v>1.0299999999999996</v>
      </c>
      <c r="H52" s="30">
        <f t="shared" si="9"/>
        <v>1.0376395839310644</v>
      </c>
      <c r="I52" s="30">
        <f t="shared" si="9"/>
        <v>1.045335831204498</v>
      </c>
      <c r="J52" s="30">
        <f t="shared" si="9"/>
        <v>1.0530891620963778</v>
      </c>
      <c r="K52" s="30">
        <f t="shared" si="9"/>
        <v>1.0608999999999993</v>
      </c>
      <c r="L52" s="30">
        <f t="shared" si="9"/>
        <v>1.0687687714489962</v>
      </c>
      <c r="M52" s="30">
        <f t="shared" si="9"/>
        <v>1.0766959061406327</v>
      </c>
      <c r="N52" s="30">
        <f t="shared" si="9"/>
        <v>1.084681836959269</v>
      </c>
      <c r="O52" s="30">
        <f t="shared" si="9"/>
        <v>1.0927269999999991</v>
      </c>
      <c r="P52" s="30">
        <f t="shared" si="9"/>
        <v>1.1008318345924659</v>
      </c>
      <c r="Q52" s="30">
        <f t="shared" si="9"/>
        <v>1.1089967833248515</v>
      </c>
      <c r="R52" s="30">
        <f t="shared" si="9"/>
        <v>1.1172222920680468</v>
      </c>
      <c r="S52" s="30">
        <f t="shared" si="9"/>
        <v>1.1255088099999988</v>
      </c>
      <c r="T52" s="30">
        <f t="shared" si="9"/>
        <v>1.1338567896302396</v>
      </c>
      <c r="U52" s="30">
        <f t="shared" si="9"/>
        <v>1.142266686824597</v>
      </c>
      <c r="V52" s="30">
        <f t="shared" si="9"/>
        <v>1.1507389608300882</v>
      </c>
      <c r="W52" s="30">
        <f t="shared" si="9"/>
        <v>1.1592740742999987</v>
      </c>
      <c r="X52" s="30">
        <f t="shared" si="9"/>
        <v>1.1678724933191467</v>
      </c>
      <c r="Y52" s="30">
        <f t="shared" si="9"/>
        <v>1.1765346874293345</v>
      </c>
      <c r="Z52" s="30">
        <f t="shared" si="9"/>
        <v>1.1852611296549904</v>
      </c>
      <c r="AA52" s="30">
        <f t="shared" si="9"/>
        <v>1.1940522965289981</v>
      </c>
      <c r="AB52" s="30">
        <f t="shared" si="9"/>
        <v>1.2029086681187204</v>
      </c>
      <c r="AC52" s="30">
        <f t="shared" si="9"/>
        <v>1.211830728052214</v>
      </c>
      <c r="AD52" s="30">
        <f t="shared" si="9"/>
        <v>1.2208189635446396</v>
      </c>
      <c r="AE52" s="30">
        <f t="shared" si="9"/>
        <v>1.2298738654248675</v>
      </c>
      <c r="AF52" s="30">
        <f t="shared" si="9"/>
        <v>1.2389959281622815</v>
      </c>
      <c r="AG52" s="30">
        <f t="shared" si="9"/>
        <v>1.24818564989378</v>
      </c>
      <c r="AH52" s="30">
        <f t="shared" si="9"/>
        <v>1.2574435324509783</v>
      </c>
      <c r="AI52" s="30">
        <f t="shared" si="9"/>
        <v>1.2667700813876133</v>
      </c>
      <c r="AJ52" s="30">
        <f t="shared" ref="AJ52:BO52" si="10">AI52*(1+$B$52)^(1/4)</f>
        <v>1.2761658060071497</v>
      </c>
      <c r="AK52" s="30">
        <f t="shared" si="10"/>
        <v>1.285631219390593</v>
      </c>
      <c r="AL52" s="30">
        <f t="shared" si="10"/>
        <v>1.2951668384245072</v>
      </c>
      <c r="AM52" s="30">
        <f t="shared" si="10"/>
        <v>1.3047731838292411</v>
      </c>
      <c r="AN52" s="30">
        <f t="shared" si="10"/>
        <v>1.3144507801873637</v>
      </c>
      <c r="AO52" s="30">
        <f t="shared" si="10"/>
        <v>1.3242001559723104</v>
      </c>
      <c r="AP52" s="30">
        <f t="shared" si="10"/>
        <v>1.3340218435772422</v>
      </c>
      <c r="AQ52" s="30">
        <f t="shared" si="10"/>
        <v>1.3439163793441182</v>
      </c>
      <c r="AR52" s="30">
        <f t="shared" si="10"/>
        <v>1.3538843035929844</v>
      </c>
      <c r="AS52" s="30">
        <f t="shared" si="10"/>
        <v>1.3639261606514794</v>
      </c>
      <c r="AT52" s="30">
        <f t="shared" si="10"/>
        <v>1.374042498884559</v>
      </c>
      <c r="AU52" s="30">
        <f t="shared" si="10"/>
        <v>1.3842338707244413</v>
      </c>
      <c r="AV52" s="30">
        <f t="shared" si="10"/>
        <v>1.3945008327007735</v>
      </c>
      <c r="AW52" s="30">
        <f t="shared" si="10"/>
        <v>1.4048439454710233</v>
      </c>
      <c r="AX52" s="30">
        <f t="shared" si="10"/>
        <v>1.4152637738510954</v>
      </c>
      <c r="AY52" s="30">
        <f t="shared" si="10"/>
        <v>1.425760886846174</v>
      </c>
      <c r="AZ52" s="30">
        <f t="shared" si="10"/>
        <v>1.4363358576817962</v>
      </c>
      <c r="BA52" s="30">
        <f t="shared" si="10"/>
        <v>1.4469892638351536</v>
      </c>
      <c r="BB52" s="30">
        <f t="shared" si="10"/>
        <v>1.4577216870666279</v>
      </c>
      <c r="BC52" s="30">
        <f t="shared" si="10"/>
        <v>1.4685337134515588</v>
      </c>
      <c r="BD52" s="30">
        <f t="shared" si="10"/>
        <v>1.4794259334122497</v>
      </c>
      <c r="BE52" s="30">
        <f t="shared" si="10"/>
        <v>1.4903989417502079</v>
      </c>
      <c r="BF52" s="30">
        <f t="shared" si="10"/>
        <v>1.5014533376786263</v>
      </c>
      <c r="BG52" s="30">
        <f t="shared" si="10"/>
        <v>1.5125897248551052</v>
      </c>
      <c r="BH52" s="30">
        <f t="shared" si="10"/>
        <v>1.5238087114146168</v>
      </c>
      <c r="BI52" s="30">
        <f t="shared" si="10"/>
        <v>1.5351109100027136</v>
      </c>
      <c r="BJ52" s="30">
        <f t="shared" si="10"/>
        <v>1.5464969378089846</v>
      </c>
      <c r="BK52" s="30">
        <f t="shared" si="10"/>
        <v>1.557967416600758</v>
      </c>
      <c r="BL52" s="30">
        <f t="shared" si="10"/>
        <v>1.5695229727570548</v>
      </c>
      <c r="BM52" s="30">
        <f t="shared" si="10"/>
        <v>1.5811642373027945</v>
      </c>
      <c r="BN52" s="30">
        <f t="shared" si="10"/>
        <v>1.5928918459432537</v>
      </c>
      <c r="BO52" s="30">
        <f t="shared" si="10"/>
        <v>1.6047064390987802</v>
      </c>
      <c r="BP52" s="30">
        <f t="shared" ref="BP52:CD52" si="11">BO52*(1+$B$52)^(1/4)</f>
        <v>1.6166086619397659</v>
      </c>
      <c r="BQ52" s="30">
        <f t="shared" si="11"/>
        <v>1.6285991644218778</v>
      </c>
      <c r="BR52" s="30">
        <f t="shared" si="11"/>
        <v>1.6406786013215506</v>
      </c>
      <c r="BS52" s="30">
        <f t="shared" si="11"/>
        <v>1.6528476322717429</v>
      </c>
      <c r="BT52" s="30">
        <f t="shared" si="11"/>
        <v>1.6651069217979582</v>
      </c>
      <c r="BU52" s="30">
        <f t="shared" si="11"/>
        <v>1.6774571393545334</v>
      </c>
      <c r="BV52" s="30">
        <f t="shared" si="11"/>
        <v>1.6898989593611964</v>
      </c>
      <c r="BW52" s="30">
        <f t="shared" si="11"/>
        <v>1.7024330612398946</v>
      </c>
      <c r="BX52" s="30">
        <f t="shared" si="11"/>
        <v>1.7150601294518963</v>
      </c>
      <c r="BY52" s="30">
        <f t="shared" si="11"/>
        <v>1.7277808535351689</v>
      </c>
      <c r="BZ52" s="30">
        <f t="shared" si="11"/>
        <v>1.7405959281420318</v>
      </c>
      <c r="CA52" s="30">
        <f t="shared" si="11"/>
        <v>1.7535060530770907</v>
      </c>
      <c r="CB52" s="30">
        <f t="shared" si="11"/>
        <v>1.7665119333354526</v>
      </c>
      <c r="CC52" s="30">
        <f t="shared" si="11"/>
        <v>1.7796142791412233</v>
      </c>
      <c r="CD52" s="30">
        <f t="shared" si="11"/>
        <v>1.7928138059862921</v>
      </c>
    </row>
    <row r="54" spans="1:82" x14ac:dyDescent="0.45">
      <c r="A54" t="s">
        <v>125</v>
      </c>
      <c r="B54" s="5">
        <v>1</v>
      </c>
    </row>
    <row r="55" spans="1:82" x14ac:dyDescent="0.45">
      <c r="A55" t="s">
        <v>126</v>
      </c>
      <c r="B55" s="5">
        <v>2</v>
      </c>
    </row>
    <row r="57" spans="1:82" x14ac:dyDescent="0.45">
      <c r="A57" s="3" t="s">
        <v>127</v>
      </c>
      <c r="C57" s="30">
        <f t="shared" ref="C57:AH57" si="12">INDEX(C$49:C$52,$B$54)</f>
        <v>1</v>
      </c>
      <c r="D57" s="30">
        <f t="shared" si="12"/>
        <v>1</v>
      </c>
      <c r="E57" s="30">
        <f t="shared" si="12"/>
        <v>1</v>
      </c>
      <c r="F57" s="30">
        <f t="shared" si="12"/>
        <v>1</v>
      </c>
      <c r="G57" s="30">
        <f t="shared" si="12"/>
        <v>1</v>
      </c>
      <c r="H57" s="30">
        <f t="shared" si="12"/>
        <v>1</v>
      </c>
      <c r="I57" s="30">
        <f t="shared" si="12"/>
        <v>1</v>
      </c>
      <c r="J57" s="30">
        <f t="shared" si="12"/>
        <v>1</v>
      </c>
      <c r="K57" s="30">
        <f t="shared" si="12"/>
        <v>1</v>
      </c>
      <c r="L57" s="30">
        <f t="shared" si="12"/>
        <v>1</v>
      </c>
      <c r="M57" s="30">
        <f t="shared" si="12"/>
        <v>1</v>
      </c>
      <c r="N57" s="30">
        <f t="shared" si="12"/>
        <v>1</v>
      </c>
      <c r="O57" s="30">
        <f t="shared" si="12"/>
        <v>1</v>
      </c>
      <c r="P57" s="30">
        <f t="shared" si="12"/>
        <v>1</v>
      </c>
      <c r="Q57" s="30">
        <f t="shared" si="12"/>
        <v>1</v>
      </c>
      <c r="R57" s="30">
        <f t="shared" si="12"/>
        <v>1</v>
      </c>
      <c r="S57" s="30">
        <f t="shared" si="12"/>
        <v>1</v>
      </c>
      <c r="T57" s="30">
        <f t="shared" si="12"/>
        <v>1</v>
      </c>
      <c r="U57" s="30">
        <f t="shared" si="12"/>
        <v>1</v>
      </c>
      <c r="V57" s="30">
        <f t="shared" si="12"/>
        <v>1</v>
      </c>
      <c r="W57" s="30">
        <f t="shared" si="12"/>
        <v>1</v>
      </c>
      <c r="X57" s="30">
        <f t="shared" si="12"/>
        <v>1</v>
      </c>
      <c r="Y57" s="30">
        <f t="shared" si="12"/>
        <v>1</v>
      </c>
      <c r="Z57" s="30">
        <f t="shared" si="12"/>
        <v>1</v>
      </c>
      <c r="AA57" s="30">
        <f t="shared" si="12"/>
        <v>1</v>
      </c>
      <c r="AB57" s="30">
        <f t="shared" si="12"/>
        <v>1</v>
      </c>
      <c r="AC57" s="30">
        <f t="shared" si="12"/>
        <v>1</v>
      </c>
      <c r="AD57" s="30">
        <f t="shared" si="12"/>
        <v>1</v>
      </c>
      <c r="AE57" s="30">
        <f t="shared" si="12"/>
        <v>1</v>
      </c>
      <c r="AF57" s="30">
        <f t="shared" si="12"/>
        <v>1</v>
      </c>
      <c r="AG57" s="30">
        <f t="shared" si="12"/>
        <v>1</v>
      </c>
      <c r="AH57" s="30">
        <f t="shared" si="12"/>
        <v>1</v>
      </c>
      <c r="AI57" s="30">
        <f t="shared" ref="AI57:BN57" si="13">INDEX(AI$49:AI$52,$B$54)</f>
        <v>1</v>
      </c>
      <c r="AJ57" s="30">
        <f t="shared" si="13"/>
        <v>1</v>
      </c>
      <c r="AK57" s="30">
        <f t="shared" si="13"/>
        <v>1</v>
      </c>
      <c r="AL57" s="30">
        <f t="shared" si="13"/>
        <v>1</v>
      </c>
      <c r="AM57" s="30">
        <f t="shared" si="13"/>
        <v>1</v>
      </c>
      <c r="AN57" s="30">
        <f t="shared" si="13"/>
        <v>1</v>
      </c>
      <c r="AO57" s="30">
        <f t="shared" si="13"/>
        <v>1</v>
      </c>
      <c r="AP57" s="30">
        <f t="shared" si="13"/>
        <v>1</v>
      </c>
      <c r="AQ57" s="30">
        <f t="shared" si="13"/>
        <v>1</v>
      </c>
      <c r="AR57" s="30">
        <f t="shared" si="13"/>
        <v>1</v>
      </c>
      <c r="AS57" s="30">
        <f t="shared" si="13"/>
        <v>1</v>
      </c>
      <c r="AT57" s="30">
        <f t="shared" si="13"/>
        <v>1</v>
      </c>
      <c r="AU57" s="30">
        <f t="shared" si="13"/>
        <v>1</v>
      </c>
      <c r="AV57" s="30">
        <f t="shared" si="13"/>
        <v>1</v>
      </c>
      <c r="AW57" s="30">
        <f t="shared" si="13"/>
        <v>1</v>
      </c>
      <c r="AX57" s="30">
        <f t="shared" si="13"/>
        <v>1</v>
      </c>
      <c r="AY57" s="30">
        <f t="shared" si="13"/>
        <v>1</v>
      </c>
      <c r="AZ57" s="30">
        <f t="shared" si="13"/>
        <v>1</v>
      </c>
      <c r="BA57" s="30">
        <f t="shared" si="13"/>
        <v>1</v>
      </c>
      <c r="BB57" s="30">
        <f t="shared" si="13"/>
        <v>1</v>
      </c>
      <c r="BC57" s="30">
        <f t="shared" si="13"/>
        <v>1</v>
      </c>
      <c r="BD57" s="30">
        <f t="shared" si="13"/>
        <v>1</v>
      </c>
      <c r="BE57" s="30">
        <f t="shared" si="13"/>
        <v>1</v>
      </c>
      <c r="BF57" s="30">
        <f t="shared" si="13"/>
        <v>1</v>
      </c>
      <c r="BG57" s="30">
        <f t="shared" si="13"/>
        <v>1</v>
      </c>
      <c r="BH57" s="30">
        <f t="shared" si="13"/>
        <v>1</v>
      </c>
      <c r="BI57" s="30">
        <f t="shared" si="13"/>
        <v>1</v>
      </c>
      <c r="BJ57" s="30">
        <f t="shared" si="13"/>
        <v>1</v>
      </c>
      <c r="BK57" s="30">
        <f t="shared" si="13"/>
        <v>1</v>
      </c>
      <c r="BL57" s="30">
        <f t="shared" si="13"/>
        <v>1</v>
      </c>
      <c r="BM57" s="30">
        <f t="shared" si="13"/>
        <v>1</v>
      </c>
      <c r="BN57" s="30">
        <f t="shared" si="13"/>
        <v>1</v>
      </c>
      <c r="BO57" s="30">
        <f t="shared" ref="BO57:CD57" si="14">INDEX(BO$49:BO$52,$B$54)</f>
        <v>1</v>
      </c>
      <c r="BP57" s="30">
        <f t="shared" si="14"/>
        <v>1</v>
      </c>
      <c r="BQ57" s="30">
        <f t="shared" si="14"/>
        <v>1</v>
      </c>
      <c r="BR57" s="30">
        <f t="shared" si="14"/>
        <v>1</v>
      </c>
      <c r="BS57" s="30">
        <f t="shared" si="14"/>
        <v>1</v>
      </c>
      <c r="BT57" s="30">
        <f t="shared" si="14"/>
        <v>1</v>
      </c>
      <c r="BU57" s="30">
        <f t="shared" si="14"/>
        <v>1</v>
      </c>
      <c r="BV57" s="30">
        <f t="shared" si="14"/>
        <v>1</v>
      </c>
      <c r="BW57" s="30">
        <f t="shared" si="14"/>
        <v>1</v>
      </c>
      <c r="BX57" s="30">
        <f t="shared" si="14"/>
        <v>1</v>
      </c>
      <c r="BY57" s="30">
        <f t="shared" si="14"/>
        <v>1</v>
      </c>
      <c r="BZ57" s="30">
        <f t="shared" si="14"/>
        <v>1</v>
      </c>
      <c r="CA57" s="30">
        <f t="shared" si="14"/>
        <v>1</v>
      </c>
      <c r="CB57" s="30">
        <f t="shared" si="14"/>
        <v>1</v>
      </c>
      <c r="CC57" s="30">
        <f t="shared" si="14"/>
        <v>1</v>
      </c>
      <c r="CD57" s="30">
        <f t="shared" si="14"/>
        <v>1</v>
      </c>
    </row>
    <row r="58" spans="1:82" x14ac:dyDescent="0.45">
      <c r="A58" s="3" t="s">
        <v>128</v>
      </c>
      <c r="C58" s="30">
        <f t="shared" ref="C58:AH58" si="15">INDEX(C$49:C$52,$B$55)</f>
        <v>1</v>
      </c>
      <c r="D58" s="30">
        <f t="shared" si="15"/>
        <v>1</v>
      </c>
      <c r="E58" s="30">
        <f t="shared" si="15"/>
        <v>1</v>
      </c>
      <c r="F58" s="30">
        <f t="shared" si="15"/>
        <v>1</v>
      </c>
      <c r="G58" s="30">
        <f t="shared" si="15"/>
        <v>1</v>
      </c>
      <c r="H58" s="30">
        <f t="shared" si="15"/>
        <v>1</v>
      </c>
      <c r="I58" s="30">
        <f t="shared" si="15"/>
        <v>1</v>
      </c>
      <c r="J58" s="30">
        <f t="shared" si="15"/>
        <v>1</v>
      </c>
      <c r="K58" s="30">
        <f t="shared" si="15"/>
        <v>1</v>
      </c>
      <c r="L58" s="30">
        <f t="shared" si="15"/>
        <v>1</v>
      </c>
      <c r="M58" s="30">
        <f t="shared" si="15"/>
        <v>1</v>
      </c>
      <c r="N58" s="30">
        <f t="shared" si="15"/>
        <v>1</v>
      </c>
      <c r="O58" s="30">
        <f t="shared" si="15"/>
        <v>1</v>
      </c>
      <c r="P58" s="30">
        <f t="shared" si="15"/>
        <v>1</v>
      </c>
      <c r="Q58" s="30">
        <f t="shared" si="15"/>
        <v>1</v>
      </c>
      <c r="R58" s="30">
        <f t="shared" si="15"/>
        <v>1</v>
      </c>
      <c r="S58" s="30">
        <f t="shared" si="15"/>
        <v>1</v>
      </c>
      <c r="T58" s="30">
        <f t="shared" si="15"/>
        <v>1</v>
      </c>
      <c r="U58" s="30">
        <f t="shared" si="15"/>
        <v>1</v>
      </c>
      <c r="V58" s="30">
        <f t="shared" si="15"/>
        <v>1</v>
      </c>
      <c r="W58" s="30">
        <f t="shared" si="15"/>
        <v>1</v>
      </c>
      <c r="X58" s="30">
        <f t="shared" si="15"/>
        <v>1</v>
      </c>
      <c r="Y58" s="30">
        <f t="shared" si="15"/>
        <v>1</v>
      </c>
      <c r="Z58" s="30">
        <f t="shared" si="15"/>
        <v>1</v>
      </c>
      <c r="AA58" s="30">
        <f t="shared" si="15"/>
        <v>1</v>
      </c>
      <c r="AB58" s="30">
        <f t="shared" si="15"/>
        <v>1</v>
      </c>
      <c r="AC58" s="30">
        <f t="shared" si="15"/>
        <v>1</v>
      </c>
      <c r="AD58" s="30">
        <f t="shared" si="15"/>
        <v>1</v>
      </c>
      <c r="AE58" s="30">
        <f t="shared" si="15"/>
        <v>1</v>
      </c>
      <c r="AF58" s="30">
        <f t="shared" si="15"/>
        <v>1</v>
      </c>
      <c r="AG58" s="30">
        <f t="shared" si="15"/>
        <v>1</v>
      </c>
      <c r="AH58" s="30">
        <f t="shared" si="15"/>
        <v>1</v>
      </c>
      <c r="AI58" s="30">
        <f t="shared" ref="AI58:BN58" si="16">INDEX(AI$49:AI$52,$B$55)</f>
        <v>1</v>
      </c>
      <c r="AJ58" s="30">
        <f t="shared" si="16"/>
        <v>1</v>
      </c>
      <c r="AK58" s="30">
        <f t="shared" si="16"/>
        <v>1</v>
      </c>
      <c r="AL58" s="30">
        <f t="shared" si="16"/>
        <v>1</v>
      </c>
      <c r="AM58" s="30">
        <f t="shared" si="16"/>
        <v>1</v>
      </c>
      <c r="AN58" s="30">
        <f t="shared" si="16"/>
        <v>1</v>
      </c>
      <c r="AO58" s="30">
        <f t="shared" si="16"/>
        <v>1</v>
      </c>
      <c r="AP58" s="30">
        <f t="shared" si="16"/>
        <v>1</v>
      </c>
      <c r="AQ58" s="30">
        <f t="shared" si="16"/>
        <v>1</v>
      </c>
      <c r="AR58" s="30">
        <f t="shared" si="16"/>
        <v>1</v>
      </c>
      <c r="AS58" s="30">
        <f t="shared" si="16"/>
        <v>1</v>
      </c>
      <c r="AT58" s="30">
        <f t="shared" si="16"/>
        <v>1</v>
      </c>
      <c r="AU58" s="30">
        <f t="shared" si="16"/>
        <v>1</v>
      </c>
      <c r="AV58" s="30">
        <f t="shared" si="16"/>
        <v>1</v>
      </c>
      <c r="AW58" s="30">
        <f t="shared" si="16"/>
        <v>1</v>
      </c>
      <c r="AX58" s="30">
        <f t="shared" si="16"/>
        <v>1</v>
      </c>
      <c r="AY58" s="30">
        <f t="shared" si="16"/>
        <v>1</v>
      </c>
      <c r="AZ58" s="30">
        <f t="shared" si="16"/>
        <v>1</v>
      </c>
      <c r="BA58" s="30">
        <f t="shared" si="16"/>
        <v>1</v>
      </c>
      <c r="BB58" s="30">
        <f t="shared" si="16"/>
        <v>1</v>
      </c>
      <c r="BC58" s="30">
        <f t="shared" si="16"/>
        <v>1</v>
      </c>
      <c r="BD58" s="30">
        <f t="shared" si="16"/>
        <v>1</v>
      </c>
      <c r="BE58" s="30">
        <f t="shared" si="16"/>
        <v>1</v>
      </c>
      <c r="BF58" s="30">
        <f t="shared" si="16"/>
        <v>1</v>
      </c>
      <c r="BG58" s="30">
        <f t="shared" si="16"/>
        <v>1</v>
      </c>
      <c r="BH58" s="30">
        <f t="shared" si="16"/>
        <v>1</v>
      </c>
      <c r="BI58" s="30">
        <f t="shared" si="16"/>
        <v>1</v>
      </c>
      <c r="BJ58" s="30">
        <f t="shared" si="16"/>
        <v>1</v>
      </c>
      <c r="BK58" s="30">
        <f t="shared" si="16"/>
        <v>1</v>
      </c>
      <c r="BL58" s="30">
        <f t="shared" si="16"/>
        <v>1</v>
      </c>
      <c r="BM58" s="30">
        <f t="shared" si="16"/>
        <v>1</v>
      </c>
      <c r="BN58" s="30">
        <f t="shared" si="16"/>
        <v>1</v>
      </c>
      <c r="BO58" s="30">
        <f t="shared" ref="BO58:CD58" si="17">INDEX(BO$49:BO$52,$B$55)</f>
        <v>1</v>
      </c>
      <c r="BP58" s="30">
        <f t="shared" si="17"/>
        <v>1</v>
      </c>
      <c r="BQ58" s="30">
        <f t="shared" si="17"/>
        <v>1</v>
      </c>
      <c r="BR58" s="30">
        <f t="shared" si="17"/>
        <v>1</v>
      </c>
      <c r="BS58" s="30">
        <f t="shared" si="17"/>
        <v>1</v>
      </c>
      <c r="BT58" s="30">
        <f t="shared" si="17"/>
        <v>1</v>
      </c>
      <c r="BU58" s="30">
        <f t="shared" si="17"/>
        <v>1</v>
      </c>
      <c r="BV58" s="30">
        <f t="shared" si="17"/>
        <v>1</v>
      </c>
      <c r="BW58" s="30">
        <f t="shared" si="17"/>
        <v>1</v>
      </c>
      <c r="BX58" s="30">
        <f t="shared" si="17"/>
        <v>1</v>
      </c>
      <c r="BY58" s="30">
        <f t="shared" si="17"/>
        <v>1</v>
      </c>
      <c r="BZ58" s="30">
        <f t="shared" si="17"/>
        <v>1</v>
      </c>
      <c r="CA58" s="30">
        <f t="shared" si="17"/>
        <v>1</v>
      </c>
      <c r="CB58" s="30">
        <f t="shared" si="17"/>
        <v>1</v>
      </c>
      <c r="CC58" s="30">
        <f t="shared" si="17"/>
        <v>1</v>
      </c>
      <c r="CD58" s="30">
        <f t="shared" si="17"/>
        <v>1</v>
      </c>
    </row>
    <row r="61" spans="1:82" x14ac:dyDescent="0.45">
      <c r="A61" s="3" t="s">
        <v>85</v>
      </c>
    </row>
    <row r="62" spans="1:82" x14ac:dyDescent="0.45">
      <c r="A62" t="s">
        <v>129</v>
      </c>
      <c r="B62" s="26">
        <f>IF(SUMPRODUCT(--(ROUND(C49:C52-1,9)&lt;&gt;0))=0,1,0)</f>
        <v>1</v>
      </c>
    </row>
    <row r="63" spans="1:82" x14ac:dyDescent="0.45">
      <c r="A63" t="s">
        <v>130</v>
      </c>
      <c r="B63" s="26">
        <f>IF(AND(MIN(C18:CD18)&gt;0,MIN(C31:CD31)&gt;0),1,0)</f>
        <v>1</v>
      </c>
    </row>
    <row r="64" spans="1:82" x14ac:dyDescent="0.45">
      <c r="A64" t="s">
        <v>131</v>
      </c>
      <c r="B64" s="26">
        <f>IF(MIN(C44:CD44)&gt;=0,1,0)</f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808080"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26" ht="15.75" x14ac:dyDescent="0.5">
      <c r="A1" s="10" t="s">
        <v>132</v>
      </c>
    </row>
    <row r="2" spans="1:26" x14ac:dyDescent="0.45">
      <c r="A2" t="s">
        <v>63</v>
      </c>
      <c r="C2" s="16">
        <v>46418</v>
      </c>
      <c r="D2" s="16">
        <v>46446</v>
      </c>
      <c r="E2" s="16">
        <v>46477</v>
      </c>
      <c r="F2" s="16">
        <v>46507</v>
      </c>
      <c r="G2" s="16">
        <v>46538</v>
      </c>
      <c r="H2" s="16">
        <v>46568</v>
      </c>
      <c r="I2" s="16">
        <v>46599</v>
      </c>
      <c r="J2" s="16">
        <v>46630</v>
      </c>
      <c r="K2" s="16">
        <v>46660</v>
      </c>
      <c r="L2" s="16">
        <v>46691</v>
      </c>
      <c r="M2" s="16">
        <v>46721</v>
      </c>
      <c r="N2" s="16">
        <v>46752</v>
      </c>
      <c r="O2" s="16">
        <v>46783</v>
      </c>
      <c r="P2" s="16">
        <v>46812</v>
      </c>
      <c r="Q2" s="16">
        <v>46843</v>
      </c>
      <c r="R2" s="16">
        <v>46873</v>
      </c>
      <c r="S2" s="16">
        <v>46904</v>
      </c>
      <c r="T2" s="16">
        <v>46934</v>
      </c>
      <c r="U2" s="16">
        <v>46965</v>
      </c>
      <c r="V2" s="16">
        <v>46996</v>
      </c>
      <c r="W2" s="16">
        <v>47026</v>
      </c>
      <c r="X2" s="16">
        <v>47057</v>
      </c>
      <c r="Y2" s="16">
        <v>47087</v>
      </c>
      <c r="Z2" s="16">
        <v>47118</v>
      </c>
    </row>
    <row r="3" spans="1:26" x14ac:dyDescent="0.45">
      <c r="A3" t="s">
        <v>90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</row>
    <row r="4" spans="1:26" x14ac:dyDescent="0.45">
      <c r="A4" t="s">
        <v>133</v>
      </c>
      <c r="B4" s="12">
        <f>Assumptions_Model!$B$3</f>
        <v>100000000</v>
      </c>
    </row>
    <row r="5" spans="1:26" x14ac:dyDescent="0.45">
      <c r="A5" t="s">
        <v>134</v>
      </c>
      <c r="C5" s="13">
        <f>Assumptions_Model!C18</f>
        <v>6.3078188334216856E-2</v>
      </c>
      <c r="D5" s="13">
        <f>Assumptions_Model!D18</f>
        <v>1.6556748082006061E-2</v>
      </c>
      <c r="E5" s="13">
        <f>Assumptions_Model!E18</f>
        <v>2.046169881065777E-2</v>
      </c>
      <c r="F5" s="13">
        <f>Assumptions_Model!F18</f>
        <v>2.5041050823601169E-2</v>
      </c>
      <c r="G5" s="13">
        <f>Assumptions_Model!G18</f>
        <v>3.0280347951282021E-2</v>
      </c>
      <c r="H5" s="13">
        <f>Assumptions_Model!H18</f>
        <v>3.6089921830382912E-2</v>
      </c>
      <c r="I5" s="13">
        <f>Assumptions_Model!I18</f>
        <v>4.2279770030390483E-2</v>
      </c>
      <c r="J5" s="13">
        <f>Assumptions_Model!J18</f>
        <v>4.8543500440156262E-2</v>
      </c>
      <c r="K5" s="13">
        <f>Assumptions_Model!K18</f>
        <v>5.4462826559935222E-2</v>
      </c>
      <c r="L5" s="13">
        <f>Assumptions_Model!L18</f>
        <v>5.9543259024618961E-2</v>
      </c>
      <c r="M5" s="13">
        <f>Assumptions_Model!M18</f>
        <v>6.3284135710410361E-2</v>
      </c>
      <c r="N5" s="13">
        <f>Assumptions_Model!N18</f>
        <v>6.5272086586273842E-2</v>
      </c>
      <c r="O5" s="13">
        <f>Assumptions_Model!O18</f>
        <v>6.5272086586273842E-2</v>
      </c>
      <c r="P5" s="13">
        <f>Assumptions_Model!P18</f>
        <v>6.3284135710410361E-2</v>
      </c>
      <c r="Q5" s="13">
        <f>Assumptions_Model!Q18</f>
        <v>5.9543259024618961E-2</v>
      </c>
      <c r="R5" s="13">
        <f>Assumptions_Model!R18</f>
        <v>5.4462826559935222E-2</v>
      </c>
      <c r="S5" s="13">
        <f>Assumptions_Model!S18</f>
        <v>4.8543500440156179E-2</v>
      </c>
      <c r="T5" s="13">
        <f>Assumptions_Model!T18</f>
        <v>4.2279770030390559E-2</v>
      </c>
      <c r="U5" s="13">
        <f>Assumptions_Model!U18</f>
        <v>3.6089921830382968E-2</v>
      </c>
      <c r="V5" s="13">
        <f>Assumptions_Model!V18</f>
        <v>3.028034795128182E-2</v>
      </c>
      <c r="W5" s="13">
        <f>Assumptions_Model!W18</f>
        <v>2.5041050823601359E-2</v>
      </c>
      <c r="X5" s="13">
        <f>Assumptions_Model!X18</f>
        <v>2.0461698810657819E-2</v>
      </c>
      <c r="Y5" s="13">
        <f>Assumptions_Model!Y18</f>
        <v>1.6556748082005981E-2</v>
      </c>
      <c r="Z5" s="13">
        <f>Assumptions_Model!Z18</f>
        <v>1.329111996635305E-2</v>
      </c>
    </row>
    <row r="6" spans="1:26" x14ac:dyDescent="0.45">
      <c r="A6" t="s">
        <v>135</v>
      </c>
      <c r="C6" s="18">
        <f t="shared" ref="C6:Z6" si="0">C5*$B$4</f>
        <v>6307818.8334216857</v>
      </c>
      <c r="D6" s="18">
        <f t="shared" si="0"/>
        <v>1655674.8082006061</v>
      </c>
      <c r="E6" s="18">
        <f t="shared" si="0"/>
        <v>2046169.881065777</v>
      </c>
      <c r="F6" s="18">
        <f t="shared" si="0"/>
        <v>2504105.0823601168</v>
      </c>
      <c r="G6" s="18">
        <f t="shared" si="0"/>
        <v>3028034.7951282021</v>
      </c>
      <c r="H6" s="18">
        <f t="shared" si="0"/>
        <v>3608992.1830382911</v>
      </c>
      <c r="I6" s="18">
        <f t="shared" si="0"/>
        <v>4227977.0030390481</v>
      </c>
      <c r="J6" s="18">
        <f t="shared" si="0"/>
        <v>4854350.0440156264</v>
      </c>
      <c r="K6" s="18">
        <f t="shared" si="0"/>
        <v>5446282.6559935221</v>
      </c>
      <c r="L6" s="18">
        <f t="shared" si="0"/>
        <v>5954325.9024618957</v>
      </c>
      <c r="M6" s="18">
        <f t="shared" si="0"/>
        <v>6328413.5710410364</v>
      </c>
      <c r="N6" s="18">
        <f t="shared" si="0"/>
        <v>6527208.6586273843</v>
      </c>
      <c r="O6" s="18">
        <f t="shared" si="0"/>
        <v>6527208.6586273843</v>
      </c>
      <c r="P6" s="18">
        <f t="shared" si="0"/>
        <v>6328413.5710410364</v>
      </c>
      <c r="Q6" s="18">
        <f t="shared" si="0"/>
        <v>5954325.9024618957</v>
      </c>
      <c r="R6" s="18">
        <f t="shared" si="0"/>
        <v>5446282.6559935221</v>
      </c>
      <c r="S6" s="18">
        <f t="shared" si="0"/>
        <v>4854350.044015618</v>
      </c>
      <c r="T6" s="18">
        <f t="shared" si="0"/>
        <v>4227977.0030390555</v>
      </c>
      <c r="U6" s="18">
        <f t="shared" si="0"/>
        <v>3608992.1830382966</v>
      </c>
      <c r="V6" s="18">
        <f t="shared" si="0"/>
        <v>3028034.795128182</v>
      </c>
      <c r="W6" s="18">
        <f t="shared" si="0"/>
        <v>2504105.0823601359</v>
      </c>
      <c r="X6" s="18">
        <f t="shared" si="0"/>
        <v>2046169.8810657819</v>
      </c>
      <c r="Y6" s="18">
        <f t="shared" si="0"/>
        <v>1655674.8082005982</v>
      </c>
      <c r="Z6" s="18">
        <f t="shared" si="0"/>
        <v>1329111.996635305</v>
      </c>
    </row>
    <row r="7" spans="1:26" x14ac:dyDescent="0.45">
      <c r="A7" t="s">
        <v>136</v>
      </c>
      <c r="C7" s="18">
        <f>C6</f>
        <v>6307818.8334216857</v>
      </c>
      <c r="D7" s="18">
        <f t="shared" ref="D7:Z7" si="1">C7+D6</f>
        <v>7963493.6416222919</v>
      </c>
      <c r="E7" s="18">
        <f t="shared" si="1"/>
        <v>10009663.522688068</v>
      </c>
      <c r="F7" s="18">
        <f t="shared" si="1"/>
        <v>12513768.605048185</v>
      </c>
      <c r="G7" s="18">
        <f t="shared" si="1"/>
        <v>15541803.400176387</v>
      </c>
      <c r="H7" s="18">
        <f t="shared" si="1"/>
        <v>19150795.583214678</v>
      </c>
      <c r="I7" s="18">
        <f t="shared" si="1"/>
        <v>23378772.586253725</v>
      </c>
      <c r="J7" s="18">
        <f t="shared" si="1"/>
        <v>28233122.630269352</v>
      </c>
      <c r="K7" s="18">
        <f t="shared" si="1"/>
        <v>33679405.286262877</v>
      </c>
      <c r="L7" s="18">
        <f t="shared" si="1"/>
        <v>39633731.188724771</v>
      </c>
      <c r="M7" s="18">
        <f t="shared" si="1"/>
        <v>45962144.759765804</v>
      </c>
      <c r="N7" s="18">
        <f t="shared" si="1"/>
        <v>52489353.418393187</v>
      </c>
      <c r="O7" s="18">
        <f t="shared" si="1"/>
        <v>59016562.077020571</v>
      </c>
      <c r="P7" s="18">
        <f t="shared" si="1"/>
        <v>65344975.648061603</v>
      </c>
      <c r="Q7" s="18">
        <f t="shared" si="1"/>
        <v>71299301.550523505</v>
      </c>
      <c r="R7" s="18">
        <f t="shared" si="1"/>
        <v>76745584.206517026</v>
      </c>
      <c r="S7" s="18">
        <f t="shared" si="1"/>
        <v>81599934.250532642</v>
      </c>
      <c r="T7" s="18">
        <f t="shared" si="1"/>
        <v>85827911.253571704</v>
      </c>
      <c r="U7" s="18">
        <f t="shared" si="1"/>
        <v>89436903.436609998</v>
      </c>
      <c r="V7" s="18">
        <f t="shared" si="1"/>
        <v>92464938.23173818</v>
      </c>
      <c r="W7" s="18">
        <f t="shared" si="1"/>
        <v>94969043.314098313</v>
      </c>
      <c r="X7" s="18">
        <f t="shared" si="1"/>
        <v>97015213.195164099</v>
      </c>
      <c r="Y7" s="18">
        <f t="shared" si="1"/>
        <v>98670888.003364697</v>
      </c>
      <c r="Z7" s="18">
        <f t="shared" si="1"/>
        <v>100000000</v>
      </c>
    </row>
    <row r="9" spans="1:26" x14ac:dyDescent="0.45">
      <c r="A9" t="s">
        <v>137</v>
      </c>
      <c r="B9" s="13">
        <f>Assumptions_Model!$B$4</f>
        <v>0.7</v>
      </c>
    </row>
    <row r="10" spans="1:26" x14ac:dyDescent="0.45">
      <c r="A10" t="s">
        <v>138</v>
      </c>
      <c r="C10" s="12">
        <f>Calc_Financing_Cons!C21</f>
        <v>4564995.8485523723</v>
      </c>
      <c r="D10" s="12">
        <f>Calc_Financing_Cons!D21</f>
        <v>1214737.5763039414</v>
      </c>
      <c r="E10" s="12">
        <f>Calc_Financing_Cons!E21</f>
        <v>1501736.1084878759</v>
      </c>
      <c r="F10" s="12">
        <f>Calc_Financing_Cons!F21</f>
        <v>1838579.8645357052</v>
      </c>
      <c r="G10" s="12">
        <f>Calc_Financing_Cons!G21</f>
        <v>2224403.0112102535</v>
      </c>
      <c r="H10" s="12">
        <f>Calc_Financing_Cons!H21</f>
        <v>2652893.4431536896</v>
      </c>
      <c r="I10" s="12">
        <f>Calc_Financing_Cons!I21</f>
        <v>3110454.9945573471</v>
      </c>
      <c r="J10" s="12">
        <f>Calc_Financing_Cons!J21</f>
        <v>3575019.1299226498</v>
      </c>
      <c r="K10" s="12">
        <f>Calc_Financing_Cons!K21</f>
        <v>4016339.6128422199</v>
      </c>
      <c r="L10" s="12">
        <f>Calc_Financing_Cons!L21</f>
        <v>4398545.9258286078</v>
      </c>
      <c r="M10" s="12">
        <f>Calc_Financing_Cons!M21</f>
        <v>4685191.0279253302</v>
      </c>
      <c r="N10" s="12">
        <f>Calc_Financing_Cons!N21</f>
        <v>4846013.3603820112</v>
      </c>
      <c r="O10" s="12">
        <f>Calc_Financing_Cons!O21</f>
        <v>4863548.7648192467</v>
      </c>
      <c r="P10" s="12">
        <f>Calc_Financing_Cons!P21</f>
        <v>4737278.7543806201</v>
      </c>
      <c r="Q10" s="12">
        <f>Calc_Financing_Cons!Q21</f>
        <v>4483691.832012591</v>
      </c>
      <c r="R10" s="12">
        <f>Calc_Financing_Cons!R21</f>
        <v>4132243.0671446845</v>
      </c>
      <c r="S10" s="12">
        <f>Calc_Financing_Cons!S21</f>
        <v>3718811.4796281429</v>
      </c>
      <c r="T10" s="12">
        <f>Calc_Financing_Cons!T21</f>
        <v>3278959.1931020506</v>
      </c>
      <c r="U10" s="12">
        <f>Calc_Financing_Cons!U21</f>
        <v>2842862.1791033465</v>
      </c>
      <c r="V10" s="12">
        <f>Calc_Financing_Cons!V21</f>
        <v>2432707.7561418968</v>
      </c>
      <c r="W10" s="12">
        <f>Calc_Financing_Cons!W21</f>
        <v>2062340.3563517474</v>
      </c>
      <c r="X10" s="12">
        <f>Calc_Financing_Cons!X21</f>
        <v>1738393.2882839988</v>
      </c>
      <c r="Y10" s="12">
        <f>Calc_Financing_Cons!Y21</f>
        <v>1462080.7241764108</v>
      </c>
      <c r="Z10" s="12">
        <f>Calc_Financing_Cons!Z21</f>
        <v>1231036.3718585076</v>
      </c>
    </row>
    <row r="11" spans="1:26" x14ac:dyDescent="0.45">
      <c r="A11" t="s">
        <v>139</v>
      </c>
      <c r="C11" s="12">
        <f>Calc_Financing_Cons!C22</f>
        <v>1742822.9848693134</v>
      </c>
      <c r="D11" s="12">
        <f>Calc_Financing_Cons!D22</f>
        <v>463762.21113942657</v>
      </c>
      <c r="E11" s="12">
        <f>Calc_Financing_Cons!E22</f>
        <v>573332.43970218278</v>
      </c>
      <c r="F11" s="12">
        <f>Calc_Financing_Cons!F22</f>
        <v>701932.56549113244</v>
      </c>
      <c r="G11" s="12">
        <f>Calc_Financing_Cons!G22</f>
        <v>849232.03090734826</v>
      </c>
      <c r="H11" s="12">
        <f>Calc_Financing_Cons!H22</f>
        <v>1012821.0019300524</v>
      </c>
      <c r="I11" s="12">
        <f>Calc_Financing_Cons!I22</f>
        <v>1187508.7377429204</v>
      </c>
      <c r="J11" s="12">
        <f>Calc_Financing_Cons!J22</f>
        <v>1364869.9183269823</v>
      </c>
      <c r="K11" s="12">
        <f>Calc_Financing_Cons!K22</f>
        <v>1533357.143034921</v>
      </c>
      <c r="L11" s="12">
        <f>Calc_Financing_Cons!L22</f>
        <v>1679275.7745811185</v>
      </c>
      <c r="M11" s="12">
        <f>Calc_Financing_Cons!M22</f>
        <v>1788711.0706926798</v>
      </c>
      <c r="N11" s="12">
        <f>Calc_Financing_Cons!N22</f>
        <v>1850109.7809619736</v>
      </c>
      <c r="O11" s="12">
        <f>Calc_Financing_Cons!O22</f>
        <v>1856804.4433266474</v>
      </c>
      <c r="P11" s="12">
        <f>Calc_Financing_Cons!P22</f>
        <v>1808597.1100030225</v>
      </c>
      <c r="Q11" s="12">
        <f>Calc_Financing_Cons!Q22</f>
        <v>1711782.7575638145</v>
      </c>
      <c r="R11" s="12">
        <f>Calc_Financing_Cons!R22</f>
        <v>1577606.7351234099</v>
      </c>
      <c r="S11" s="12">
        <f>Calc_Financing_Cons!S22</f>
        <v>1419766.9259977713</v>
      </c>
      <c r="T11" s="12">
        <f>Calc_Financing_Cons!T22</f>
        <v>1251840.2289454415</v>
      </c>
      <c r="U11" s="12">
        <f>Calc_Financing_Cons!U22</f>
        <v>1085347.2189088967</v>
      </c>
      <c r="V11" s="12">
        <f>Calc_Financing_Cons!V22</f>
        <v>928758.56485574879</v>
      </c>
      <c r="W11" s="12">
        <f>Calc_Financing_Cons!W22</f>
        <v>787359.79065856128</v>
      </c>
      <c r="X11" s="12">
        <f>Calc_Financing_Cons!X22</f>
        <v>663683.35921371472</v>
      </c>
      <c r="Y11" s="12">
        <f>Calc_Financing_Cons!Y22</f>
        <v>558192.81689753919</v>
      </c>
      <c r="Z11" s="12">
        <f>Calc_Financing_Cons!Z22</f>
        <v>469984.76127103111</v>
      </c>
    </row>
    <row r="12" spans="1:26" x14ac:dyDescent="0.45">
      <c r="A12" t="s">
        <v>140</v>
      </c>
      <c r="C12" s="12">
        <f>Calc_Financing_Cons!C23</f>
        <v>4564995.8485523723</v>
      </c>
      <c r="D12" s="12">
        <f>Calc_Financing_Cons!D23</f>
        <v>5779733.4248563135</v>
      </c>
      <c r="E12" s="12">
        <f>Calc_Financing_Cons!E23</f>
        <v>7281469.5333441896</v>
      </c>
      <c r="F12" s="12">
        <f>Calc_Financing_Cons!F23</f>
        <v>9120049.3978798948</v>
      </c>
      <c r="G12" s="12">
        <f>Calc_Financing_Cons!G23</f>
        <v>11344452.409090148</v>
      </c>
      <c r="H12" s="12">
        <f>Calc_Financing_Cons!H23</f>
        <v>13997345.852243837</v>
      </c>
      <c r="I12" s="12">
        <f>Calc_Financing_Cons!I23</f>
        <v>17107800.846801184</v>
      </c>
      <c r="J12" s="12">
        <f>Calc_Financing_Cons!J23</f>
        <v>20682819.976723835</v>
      </c>
      <c r="K12" s="12">
        <f>Calc_Financing_Cons!K23</f>
        <v>24699159.589566056</v>
      </c>
      <c r="L12" s="12">
        <f>Calc_Financing_Cons!L23</f>
        <v>29097705.515394665</v>
      </c>
      <c r="M12" s="12">
        <f>Calc_Financing_Cons!M23</f>
        <v>33782896.543319993</v>
      </c>
      <c r="N12" s="12">
        <f>Calc_Financing_Cons!N23</f>
        <v>38628909.903702006</v>
      </c>
      <c r="O12" s="12">
        <f>Calc_Financing_Cons!O23</f>
        <v>43492458.668521255</v>
      </c>
      <c r="P12" s="12">
        <f>Calc_Financing_Cons!P23</f>
        <v>48229737.422901876</v>
      </c>
      <c r="Q12" s="12">
        <f>Calc_Financing_Cons!Q23</f>
        <v>52713429.25491447</v>
      </c>
      <c r="R12" s="12">
        <f>Calc_Financing_Cons!R23</f>
        <v>56845672.322059155</v>
      </c>
      <c r="S12" s="12">
        <f>Calc_Financing_Cons!S23</f>
        <v>60564483.8016873</v>
      </c>
      <c r="T12" s="12">
        <f>Calc_Financing_Cons!T23</f>
        <v>63843442.994789347</v>
      </c>
      <c r="U12" s="12">
        <f>Calc_Financing_Cons!U23</f>
        <v>66686305.173892692</v>
      </c>
      <c r="V12" s="12">
        <f>Calc_Financing_Cons!V23</f>
        <v>69119012.930034593</v>
      </c>
      <c r="W12" s="12">
        <f>Calc_Financing_Cons!W23</f>
        <v>71181353.286386341</v>
      </c>
      <c r="X12" s="12">
        <f>Calc_Financing_Cons!X23</f>
        <v>72919746.574670345</v>
      </c>
      <c r="Y12" s="12">
        <f>Calc_Financing_Cons!Y23</f>
        <v>74381827.298846751</v>
      </c>
      <c r="Z12" s="12">
        <f>Calc_Financing_Cons!Z23</f>
        <v>75612863.670705259</v>
      </c>
    </row>
    <row r="13" spans="1:26" x14ac:dyDescent="0.45">
      <c r="A13" t="s">
        <v>141</v>
      </c>
      <c r="C13" s="12">
        <f>Calc_Financing_Cons!C24</f>
        <v>1742822.9848693134</v>
      </c>
      <c r="D13" s="12">
        <f>Calc_Financing_Cons!D24</f>
        <v>2206585.19600874</v>
      </c>
      <c r="E13" s="12">
        <f>Calc_Financing_Cons!E24</f>
        <v>2779917.635710923</v>
      </c>
      <c r="F13" s="12">
        <f>Calc_Financing_Cons!F24</f>
        <v>3481850.2012020554</v>
      </c>
      <c r="G13" s="12">
        <f>Calc_Financing_Cons!G24</f>
        <v>4331082.2321094032</v>
      </c>
      <c r="H13" s="12">
        <f>Calc_Financing_Cons!H24</f>
        <v>5343903.2340394557</v>
      </c>
      <c r="I13" s="12">
        <f>Calc_Financing_Cons!I24</f>
        <v>6531411.9717823761</v>
      </c>
      <c r="J13" s="12">
        <f>Calc_Financing_Cons!J24</f>
        <v>7896281.8901093584</v>
      </c>
      <c r="K13" s="12">
        <f>Calc_Financing_Cons!K24</f>
        <v>9429639.0331442803</v>
      </c>
      <c r="L13" s="12">
        <f>Calc_Financing_Cons!L24</f>
        <v>11108914.8077254</v>
      </c>
      <c r="M13" s="12">
        <f>Calc_Financing_Cons!M24</f>
        <v>12897625.878418081</v>
      </c>
      <c r="N13" s="12">
        <f>Calc_Financing_Cons!N24</f>
        <v>14747735.659380054</v>
      </c>
      <c r="O13" s="12">
        <f>Calc_Financing_Cons!O24</f>
        <v>16604540.102706701</v>
      </c>
      <c r="P13" s="12">
        <f>Calc_Financing_Cons!P24</f>
        <v>18413137.212709725</v>
      </c>
      <c r="Q13" s="12">
        <f>Calc_Financing_Cons!Q24</f>
        <v>20124919.970273539</v>
      </c>
      <c r="R13" s="12">
        <f>Calc_Financing_Cons!R24</f>
        <v>21702526.70539695</v>
      </c>
      <c r="S13" s="12">
        <f>Calc_Financing_Cons!S24</f>
        <v>23122293.631394722</v>
      </c>
      <c r="T13" s="12">
        <f>Calc_Financing_Cons!T24</f>
        <v>24374133.860340163</v>
      </c>
      <c r="U13" s="12">
        <f>Calc_Financing_Cons!U24</f>
        <v>25459481.079249062</v>
      </c>
      <c r="V13" s="12">
        <f>Calc_Financing_Cons!V24</f>
        <v>26388239.644104809</v>
      </c>
      <c r="W13" s="12">
        <f>Calc_Financing_Cons!W24</f>
        <v>27175599.434763368</v>
      </c>
      <c r="X13" s="12">
        <f>Calc_Financing_Cons!X24</f>
        <v>27839282.793977082</v>
      </c>
      <c r="Y13" s="12">
        <f>Calc_Financing_Cons!Y24</f>
        <v>28397475.610874619</v>
      </c>
      <c r="Z13" s="12">
        <f>Calc_Financing_Cons!Z24</f>
        <v>28867460.372145649</v>
      </c>
    </row>
    <row r="15" spans="1:26" x14ac:dyDescent="0.45">
      <c r="A15" t="s">
        <v>142</v>
      </c>
      <c r="C15" s="12">
        <f>Calc_Financing_Cons!C18</f>
        <v>0</v>
      </c>
      <c r="D15" s="12">
        <f>Calc_Financing_Cons!D18</f>
        <v>22824.979242761863</v>
      </c>
      <c r="E15" s="12">
        <f>Calc_Financing_Cons!E18</f>
        <v>28898.667124281565</v>
      </c>
      <c r="F15" s="12">
        <f>Calc_Financing_Cons!F18</f>
        <v>36407.347666720947</v>
      </c>
      <c r="G15" s="12">
        <f>Calc_Financing_Cons!G18</f>
        <v>45600.246989399478</v>
      </c>
      <c r="H15" s="12">
        <f>Calc_Financing_Cons!H18</f>
        <v>56722.262045450741</v>
      </c>
      <c r="I15" s="12">
        <f>Calc_Financing_Cons!I18</f>
        <v>69986.729261219181</v>
      </c>
      <c r="J15" s="12">
        <f>Calc_Financing_Cons!J18</f>
        <v>85539.004234005915</v>
      </c>
      <c r="K15" s="12">
        <f>Calc_Financing_Cons!K18</f>
        <v>103414.09988361917</v>
      </c>
      <c r="L15" s="12">
        <f>Calc_Financing_Cons!L18</f>
        <v>123495.79794783027</v>
      </c>
      <c r="M15" s="12">
        <f>Calc_Financing_Cons!M18</f>
        <v>145488.52757697331</v>
      </c>
      <c r="N15" s="12">
        <f>Calc_Financing_Cons!N18</f>
        <v>168914.48271659997</v>
      </c>
      <c r="O15" s="12">
        <f>Calc_Financing_Cons!O18</f>
        <v>193144.54951851003</v>
      </c>
      <c r="P15" s="12">
        <f>Calc_Financing_Cons!P18</f>
        <v>217462.29334260628</v>
      </c>
      <c r="Q15" s="12">
        <f>Calc_Financing_Cons!Q18</f>
        <v>241148.68711450938</v>
      </c>
      <c r="R15" s="12">
        <f>Calc_Financing_Cons!R18</f>
        <v>263567.14627457235</v>
      </c>
      <c r="S15" s="12">
        <f>Calc_Financing_Cons!S18</f>
        <v>284228.36161029577</v>
      </c>
      <c r="T15" s="12">
        <f>Calc_Financing_Cons!T18</f>
        <v>302822.4190084365</v>
      </c>
      <c r="U15" s="12">
        <f>Calc_Financing_Cons!U18</f>
        <v>319217.21497394674</v>
      </c>
      <c r="V15" s="12">
        <f>Calc_Financing_Cons!V18</f>
        <v>333431.52586946345</v>
      </c>
      <c r="W15" s="12">
        <f>Calc_Financing_Cons!W18</f>
        <v>345595.06465017295</v>
      </c>
      <c r="X15" s="12">
        <f>Calc_Financing_Cons!X18</f>
        <v>355906.7664319317</v>
      </c>
      <c r="Y15" s="12">
        <f>Calc_Financing_Cons!Y18</f>
        <v>364598.73287335172</v>
      </c>
      <c r="Z15" s="12">
        <f>Calc_Financing_Cons!Z18</f>
        <v>371909.13649423374</v>
      </c>
    </row>
    <row r="16" spans="1:26" x14ac:dyDescent="0.45">
      <c r="A16" t="s">
        <v>143</v>
      </c>
      <c r="C16" s="18">
        <f>C15</f>
        <v>0</v>
      </c>
      <c r="D16" s="18">
        <f t="shared" ref="D16:Z16" si="2">C16+D15</f>
        <v>22824.979242761863</v>
      </c>
      <c r="E16" s="18">
        <f t="shared" si="2"/>
        <v>51723.646367043431</v>
      </c>
      <c r="F16" s="18">
        <f t="shared" si="2"/>
        <v>88130.994033764378</v>
      </c>
      <c r="G16" s="18">
        <f t="shared" si="2"/>
        <v>133731.24102316386</v>
      </c>
      <c r="H16" s="18">
        <f t="shared" si="2"/>
        <v>190453.50306861461</v>
      </c>
      <c r="I16" s="18">
        <f t="shared" si="2"/>
        <v>260440.23232983379</v>
      </c>
      <c r="J16" s="18">
        <f t="shared" si="2"/>
        <v>345979.23656383972</v>
      </c>
      <c r="K16" s="18">
        <f t="shared" si="2"/>
        <v>449393.33644745889</v>
      </c>
      <c r="L16" s="18">
        <f t="shared" si="2"/>
        <v>572889.13439528912</v>
      </c>
      <c r="M16" s="18">
        <f t="shared" si="2"/>
        <v>718377.66197226243</v>
      </c>
      <c r="N16" s="18">
        <f t="shared" si="2"/>
        <v>887292.14468886238</v>
      </c>
      <c r="O16" s="18">
        <f t="shared" si="2"/>
        <v>1080436.6942073724</v>
      </c>
      <c r="P16" s="18">
        <f t="shared" si="2"/>
        <v>1297898.9875499788</v>
      </c>
      <c r="Q16" s="18">
        <f t="shared" si="2"/>
        <v>1539047.6746644881</v>
      </c>
      <c r="R16" s="18">
        <f t="shared" si="2"/>
        <v>1802614.8209390603</v>
      </c>
      <c r="S16" s="18">
        <f t="shared" si="2"/>
        <v>2086843.182549356</v>
      </c>
      <c r="T16" s="18">
        <f t="shared" si="2"/>
        <v>2389665.6015577926</v>
      </c>
      <c r="U16" s="18">
        <f t="shared" si="2"/>
        <v>2708882.8165317392</v>
      </c>
      <c r="V16" s="18">
        <f t="shared" si="2"/>
        <v>3042314.3424012028</v>
      </c>
      <c r="W16" s="18">
        <f t="shared" si="2"/>
        <v>3387909.4070513756</v>
      </c>
      <c r="X16" s="18">
        <f t="shared" si="2"/>
        <v>3743816.1734833075</v>
      </c>
      <c r="Y16" s="18">
        <f t="shared" si="2"/>
        <v>4108414.9063566593</v>
      </c>
      <c r="Z16" s="18">
        <f t="shared" si="2"/>
        <v>4480324.042850893</v>
      </c>
    </row>
    <row r="17" spans="1:26" x14ac:dyDescent="0.45">
      <c r="A17" t="s">
        <v>144</v>
      </c>
      <c r="C17" s="18">
        <f t="shared" ref="C17:Z17" si="3">C7+C16</f>
        <v>6307818.8334216857</v>
      </c>
      <c r="D17" s="18">
        <f t="shared" si="3"/>
        <v>7986318.6208650535</v>
      </c>
      <c r="E17" s="18">
        <f t="shared" si="3"/>
        <v>10061387.169055112</v>
      </c>
      <c r="F17" s="18">
        <f t="shared" si="3"/>
        <v>12601899.59908195</v>
      </c>
      <c r="G17" s="18">
        <f t="shared" si="3"/>
        <v>15675534.641199552</v>
      </c>
      <c r="H17" s="18">
        <f t="shared" si="3"/>
        <v>19341249.086283293</v>
      </c>
      <c r="I17" s="18">
        <f t="shared" si="3"/>
        <v>23639212.818583559</v>
      </c>
      <c r="J17" s="18">
        <f t="shared" si="3"/>
        <v>28579101.866833191</v>
      </c>
      <c r="K17" s="18">
        <f t="shared" si="3"/>
        <v>34128798.62271034</v>
      </c>
      <c r="L17" s="18">
        <f t="shared" si="3"/>
        <v>40206620.323120058</v>
      </c>
      <c r="M17" s="18">
        <f t="shared" si="3"/>
        <v>46680522.421738066</v>
      </c>
      <c r="N17" s="18">
        <f t="shared" si="3"/>
        <v>53376645.563082047</v>
      </c>
      <c r="O17" s="18">
        <f t="shared" si="3"/>
        <v>60096998.771227941</v>
      </c>
      <c r="P17" s="18">
        <f t="shared" si="3"/>
        <v>66642874.635611579</v>
      </c>
      <c r="Q17" s="18">
        <f t="shared" si="3"/>
        <v>72838349.225187987</v>
      </c>
      <c r="R17" s="18">
        <f t="shared" si="3"/>
        <v>78548199.02745609</v>
      </c>
      <c r="S17" s="18">
        <f t="shared" si="3"/>
        <v>83686777.433081999</v>
      </c>
      <c r="T17" s="18">
        <f t="shared" si="3"/>
        <v>88217576.855129495</v>
      </c>
      <c r="U17" s="18">
        <f t="shared" si="3"/>
        <v>92145786.253141731</v>
      </c>
      <c r="V17" s="18">
        <f t="shared" si="3"/>
        <v>95507252.574139386</v>
      </c>
      <c r="W17" s="18">
        <f t="shared" si="3"/>
        <v>98356952.721149683</v>
      </c>
      <c r="X17" s="18">
        <f t="shared" si="3"/>
        <v>100759029.36864741</v>
      </c>
      <c r="Y17" s="18">
        <f t="shared" si="3"/>
        <v>102779302.90972136</v>
      </c>
      <c r="Z17" s="18">
        <f t="shared" si="3"/>
        <v>104480324.0428509</v>
      </c>
    </row>
    <row r="20" spans="1:26" x14ac:dyDescent="0.45">
      <c r="A20" s="3" t="s">
        <v>85</v>
      </c>
    </row>
    <row r="21" spans="1:26" x14ac:dyDescent="0.45">
      <c r="A21" t="s">
        <v>145</v>
      </c>
      <c r="Z21" s="26">
        <f>IF(ROUND(Z12+Z13-Z7-Z16,2)=0,1,0)</f>
        <v>1</v>
      </c>
    </row>
    <row r="22" spans="1:26" x14ac:dyDescent="0.45">
      <c r="A22" t="s">
        <v>146</v>
      </c>
      <c r="Z22" s="26">
        <f>IF(ROUND(Z7-$B$4,2)=0,1,0)</f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08080"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2" customWidth="1"/>
  </cols>
  <sheetData>
    <row r="1" spans="1:26" ht="15.75" x14ac:dyDescent="0.5">
      <c r="A1" s="10" t="s">
        <v>147</v>
      </c>
    </row>
    <row r="3" spans="1:26" x14ac:dyDescent="0.45">
      <c r="A3" t="s">
        <v>148</v>
      </c>
      <c r="B3" s="11" t="str">
        <f>Cover!$B$14</f>
        <v>Pari Passu</v>
      </c>
    </row>
    <row r="4" spans="1:26" x14ac:dyDescent="0.45">
      <c r="A4" t="s">
        <v>149</v>
      </c>
      <c r="B4" s="13">
        <f>Assumptions_Model!$B$5</f>
        <v>0.06</v>
      </c>
    </row>
    <row r="5" spans="1:26" x14ac:dyDescent="0.45">
      <c r="A5" t="s">
        <v>150</v>
      </c>
      <c r="B5" s="13">
        <f>Assumptions_Model!$B$4</f>
        <v>0.7</v>
      </c>
    </row>
    <row r="6" spans="1:26" x14ac:dyDescent="0.45">
      <c r="A6" t="s">
        <v>151</v>
      </c>
      <c r="B6" s="31">
        <v>4480324.8926537791</v>
      </c>
    </row>
    <row r="7" spans="1:26" x14ac:dyDescent="0.45">
      <c r="A7" t="s">
        <v>152</v>
      </c>
      <c r="B7" s="18">
        <f>Assumptions_Model!$B$3+B6</f>
        <v>104480324.89265378</v>
      </c>
    </row>
    <row r="8" spans="1:26" x14ac:dyDescent="0.45">
      <c r="A8" t="s">
        <v>153</v>
      </c>
      <c r="B8" s="18">
        <f>IF(Cover!$B$17="DSCR Sculpted",Calc_Financing_Ops!$B$7,$B$5*$B$7)</f>
        <v>75612864.285711274</v>
      </c>
    </row>
    <row r="9" spans="1:26" x14ac:dyDescent="0.45">
      <c r="A9" t="s">
        <v>154</v>
      </c>
      <c r="B9" s="18">
        <f>B7-B8</f>
        <v>28867460.606942505</v>
      </c>
    </row>
    <row r="10" spans="1:26" x14ac:dyDescent="0.45">
      <c r="A10" t="s">
        <v>155</v>
      </c>
      <c r="B10" s="32">
        <f>SUM(C18:Z18)</f>
        <v>4480324.042850893</v>
      </c>
    </row>
    <row r="11" spans="1:26" x14ac:dyDescent="0.45">
      <c r="A11" t="s">
        <v>156</v>
      </c>
      <c r="B11" s="33">
        <f>B10-B6</f>
        <v>-0.84980288613587618</v>
      </c>
    </row>
    <row r="13" spans="1:26" x14ac:dyDescent="0.45">
      <c r="A13" t="s">
        <v>63</v>
      </c>
      <c r="C13" s="16">
        <v>46418</v>
      </c>
      <c r="D13" s="16">
        <v>46446</v>
      </c>
      <c r="E13" s="16">
        <v>46477</v>
      </c>
      <c r="F13" s="16">
        <v>46507</v>
      </c>
      <c r="G13" s="16">
        <v>46538</v>
      </c>
      <c r="H13" s="16">
        <v>46568</v>
      </c>
      <c r="I13" s="16">
        <v>46599</v>
      </c>
      <c r="J13" s="16">
        <v>46630</v>
      </c>
      <c r="K13" s="16">
        <v>46660</v>
      </c>
      <c r="L13" s="16">
        <v>46691</v>
      </c>
      <c r="M13" s="16">
        <v>46721</v>
      </c>
      <c r="N13" s="16">
        <v>46752</v>
      </c>
      <c r="O13" s="16">
        <v>46783</v>
      </c>
      <c r="P13" s="16">
        <v>46812</v>
      </c>
      <c r="Q13" s="16">
        <v>46843</v>
      </c>
      <c r="R13" s="16">
        <v>46873</v>
      </c>
      <c r="S13" s="16">
        <v>46904</v>
      </c>
      <c r="T13" s="16">
        <v>46934</v>
      </c>
      <c r="U13" s="16">
        <v>46965</v>
      </c>
      <c r="V13" s="16">
        <v>46996</v>
      </c>
      <c r="W13" s="16">
        <v>47026</v>
      </c>
      <c r="X13" s="16">
        <v>47057</v>
      </c>
      <c r="Y13" s="16">
        <v>47087</v>
      </c>
      <c r="Z13" s="16">
        <v>47118</v>
      </c>
    </row>
    <row r="14" spans="1:26" x14ac:dyDescent="0.45">
      <c r="A14" t="s">
        <v>90</v>
      </c>
      <c r="C14">
        <v>1</v>
      </c>
      <c r="D14">
        <v>2</v>
      </c>
      <c r="E14">
        <v>3</v>
      </c>
      <c r="F14">
        <v>4</v>
      </c>
      <c r="G14">
        <v>5</v>
      </c>
      <c r="H14">
        <v>6</v>
      </c>
      <c r="I14">
        <v>7</v>
      </c>
      <c r="J14">
        <v>8</v>
      </c>
      <c r="K14">
        <v>9</v>
      </c>
      <c r="L14">
        <v>10</v>
      </c>
      <c r="M14">
        <v>11</v>
      </c>
      <c r="N14">
        <v>12</v>
      </c>
      <c r="O14">
        <v>13</v>
      </c>
      <c r="P14">
        <v>14</v>
      </c>
      <c r="Q14">
        <v>15</v>
      </c>
      <c r="R14">
        <v>16</v>
      </c>
      <c r="S14">
        <v>17</v>
      </c>
      <c r="T14">
        <v>18</v>
      </c>
      <c r="U14">
        <v>19</v>
      </c>
      <c r="V14">
        <v>20</v>
      </c>
      <c r="W14">
        <v>21</v>
      </c>
      <c r="X14">
        <v>22</v>
      </c>
      <c r="Y14">
        <v>23</v>
      </c>
      <c r="Z14">
        <v>24</v>
      </c>
    </row>
    <row r="16" spans="1:26" x14ac:dyDescent="0.45">
      <c r="A16" t="s">
        <v>157</v>
      </c>
      <c r="C16" s="12">
        <f>Calc_Capex!C6</f>
        <v>6307818.8334216857</v>
      </c>
      <c r="D16" s="12">
        <f>Calc_Capex!D6</f>
        <v>1655674.8082006061</v>
      </c>
      <c r="E16" s="12">
        <f>Calc_Capex!E6</f>
        <v>2046169.881065777</v>
      </c>
      <c r="F16" s="12">
        <f>Calc_Capex!F6</f>
        <v>2504105.0823601168</v>
      </c>
      <c r="G16" s="12">
        <f>Calc_Capex!G6</f>
        <v>3028034.7951282021</v>
      </c>
      <c r="H16" s="12">
        <f>Calc_Capex!H6</f>
        <v>3608992.1830382911</v>
      </c>
      <c r="I16" s="12">
        <f>Calc_Capex!I6</f>
        <v>4227977.0030390481</v>
      </c>
      <c r="J16" s="12">
        <f>Calc_Capex!J6</f>
        <v>4854350.0440156264</v>
      </c>
      <c r="K16" s="12">
        <f>Calc_Capex!K6</f>
        <v>5446282.6559935221</v>
      </c>
      <c r="L16" s="12">
        <f>Calc_Capex!L6</f>
        <v>5954325.9024618957</v>
      </c>
      <c r="M16" s="12">
        <f>Calc_Capex!M6</f>
        <v>6328413.5710410364</v>
      </c>
      <c r="N16" s="12">
        <f>Calc_Capex!N6</f>
        <v>6527208.6586273843</v>
      </c>
      <c r="O16" s="12">
        <f>Calc_Capex!O6</f>
        <v>6527208.6586273843</v>
      </c>
      <c r="P16" s="12">
        <f>Calc_Capex!P6</f>
        <v>6328413.5710410364</v>
      </c>
      <c r="Q16" s="12">
        <f>Calc_Capex!Q6</f>
        <v>5954325.9024618957</v>
      </c>
      <c r="R16" s="12">
        <f>Calc_Capex!R6</f>
        <v>5446282.6559935221</v>
      </c>
      <c r="S16" s="12">
        <f>Calc_Capex!S6</f>
        <v>4854350.044015618</v>
      </c>
      <c r="T16" s="12">
        <f>Calc_Capex!T6</f>
        <v>4227977.0030390555</v>
      </c>
      <c r="U16" s="12">
        <f>Calc_Capex!U6</f>
        <v>3608992.1830382966</v>
      </c>
      <c r="V16" s="12">
        <f>Calc_Capex!V6</f>
        <v>3028034.795128182</v>
      </c>
      <c r="W16" s="12">
        <f>Calc_Capex!W6</f>
        <v>2504105.0823601359</v>
      </c>
      <c r="X16" s="12">
        <f>Calc_Capex!X6</f>
        <v>2046169.8810657819</v>
      </c>
      <c r="Y16" s="12">
        <f>Calc_Capex!Y6</f>
        <v>1655674.8082005982</v>
      </c>
      <c r="Z16" s="12">
        <f>Calc_Capex!Z6</f>
        <v>1329111.996635305</v>
      </c>
    </row>
    <row r="17" spans="1:26" x14ac:dyDescent="0.45">
      <c r="A17" t="s">
        <v>158</v>
      </c>
      <c r="C17" s="18">
        <f>0</f>
        <v>0</v>
      </c>
      <c r="D17" s="18">
        <f t="shared" ref="D17:Z17" si="0">C25</f>
        <v>4564995.8485523723</v>
      </c>
      <c r="E17" s="18">
        <f t="shared" si="0"/>
        <v>5779733.4248563135</v>
      </c>
      <c r="F17" s="18">
        <f t="shared" si="0"/>
        <v>7281469.5333441896</v>
      </c>
      <c r="G17" s="18">
        <f t="shared" si="0"/>
        <v>9120049.3978798948</v>
      </c>
      <c r="H17" s="18">
        <f t="shared" si="0"/>
        <v>11344452.409090148</v>
      </c>
      <c r="I17" s="18">
        <f t="shared" si="0"/>
        <v>13997345.852243837</v>
      </c>
      <c r="J17" s="18">
        <f t="shared" si="0"/>
        <v>17107800.846801184</v>
      </c>
      <c r="K17" s="18">
        <f t="shared" si="0"/>
        <v>20682819.976723835</v>
      </c>
      <c r="L17" s="18">
        <f t="shared" si="0"/>
        <v>24699159.589566056</v>
      </c>
      <c r="M17" s="18">
        <f t="shared" si="0"/>
        <v>29097705.515394665</v>
      </c>
      <c r="N17" s="18">
        <f t="shared" si="0"/>
        <v>33782896.543319993</v>
      </c>
      <c r="O17" s="18">
        <f t="shared" si="0"/>
        <v>38628909.903702006</v>
      </c>
      <c r="P17" s="18">
        <f t="shared" si="0"/>
        <v>43492458.668521255</v>
      </c>
      <c r="Q17" s="18">
        <f t="shared" si="0"/>
        <v>48229737.422901876</v>
      </c>
      <c r="R17" s="18">
        <f t="shared" si="0"/>
        <v>52713429.25491447</v>
      </c>
      <c r="S17" s="18">
        <f t="shared" si="0"/>
        <v>56845672.322059155</v>
      </c>
      <c r="T17" s="18">
        <f t="shared" si="0"/>
        <v>60564483.8016873</v>
      </c>
      <c r="U17" s="18">
        <f t="shared" si="0"/>
        <v>63843442.994789347</v>
      </c>
      <c r="V17" s="18">
        <f t="shared" si="0"/>
        <v>66686305.173892692</v>
      </c>
      <c r="W17" s="18">
        <f t="shared" si="0"/>
        <v>69119012.930034593</v>
      </c>
      <c r="X17" s="18">
        <f t="shared" si="0"/>
        <v>71181353.286386341</v>
      </c>
      <c r="Y17" s="18">
        <f t="shared" si="0"/>
        <v>72919746.574670345</v>
      </c>
      <c r="Z17" s="18">
        <f t="shared" si="0"/>
        <v>74381827.298846751</v>
      </c>
    </row>
    <row r="18" spans="1:26" x14ac:dyDescent="0.45">
      <c r="A18" t="s">
        <v>159</v>
      </c>
      <c r="C18" s="18">
        <f t="shared" ref="C18:Z18" si="1">C17*$B$4/12</f>
        <v>0</v>
      </c>
      <c r="D18" s="18">
        <f t="shared" si="1"/>
        <v>22824.979242761863</v>
      </c>
      <c r="E18" s="18">
        <f t="shared" si="1"/>
        <v>28898.667124281565</v>
      </c>
      <c r="F18" s="18">
        <f t="shared" si="1"/>
        <v>36407.347666720947</v>
      </c>
      <c r="G18" s="18">
        <f t="shared" si="1"/>
        <v>45600.246989399478</v>
      </c>
      <c r="H18" s="18">
        <f t="shared" si="1"/>
        <v>56722.262045450741</v>
      </c>
      <c r="I18" s="18">
        <f t="shared" si="1"/>
        <v>69986.729261219181</v>
      </c>
      <c r="J18" s="18">
        <f t="shared" si="1"/>
        <v>85539.004234005915</v>
      </c>
      <c r="K18" s="18">
        <f t="shared" si="1"/>
        <v>103414.09988361917</v>
      </c>
      <c r="L18" s="18">
        <f t="shared" si="1"/>
        <v>123495.79794783027</v>
      </c>
      <c r="M18" s="18">
        <f t="shared" si="1"/>
        <v>145488.52757697331</v>
      </c>
      <c r="N18" s="18">
        <f t="shared" si="1"/>
        <v>168914.48271659997</v>
      </c>
      <c r="O18" s="18">
        <f t="shared" si="1"/>
        <v>193144.54951851003</v>
      </c>
      <c r="P18" s="18">
        <f t="shared" si="1"/>
        <v>217462.29334260628</v>
      </c>
      <c r="Q18" s="18">
        <f t="shared" si="1"/>
        <v>241148.68711450938</v>
      </c>
      <c r="R18" s="18">
        <f t="shared" si="1"/>
        <v>263567.14627457235</v>
      </c>
      <c r="S18" s="18">
        <f t="shared" si="1"/>
        <v>284228.36161029577</v>
      </c>
      <c r="T18" s="18">
        <f t="shared" si="1"/>
        <v>302822.4190084365</v>
      </c>
      <c r="U18" s="18">
        <f t="shared" si="1"/>
        <v>319217.21497394674</v>
      </c>
      <c r="V18" s="18">
        <f t="shared" si="1"/>
        <v>333431.52586946345</v>
      </c>
      <c r="W18" s="18">
        <f t="shared" si="1"/>
        <v>345595.06465017295</v>
      </c>
      <c r="X18" s="18">
        <f t="shared" si="1"/>
        <v>355906.7664319317</v>
      </c>
      <c r="Y18" s="18">
        <f t="shared" si="1"/>
        <v>364598.73287335172</v>
      </c>
      <c r="Z18" s="18">
        <f t="shared" si="1"/>
        <v>371909.13649423374</v>
      </c>
    </row>
    <row r="19" spans="1:26" x14ac:dyDescent="0.45">
      <c r="A19" t="s">
        <v>160</v>
      </c>
      <c r="C19" s="18">
        <f t="shared" ref="C19:Z19" si="2">C16+C18</f>
        <v>6307818.8334216857</v>
      </c>
      <c r="D19" s="18">
        <f t="shared" si="2"/>
        <v>1678499.787443368</v>
      </c>
      <c r="E19" s="18">
        <f t="shared" si="2"/>
        <v>2075068.5481900587</v>
      </c>
      <c r="F19" s="18">
        <f t="shared" si="2"/>
        <v>2540512.4300268376</v>
      </c>
      <c r="G19" s="18">
        <f t="shared" si="2"/>
        <v>3073635.0421176017</v>
      </c>
      <c r="H19" s="18">
        <f t="shared" si="2"/>
        <v>3665714.445083742</v>
      </c>
      <c r="I19" s="18">
        <f t="shared" si="2"/>
        <v>4297963.7323002676</v>
      </c>
      <c r="J19" s="18">
        <f t="shared" si="2"/>
        <v>4939889.0482496321</v>
      </c>
      <c r="K19" s="18">
        <f t="shared" si="2"/>
        <v>5549696.7558771409</v>
      </c>
      <c r="L19" s="18">
        <f t="shared" si="2"/>
        <v>6077821.7004097262</v>
      </c>
      <c r="M19" s="18">
        <f t="shared" si="2"/>
        <v>6473902.0986180101</v>
      </c>
      <c r="N19" s="18">
        <f t="shared" si="2"/>
        <v>6696123.1413439848</v>
      </c>
      <c r="O19" s="18">
        <f t="shared" si="2"/>
        <v>6720353.2081458941</v>
      </c>
      <c r="P19" s="18">
        <f t="shared" si="2"/>
        <v>6545875.8643836426</v>
      </c>
      <c r="Q19" s="18">
        <f t="shared" si="2"/>
        <v>6195474.5895764055</v>
      </c>
      <c r="R19" s="18">
        <f t="shared" si="2"/>
        <v>5709849.8022680944</v>
      </c>
      <c r="S19" s="18">
        <f t="shared" si="2"/>
        <v>5138578.4056259142</v>
      </c>
      <c r="T19" s="18">
        <f t="shared" si="2"/>
        <v>4530799.4220474921</v>
      </c>
      <c r="U19" s="18">
        <f t="shared" si="2"/>
        <v>3928209.3980122432</v>
      </c>
      <c r="V19" s="18">
        <f t="shared" si="2"/>
        <v>3361466.3209976456</v>
      </c>
      <c r="W19" s="18">
        <f t="shared" si="2"/>
        <v>2849700.1470103087</v>
      </c>
      <c r="X19" s="18">
        <f t="shared" si="2"/>
        <v>2402076.6474977136</v>
      </c>
      <c r="Y19" s="18">
        <f t="shared" si="2"/>
        <v>2020273.54107395</v>
      </c>
      <c r="Z19" s="18">
        <f t="shared" si="2"/>
        <v>1701021.1331295387</v>
      </c>
    </row>
    <row r="20" spans="1:26" x14ac:dyDescent="0.45">
      <c r="A20" t="s">
        <v>161</v>
      </c>
      <c r="C20" s="18">
        <f>C19</f>
        <v>6307818.8334216857</v>
      </c>
      <c r="D20" s="18">
        <f t="shared" ref="D20:Z20" si="3">C20+D19</f>
        <v>7986318.6208650535</v>
      </c>
      <c r="E20" s="18">
        <f t="shared" si="3"/>
        <v>10061387.169055112</v>
      </c>
      <c r="F20" s="18">
        <f t="shared" si="3"/>
        <v>12601899.599081948</v>
      </c>
      <c r="G20" s="18">
        <f t="shared" si="3"/>
        <v>15675534.64119955</v>
      </c>
      <c r="H20" s="18">
        <f t="shared" si="3"/>
        <v>19341249.086283293</v>
      </c>
      <c r="I20" s="18">
        <f t="shared" si="3"/>
        <v>23639212.818583559</v>
      </c>
      <c r="J20" s="18">
        <f t="shared" si="3"/>
        <v>28579101.866833191</v>
      </c>
      <c r="K20" s="18">
        <f t="shared" si="3"/>
        <v>34128798.622710332</v>
      </c>
      <c r="L20" s="18">
        <f t="shared" si="3"/>
        <v>40206620.323120058</v>
      </c>
      <c r="M20" s="18">
        <f t="shared" si="3"/>
        <v>46680522.421738066</v>
      </c>
      <c r="N20" s="18">
        <f t="shared" si="3"/>
        <v>53376645.563082054</v>
      </c>
      <c r="O20" s="18">
        <f t="shared" si="3"/>
        <v>60096998.771227948</v>
      </c>
      <c r="P20" s="18">
        <f t="shared" si="3"/>
        <v>66642874.635611594</v>
      </c>
      <c r="Q20" s="18">
        <f t="shared" si="3"/>
        <v>72838349.225188002</v>
      </c>
      <c r="R20" s="18">
        <f t="shared" si="3"/>
        <v>78548199.02745609</v>
      </c>
      <c r="S20" s="18">
        <f t="shared" si="3"/>
        <v>83686777.433081999</v>
      </c>
      <c r="T20" s="18">
        <f t="shared" si="3"/>
        <v>88217576.855129495</v>
      </c>
      <c r="U20" s="18">
        <f t="shared" si="3"/>
        <v>92145786.253141731</v>
      </c>
      <c r="V20" s="18">
        <f t="shared" si="3"/>
        <v>95507252.574139372</v>
      </c>
      <c r="W20" s="18">
        <f t="shared" si="3"/>
        <v>98356952.721149683</v>
      </c>
      <c r="X20" s="18">
        <f t="shared" si="3"/>
        <v>100759029.3686474</v>
      </c>
      <c r="Y20" s="18">
        <f t="shared" si="3"/>
        <v>102779302.90972134</v>
      </c>
      <c r="Z20" s="18">
        <f t="shared" si="3"/>
        <v>104480324.04285088</v>
      </c>
    </row>
    <row r="21" spans="1:26" x14ac:dyDescent="0.45">
      <c r="A21" t="s">
        <v>162</v>
      </c>
      <c r="C21" s="18">
        <f>IF($B$3="Debt First",MIN(C20,$B$8)-0,IF($B$3="Equity First",C19-(MIN(C20,$B$9)-0),C19*IFERROR($B$8/$B$7,0)))</f>
        <v>4564995.8485523723</v>
      </c>
      <c r="D21" s="18">
        <f t="shared" ref="D21:Z21" si="4">IF($B$3="Debt First",MIN(D20,$B$8)-MIN(C20,$B$8),IF($B$3="Equity First",D19-(MIN(D20,$B$9)-MIN(C20,$B$9)),D19*IFERROR($B$8/$B$7,0)))</f>
        <v>1214737.5763039414</v>
      </c>
      <c r="E21" s="18">
        <f t="shared" si="4"/>
        <v>1501736.1084878759</v>
      </c>
      <c r="F21" s="18">
        <f t="shared" si="4"/>
        <v>1838579.8645357052</v>
      </c>
      <c r="G21" s="18">
        <f t="shared" si="4"/>
        <v>2224403.0112102535</v>
      </c>
      <c r="H21" s="18">
        <f t="shared" si="4"/>
        <v>2652893.4431536896</v>
      </c>
      <c r="I21" s="18">
        <f t="shared" si="4"/>
        <v>3110454.9945573471</v>
      </c>
      <c r="J21" s="18">
        <f t="shared" si="4"/>
        <v>3575019.1299226498</v>
      </c>
      <c r="K21" s="18">
        <f t="shared" si="4"/>
        <v>4016339.6128422199</v>
      </c>
      <c r="L21" s="18">
        <f t="shared" si="4"/>
        <v>4398545.9258286078</v>
      </c>
      <c r="M21" s="18">
        <f t="shared" si="4"/>
        <v>4685191.0279253302</v>
      </c>
      <c r="N21" s="18">
        <f t="shared" si="4"/>
        <v>4846013.3603820112</v>
      </c>
      <c r="O21" s="18">
        <f t="shared" si="4"/>
        <v>4863548.7648192467</v>
      </c>
      <c r="P21" s="18">
        <f t="shared" si="4"/>
        <v>4737278.7543806201</v>
      </c>
      <c r="Q21" s="18">
        <f t="shared" si="4"/>
        <v>4483691.832012591</v>
      </c>
      <c r="R21" s="18">
        <f t="shared" si="4"/>
        <v>4132243.0671446845</v>
      </c>
      <c r="S21" s="18">
        <f t="shared" si="4"/>
        <v>3718811.4796281429</v>
      </c>
      <c r="T21" s="18">
        <f t="shared" si="4"/>
        <v>3278959.1931020506</v>
      </c>
      <c r="U21" s="18">
        <f t="shared" si="4"/>
        <v>2842862.1791033465</v>
      </c>
      <c r="V21" s="18">
        <f t="shared" si="4"/>
        <v>2432707.7561418968</v>
      </c>
      <c r="W21" s="18">
        <f t="shared" si="4"/>
        <v>2062340.3563517474</v>
      </c>
      <c r="X21" s="18">
        <f t="shared" si="4"/>
        <v>1738393.2882839988</v>
      </c>
      <c r="Y21" s="18">
        <f t="shared" si="4"/>
        <v>1462080.7241764108</v>
      </c>
      <c r="Z21" s="18">
        <f t="shared" si="4"/>
        <v>1231036.3718585076</v>
      </c>
    </row>
    <row r="22" spans="1:26" x14ac:dyDescent="0.45">
      <c r="A22" t="s">
        <v>163</v>
      </c>
      <c r="C22" s="18">
        <f t="shared" ref="C22:Z22" si="5">C19-C21</f>
        <v>1742822.9848693134</v>
      </c>
      <c r="D22" s="18">
        <f t="shared" si="5"/>
        <v>463762.21113942657</v>
      </c>
      <c r="E22" s="18">
        <f t="shared" si="5"/>
        <v>573332.43970218278</v>
      </c>
      <c r="F22" s="18">
        <f t="shared" si="5"/>
        <v>701932.56549113244</v>
      </c>
      <c r="G22" s="18">
        <f t="shared" si="5"/>
        <v>849232.03090734826</v>
      </c>
      <c r="H22" s="18">
        <f t="shared" si="5"/>
        <v>1012821.0019300524</v>
      </c>
      <c r="I22" s="18">
        <f t="shared" si="5"/>
        <v>1187508.7377429204</v>
      </c>
      <c r="J22" s="18">
        <f t="shared" si="5"/>
        <v>1364869.9183269823</v>
      </c>
      <c r="K22" s="18">
        <f t="shared" si="5"/>
        <v>1533357.143034921</v>
      </c>
      <c r="L22" s="18">
        <f t="shared" si="5"/>
        <v>1679275.7745811185</v>
      </c>
      <c r="M22" s="18">
        <f t="shared" si="5"/>
        <v>1788711.0706926798</v>
      </c>
      <c r="N22" s="18">
        <f t="shared" si="5"/>
        <v>1850109.7809619736</v>
      </c>
      <c r="O22" s="18">
        <f t="shared" si="5"/>
        <v>1856804.4433266474</v>
      </c>
      <c r="P22" s="18">
        <f t="shared" si="5"/>
        <v>1808597.1100030225</v>
      </c>
      <c r="Q22" s="18">
        <f t="shared" si="5"/>
        <v>1711782.7575638145</v>
      </c>
      <c r="R22" s="18">
        <f t="shared" si="5"/>
        <v>1577606.7351234099</v>
      </c>
      <c r="S22" s="18">
        <f t="shared" si="5"/>
        <v>1419766.9259977713</v>
      </c>
      <c r="T22" s="18">
        <f t="shared" si="5"/>
        <v>1251840.2289454415</v>
      </c>
      <c r="U22" s="18">
        <f t="shared" si="5"/>
        <v>1085347.2189088967</v>
      </c>
      <c r="V22" s="18">
        <f t="shared" si="5"/>
        <v>928758.56485574879</v>
      </c>
      <c r="W22" s="18">
        <f t="shared" si="5"/>
        <v>787359.79065856128</v>
      </c>
      <c r="X22" s="18">
        <f t="shared" si="5"/>
        <v>663683.35921371472</v>
      </c>
      <c r="Y22" s="18">
        <f t="shared" si="5"/>
        <v>558192.81689753919</v>
      </c>
      <c r="Z22" s="18">
        <f t="shared" si="5"/>
        <v>469984.76127103111</v>
      </c>
    </row>
    <row r="23" spans="1:26" x14ac:dyDescent="0.45">
      <c r="A23" t="s">
        <v>164</v>
      </c>
      <c r="C23" s="18">
        <f>C21</f>
        <v>4564995.8485523723</v>
      </c>
      <c r="D23" s="18">
        <f t="shared" ref="D23:Z23" si="6">C23+D21</f>
        <v>5779733.4248563135</v>
      </c>
      <c r="E23" s="18">
        <f t="shared" si="6"/>
        <v>7281469.5333441896</v>
      </c>
      <c r="F23" s="18">
        <f t="shared" si="6"/>
        <v>9120049.3978798948</v>
      </c>
      <c r="G23" s="18">
        <f t="shared" si="6"/>
        <v>11344452.409090148</v>
      </c>
      <c r="H23" s="18">
        <f t="shared" si="6"/>
        <v>13997345.852243837</v>
      </c>
      <c r="I23" s="18">
        <f t="shared" si="6"/>
        <v>17107800.846801184</v>
      </c>
      <c r="J23" s="18">
        <f t="shared" si="6"/>
        <v>20682819.976723835</v>
      </c>
      <c r="K23" s="18">
        <f t="shared" si="6"/>
        <v>24699159.589566056</v>
      </c>
      <c r="L23" s="18">
        <f t="shared" si="6"/>
        <v>29097705.515394665</v>
      </c>
      <c r="M23" s="18">
        <f t="shared" si="6"/>
        <v>33782896.543319993</v>
      </c>
      <c r="N23" s="18">
        <f t="shared" si="6"/>
        <v>38628909.903702006</v>
      </c>
      <c r="O23" s="18">
        <f t="shared" si="6"/>
        <v>43492458.668521255</v>
      </c>
      <c r="P23" s="18">
        <f t="shared" si="6"/>
        <v>48229737.422901876</v>
      </c>
      <c r="Q23" s="18">
        <f t="shared" si="6"/>
        <v>52713429.25491447</v>
      </c>
      <c r="R23" s="18">
        <f t="shared" si="6"/>
        <v>56845672.322059155</v>
      </c>
      <c r="S23" s="18">
        <f t="shared" si="6"/>
        <v>60564483.8016873</v>
      </c>
      <c r="T23" s="18">
        <f t="shared" si="6"/>
        <v>63843442.994789347</v>
      </c>
      <c r="U23" s="18">
        <f t="shared" si="6"/>
        <v>66686305.173892692</v>
      </c>
      <c r="V23" s="18">
        <f t="shared" si="6"/>
        <v>69119012.930034593</v>
      </c>
      <c r="W23" s="18">
        <f t="shared" si="6"/>
        <v>71181353.286386341</v>
      </c>
      <c r="X23" s="18">
        <f t="shared" si="6"/>
        <v>72919746.574670345</v>
      </c>
      <c r="Y23" s="18">
        <f t="shared" si="6"/>
        <v>74381827.298846751</v>
      </c>
      <c r="Z23" s="18">
        <f t="shared" si="6"/>
        <v>75612863.670705259</v>
      </c>
    </row>
    <row r="24" spans="1:26" x14ac:dyDescent="0.45">
      <c r="A24" t="s">
        <v>165</v>
      </c>
      <c r="C24" s="18">
        <f>C22</f>
        <v>1742822.9848693134</v>
      </c>
      <c r="D24" s="18">
        <f t="shared" ref="D24:Z24" si="7">C24+D22</f>
        <v>2206585.19600874</v>
      </c>
      <c r="E24" s="18">
        <f t="shared" si="7"/>
        <v>2779917.635710923</v>
      </c>
      <c r="F24" s="18">
        <f t="shared" si="7"/>
        <v>3481850.2012020554</v>
      </c>
      <c r="G24" s="18">
        <f t="shared" si="7"/>
        <v>4331082.2321094032</v>
      </c>
      <c r="H24" s="18">
        <f t="shared" si="7"/>
        <v>5343903.2340394557</v>
      </c>
      <c r="I24" s="18">
        <f t="shared" si="7"/>
        <v>6531411.9717823761</v>
      </c>
      <c r="J24" s="18">
        <f t="shared" si="7"/>
        <v>7896281.8901093584</v>
      </c>
      <c r="K24" s="18">
        <f t="shared" si="7"/>
        <v>9429639.0331442803</v>
      </c>
      <c r="L24" s="18">
        <f t="shared" si="7"/>
        <v>11108914.8077254</v>
      </c>
      <c r="M24" s="18">
        <f t="shared" si="7"/>
        <v>12897625.878418081</v>
      </c>
      <c r="N24" s="18">
        <f t="shared" si="7"/>
        <v>14747735.659380054</v>
      </c>
      <c r="O24" s="18">
        <f t="shared" si="7"/>
        <v>16604540.102706701</v>
      </c>
      <c r="P24" s="18">
        <f t="shared" si="7"/>
        <v>18413137.212709725</v>
      </c>
      <c r="Q24" s="18">
        <f t="shared" si="7"/>
        <v>20124919.970273539</v>
      </c>
      <c r="R24" s="18">
        <f t="shared" si="7"/>
        <v>21702526.70539695</v>
      </c>
      <c r="S24" s="18">
        <f t="shared" si="7"/>
        <v>23122293.631394722</v>
      </c>
      <c r="T24" s="18">
        <f t="shared" si="7"/>
        <v>24374133.860340163</v>
      </c>
      <c r="U24" s="18">
        <f t="shared" si="7"/>
        <v>25459481.079249062</v>
      </c>
      <c r="V24" s="18">
        <f t="shared" si="7"/>
        <v>26388239.644104809</v>
      </c>
      <c r="W24" s="18">
        <f t="shared" si="7"/>
        <v>27175599.434763368</v>
      </c>
      <c r="X24" s="18">
        <f t="shared" si="7"/>
        <v>27839282.793977082</v>
      </c>
      <c r="Y24" s="18">
        <f t="shared" si="7"/>
        <v>28397475.610874619</v>
      </c>
      <c r="Z24" s="18">
        <f t="shared" si="7"/>
        <v>28867460.372145649</v>
      </c>
    </row>
    <row r="25" spans="1:26" x14ac:dyDescent="0.45">
      <c r="A25" t="s">
        <v>166</v>
      </c>
      <c r="C25" s="18">
        <f t="shared" ref="C25:Z25" si="8">C17+C21</f>
        <v>4564995.8485523723</v>
      </c>
      <c r="D25" s="18">
        <f t="shared" si="8"/>
        <v>5779733.4248563135</v>
      </c>
      <c r="E25" s="18">
        <f t="shared" si="8"/>
        <v>7281469.5333441896</v>
      </c>
      <c r="F25" s="18">
        <f t="shared" si="8"/>
        <v>9120049.3978798948</v>
      </c>
      <c r="G25" s="18">
        <f t="shared" si="8"/>
        <v>11344452.409090148</v>
      </c>
      <c r="H25" s="18">
        <f t="shared" si="8"/>
        <v>13997345.852243837</v>
      </c>
      <c r="I25" s="18">
        <f t="shared" si="8"/>
        <v>17107800.846801184</v>
      </c>
      <c r="J25" s="18">
        <f t="shared" si="8"/>
        <v>20682819.976723835</v>
      </c>
      <c r="K25" s="18">
        <f t="shared" si="8"/>
        <v>24699159.589566056</v>
      </c>
      <c r="L25" s="18">
        <f t="shared" si="8"/>
        <v>29097705.515394665</v>
      </c>
      <c r="M25" s="18">
        <f t="shared" si="8"/>
        <v>33782896.543319993</v>
      </c>
      <c r="N25" s="18">
        <f t="shared" si="8"/>
        <v>38628909.903702006</v>
      </c>
      <c r="O25" s="18">
        <f t="shared" si="8"/>
        <v>43492458.668521255</v>
      </c>
      <c r="P25" s="18">
        <f t="shared" si="8"/>
        <v>48229737.422901876</v>
      </c>
      <c r="Q25" s="18">
        <f t="shared" si="8"/>
        <v>52713429.25491447</v>
      </c>
      <c r="R25" s="18">
        <f t="shared" si="8"/>
        <v>56845672.322059155</v>
      </c>
      <c r="S25" s="18">
        <f t="shared" si="8"/>
        <v>60564483.8016873</v>
      </c>
      <c r="T25" s="18">
        <f t="shared" si="8"/>
        <v>63843442.994789347</v>
      </c>
      <c r="U25" s="18">
        <f t="shared" si="8"/>
        <v>66686305.173892692</v>
      </c>
      <c r="V25" s="18">
        <f t="shared" si="8"/>
        <v>69119012.930034593</v>
      </c>
      <c r="W25" s="18">
        <f t="shared" si="8"/>
        <v>71181353.286386341</v>
      </c>
      <c r="X25" s="18">
        <f t="shared" si="8"/>
        <v>72919746.574670345</v>
      </c>
      <c r="Y25" s="18">
        <f t="shared" si="8"/>
        <v>74381827.298846751</v>
      </c>
      <c r="Z25" s="18">
        <f t="shared" si="8"/>
        <v>75612863.670705259</v>
      </c>
    </row>
    <row r="28" spans="1:26" x14ac:dyDescent="0.45">
      <c r="A28" s="3" t="s">
        <v>85</v>
      </c>
    </row>
    <row r="29" spans="1:26" x14ac:dyDescent="0.45">
      <c r="A29" t="s">
        <v>167</v>
      </c>
      <c r="Z29" s="26">
        <f>IF(ROUND(Z25-Z23,2)=0,1,0)</f>
        <v>1</v>
      </c>
    </row>
    <row r="30" spans="1:26" x14ac:dyDescent="0.45">
      <c r="A30" t="s">
        <v>168</v>
      </c>
      <c r="Z30" s="26">
        <f>IF(ABS(B11)&lt;=Cover!$B$4,1,0)</f>
        <v>1</v>
      </c>
    </row>
    <row r="31" spans="1:26" x14ac:dyDescent="0.45">
      <c r="A31" t="s">
        <v>169</v>
      </c>
      <c r="Z31" s="26">
        <f>IF(ROUND(Z23+Z24-Z20,2)=0,1,0)</f>
        <v>1</v>
      </c>
    </row>
    <row r="32" spans="1:26" x14ac:dyDescent="0.45">
      <c r="A32" t="s">
        <v>170</v>
      </c>
      <c r="Z32" s="26">
        <f>IF(Z23&lt;=$B$8+Cover!$B$4,1,0)</f>
        <v>1</v>
      </c>
    </row>
    <row r="33" spans="1:26" x14ac:dyDescent="0.45">
      <c r="A33" t="s">
        <v>171</v>
      </c>
      <c r="Z33" s="26">
        <f>IF(ABS(Z23-$B$8)&lt;=Cover!$B$4,1,0)</f>
        <v>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08080"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/>
    </sheetView>
  </sheetViews>
  <sheetFormatPr defaultRowHeight="14.25" x14ac:dyDescent="0.45"/>
  <sheetData>
    <row r="1" spans="1:82" ht="15.75" x14ac:dyDescent="0.5">
      <c r="A1" s="10" t="s">
        <v>172</v>
      </c>
    </row>
    <row r="2" spans="1:82" x14ac:dyDescent="0.45">
      <c r="A2" t="s">
        <v>63</v>
      </c>
      <c r="C2" s="16">
        <v>47208</v>
      </c>
      <c r="D2" s="16">
        <v>47299</v>
      </c>
      <c r="E2" s="16">
        <v>47391</v>
      </c>
      <c r="F2" s="16">
        <v>47483</v>
      </c>
      <c r="G2" s="16">
        <v>47573</v>
      </c>
      <c r="H2" s="16">
        <v>47664</v>
      </c>
      <c r="I2" s="16">
        <v>47756</v>
      </c>
      <c r="J2" s="16">
        <v>47848</v>
      </c>
      <c r="K2" s="16">
        <v>47938</v>
      </c>
      <c r="L2" s="16">
        <v>48029</v>
      </c>
      <c r="M2" s="16">
        <v>48121</v>
      </c>
      <c r="N2" s="16">
        <v>48213</v>
      </c>
      <c r="O2" s="16">
        <v>48304</v>
      </c>
      <c r="P2" s="16">
        <v>48395</v>
      </c>
      <c r="Q2" s="16">
        <v>48487</v>
      </c>
      <c r="R2" s="16">
        <v>48579</v>
      </c>
      <c r="S2" s="16">
        <v>48669</v>
      </c>
      <c r="T2" s="16">
        <v>48760</v>
      </c>
      <c r="U2" s="16">
        <v>48852</v>
      </c>
      <c r="V2" s="16">
        <v>48944</v>
      </c>
      <c r="W2" s="16">
        <v>49034</v>
      </c>
      <c r="X2" s="16">
        <v>49125</v>
      </c>
      <c r="Y2" s="16">
        <v>49217</v>
      </c>
      <c r="Z2" s="16">
        <v>49309</v>
      </c>
      <c r="AA2" s="16">
        <v>49399</v>
      </c>
      <c r="AB2" s="16">
        <v>49490</v>
      </c>
      <c r="AC2" s="16">
        <v>49582</v>
      </c>
      <c r="AD2" s="16">
        <v>49674</v>
      </c>
      <c r="AE2" s="16">
        <v>49765</v>
      </c>
      <c r="AF2" s="16">
        <v>49856</v>
      </c>
      <c r="AG2" s="16">
        <v>49948</v>
      </c>
      <c r="AH2" s="16">
        <v>50040</v>
      </c>
      <c r="AI2" s="16">
        <v>50130</v>
      </c>
      <c r="AJ2" s="16">
        <v>50221</v>
      </c>
      <c r="AK2" s="16">
        <v>50313</v>
      </c>
      <c r="AL2" s="16">
        <v>50405</v>
      </c>
      <c r="AM2" s="16">
        <v>50495</v>
      </c>
      <c r="AN2" s="16">
        <v>50586</v>
      </c>
      <c r="AO2" s="16">
        <v>50678</v>
      </c>
      <c r="AP2" s="16">
        <v>50770</v>
      </c>
      <c r="AQ2" s="16">
        <v>50860</v>
      </c>
      <c r="AR2" s="16">
        <v>50951</v>
      </c>
      <c r="AS2" s="16">
        <v>51043</v>
      </c>
      <c r="AT2" s="16">
        <v>51135</v>
      </c>
      <c r="AU2" s="16">
        <v>51226</v>
      </c>
      <c r="AV2" s="16">
        <v>51317</v>
      </c>
      <c r="AW2" s="16">
        <v>51409</v>
      </c>
      <c r="AX2" s="16">
        <v>51501</v>
      </c>
      <c r="AY2" s="16">
        <v>51591</v>
      </c>
      <c r="AZ2" s="16">
        <v>51682</v>
      </c>
      <c r="BA2" s="16">
        <v>51774</v>
      </c>
      <c r="BB2" s="16">
        <v>51866</v>
      </c>
      <c r="BC2" s="16">
        <v>51956</v>
      </c>
      <c r="BD2" s="16">
        <v>52047</v>
      </c>
      <c r="BE2" s="16">
        <v>52139</v>
      </c>
      <c r="BF2" s="16">
        <v>52231</v>
      </c>
      <c r="BG2" s="16">
        <v>52321</v>
      </c>
      <c r="BH2" s="16">
        <v>52412</v>
      </c>
      <c r="BI2" s="16">
        <v>52504</v>
      </c>
      <c r="BJ2" s="16">
        <v>52596</v>
      </c>
      <c r="BK2" s="16">
        <v>52687</v>
      </c>
      <c r="BL2" s="16">
        <v>52778</v>
      </c>
      <c r="BM2" s="16">
        <v>52870</v>
      </c>
      <c r="BN2" s="16">
        <v>52962</v>
      </c>
      <c r="BO2" s="16">
        <v>53052</v>
      </c>
      <c r="BP2" s="16">
        <v>53143</v>
      </c>
      <c r="BQ2" s="16">
        <v>53235</v>
      </c>
      <c r="BR2" s="16">
        <v>53327</v>
      </c>
      <c r="BS2" s="16">
        <v>53417</v>
      </c>
      <c r="BT2" s="16">
        <v>53508</v>
      </c>
      <c r="BU2" s="16">
        <v>53600</v>
      </c>
      <c r="BV2" s="16">
        <v>53692</v>
      </c>
      <c r="BW2" s="16">
        <v>53782</v>
      </c>
      <c r="BX2" s="16">
        <v>53873</v>
      </c>
      <c r="BY2" s="16">
        <v>53965</v>
      </c>
      <c r="BZ2" s="16">
        <v>54057</v>
      </c>
      <c r="CA2" s="16">
        <v>54148</v>
      </c>
      <c r="CB2" s="16">
        <v>54239</v>
      </c>
      <c r="CC2" s="16">
        <v>54331</v>
      </c>
      <c r="CD2" s="16">
        <v>54423</v>
      </c>
    </row>
    <row r="3" spans="1:82" x14ac:dyDescent="0.45">
      <c r="A3" t="s">
        <v>111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4" spans="1:82" x14ac:dyDescent="0.45">
      <c r="A4" t="s">
        <v>173</v>
      </c>
      <c r="B4" s="12">
        <f>Assumptions_Model!$B$8</f>
        <v>15000000</v>
      </c>
    </row>
    <row r="5" spans="1:82" x14ac:dyDescent="0.45">
      <c r="A5" t="s">
        <v>174</v>
      </c>
      <c r="C5" s="34">
        <f>Assumptions_Periodic_Ops!C18</f>
        <v>1</v>
      </c>
      <c r="D5" s="34">
        <f>Assumptions_Periodic_Ops!D18</f>
        <v>1</v>
      </c>
      <c r="E5" s="34">
        <f>Assumptions_Periodic_Ops!E18</f>
        <v>1</v>
      </c>
      <c r="F5" s="34">
        <f>Assumptions_Periodic_Ops!F18</f>
        <v>1</v>
      </c>
      <c r="G5" s="34">
        <f>Assumptions_Periodic_Ops!G18</f>
        <v>1</v>
      </c>
      <c r="H5" s="34">
        <f>Assumptions_Periodic_Ops!H18</f>
        <v>1</v>
      </c>
      <c r="I5" s="34">
        <f>Assumptions_Periodic_Ops!I18</f>
        <v>1</v>
      </c>
      <c r="J5" s="34">
        <f>Assumptions_Periodic_Ops!J18</f>
        <v>1</v>
      </c>
      <c r="K5" s="34">
        <f>Assumptions_Periodic_Ops!K18</f>
        <v>1</v>
      </c>
      <c r="L5" s="34">
        <f>Assumptions_Periodic_Ops!L18</f>
        <v>1</v>
      </c>
      <c r="M5" s="34">
        <f>Assumptions_Periodic_Ops!M18</f>
        <v>1</v>
      </c>
      <c r="N5" s="34">
        <f>Assumptions_Periodic_Ops!N18</f>
        <v>1</v>
      </c>
      <c r="O5" s="34">
        <f>Assumptions_Periodic_Ops!O18</f>
        <v>1</v>
      </c>
      <c r="P5" s="34">
        <f>Assumptions_Periodic_Ops!P18</f>
        <v>1</v>
      </c>
      <c r="Q5" s="34">
        <f>Assumptions_Periodic_Ops!Q18</f>
        <v>1</v>
      </c>
      <c r="R5" s="34">
        <f>Assumptions_Periodic_Ops!R18</f>
        <v>1</v>
      </c>
      <c r="S5" s="34">
        <f>Assumptions_Periodic_Ops!S18</f>
        <v>1</v>
      </c>
      <c r="T5" s="34">
        <f>Assumptions_Periodic_Ops!T18</f>
        <v>1</v>
      </c>
      <c r="U5" s="34">
        <f>Assumptions_Periodic_Ops!U18</f>
        <v>1</v>
      </c>
      <c r="V5" s="34">
        <f>Assumptions_Periodic_Ops!V18</f>
        <v>1</v>
      </c>
      <c r="W5" s="34">
        <f>Assumptions_Periodic_Ops!W18</f>
        <v>1</v>
      </c>
      <c r="X5" s="34">
        <f>Assumptions_Periodic_Ops!X18</f>
        <v>1</v>
      </c>
      <c r="Y5" s="34">
        <f>Assumptions_Periodic_Ops!Y18</f>
        <v>1</v>
      </c>
      <c r="Z5" s="34">
        <f>Assumptions_Periodic_Ops!Z18</f>
        <v>1</v>
      </c>
      <c r="AA5" s="34">
        <f>Assumptions_Periodic_Ops!AA18</f>
        <v>1</v>
      </c>
      <c r="AB5" s="34">
        <f>Assumptions_Periodic_Ops!AB18</f>
        <v>1</v>
      </c>
      <c r="AC5" s="34">
        <f>Assumptions_Periodic_Ops!AC18</f>
        <v>1</v>
      </c>
      <c r="AD5" s="34">
        <f>Assumptions_Periodic_Ops!AD18</f>
        <v>1</v>
      </c>
      <c r="AE5" s="34">
        <f>Assumptions_Periodic_Ops!AE18</f>
        <v>1</v>
      </c>
      <c r="AF5" s="34">
        <f>Assumptions_Periodic_Ops!AF18</f>
        <v>1</v>
      </c>
      <c r="AG5" s="34">
        <f>Assumptions_Periodic_Ops!AG18</f>
        <v>1</v>
      </c>
      <c r="AH5" s="34">
        <f>Assumptions_Periodic_Ops!AH18</f>
        <v>1</v>
      </c>
      <c r="AI5" s="34">
        <f>Assumptions_Periodic_Ops!AI18</f>
        <v>1</v>
      </c>
      <c r="AJ5" s="34">
        <f>Assumptions_Periodic_Ops!AJ18</f>
        <v>1</v>
      </c>
      <c r="AK5" s="34">
        <f>Assumptions_Periodic_Ops!AK18</f>
        <v>1</v>
      </c>
      <c r="AL5" s="34">
        <f>Assumptions_Periodic_Ops!AL18</f>
        <v>1</v>
      </c>
      <c r="AM5" s="34">
        <f>Assumptions_Periodic_Ops!AM18</f>
        <v>1</v>
      </c>
      <c r="AN5" s="34">
        <f>Assumptions_Periodic_Ops!AN18</f>
        <v>1</v>
      </c>
      <c r="AO5" s="34">
        <f>Assumptions_Periodic_Ops!AO18</f>
        <v>1</v>
      </c>
      <c r="AP5" s="34">
        <f>Assumptions_Periodic_Ops!AP18</f>
        <v>1</v>
      </c>
      <c r="AQ5" s="34">
        <f>Assumptions_Periodic_Ops!AQ18</f>
        <v>1</v>
      </c>
      <c r="AR5" s="34">
        <f>Assumptions_Periodic_Ops!AR18</f>
        <v>1</v>
      </c>
      <c r="AS5" s="34">
        <f>Assumptions_Periodic_Ops!AS18</f>
        <v>1</v>
      </c>
      <c r="AT5" s="34">
        <f>Assumptions_Periodic_Ops!AT18</f>
        <v>1</v>
      </c>
      <c r="AU5" s="34">
        <f>Assumptions_Periodic_Ops!AU18</f>
        <v>1</v>
      </c>
      <c r="AV5" s="34">
        <f>Assumptions_Periodic_Ops!AV18</f>
        <v>1</v>
      </c>
      <c r="AW5" s="34">
        <f>Assumptions_Periodic_Ops!AW18</f>
        <v>1</v>
      </c>
      <c r="AX5" s="34">
        <f>Assumptions_Periodic_Ops!AX18</f>
        <v>1</v>
      </c>
      <c r="AY5" s="34">
        <f>Assumptions_Periodic_Ops!AY18</f>
        <v>1</v>
      </c>
      <c r="AZ5" s="34">
        <f>Assumptions_Periodic_Ops!AZ18</f>
        <v>1</v>
      </c>
      <c r="BA5" s="34">
        <f>Assumptions_Periodic_Ops!BA18</f>
        <v>1</v>
      </c>
      <c r="BB5" s="34">
        <f>Assumptions_Periodic_Ops!BB18</f>
        <v>1</v>
      </c>
      <c r="BC5" s="34">
        <f>Assumptions_Periodic_Ops!BC18</f>
        <v>1</v>
      </c>
      <c r="BD5" s="34">
        <f>Assumptions_Periodic_Ops!BD18</f>
        <v>1</v>
      </c>
      <c r="BE5" s="34">
        <f>Assumptions_Periodic_Ops!BE18</f>
        <v>1</v>
      </c>
      <c r="BF5" s="34">
        <f>Assumptions_Periodic_Ops!BF18</f>
        <v>1</v>
      </c>
      <c r="BG5" s="34">
        <f>Assumptions_Periodic_Ops!BG18</f>
        <v>1</v>
      </c>
      <c r="BH5" s="34">
        <f>Assumptions_Periodic_Ops!BH18</f>
        <v>1</v>
      </c>
      <c r="BI5" s="34">
        <f>Assumptions_Periodic_Ops!BI18</f>
        <v>1</v>
      </c>
      <c r="BJ5" s="34">
        <f>Assumptions_Periodic_Ops!BJ18</f>
        <v>1</v>
      </c>
      <c r="BK5" s="34">
        <f>Assumptions_Periodic_Ops!BK18</f>
        <v>1</v>
      </c>
      <c r="BL5" s="34">
        <f>Assumptions_Periodic_Ops!BL18</f>
        <v>1</v>
      </c>
      <c r="BM5" s="34">
        <f>Assumptions_Periodic_Ops!BM18</f>
        <v>1</v>
      </c>
      <c r="BN5" s="34">
        <f>Assumptions_Periodic_Ops!BN18</f>
        <v>1</v>
      </c>
      <c r="BO5" s="34">
        <f>Assumptions_Periodic_Ops!BO18</f>
        <v>1</v>
      </c>
      <c r="BP5" s="34">
        <f>Assumptions_Periodic_Ops!BP18</f>
        <v>1</v>
      </c>
      <c r="BQ5" s="34">
        <f>Assumptions_Periodic_Ops!BQ18</f>
        <v>1</v>
      </c>
      <c r="BR5" s="34">
        <f>Assumptions_Periodic_Ops!BR18</f>
        <v>1</v>
      </c>
      <c r="BS5" s="34">
        <f>Assumptions_Periodic_Ops!BS18</f>
        <v>1</v>
      </c>
      <c r="BT5" s="34">
        <f>Assumptions_Periodic_Ops!BT18</f>
        <v>1</v>
      </c>
      <c r="BU5" s="34">
        <f>Assumptions_Periodic_Ops!BU18</f>
        <v>1</v>
      </c>
      <c r="BV5" s="34">
        <f>Assumptions_Periodic_Ops!BV18</f>
        <v>1</v>
      </c>
      <c r="BW5" s="34">
        <f>Assumptions_Periodic_Ops!BW18</f>
        <v>1</v>
      </c>
      <c r="BX5" s="34">
        <f>Assumptions_Periodic_Ops!BX18</f>
        <v>1</v>
      </c>
      <c r="BY5" s="34">
        <f>Assumptions_Periodic_Ops!BY18</f>
        <v>1</v>
      </c>
      <c r="BZ5" s="34">
        <f>Assumptions_Periodic_Ops!BZ18</f>
        <v>1</v>
      </c>
      <c r="CA5" s="34">
        <f>Assumptions_Periodic_Ops!CA18</f>
        <v>1</v>
      </c>
      <c r="CB5" s="34">
        <f>Assumptions_Periodic_Ops!CB18</f>
        <v>1</v>
      </c>
      <c r="CC5" s="34">
        <f>Assumptions_Periodic_Ops!CC18</f>
        <v>1</v>
      </c>
      <c r="CD5" s="34">
        <f>Assumptions_Periodic_Ops!CD18</f>
        <v>1</v>
      </c>
    </row>
    <row r="6" spans="1:82" x14ac:dyDescent="0.45">
      <c r="A6" t="s">
        <v>175</v>
      </c>
      <c r="C6" s="34">
        <f>Assumptions_Periodic_Ops!C57</f>
        <v>1</v>
      </c>
      <c r="D6" s="34">
        <f>Assumptions_Periodic_Ops!D57</f>
        <v>1</v>
      </c>
      <c r="E6" s="34">
        <f>Assumptions_Periodic_Ops!E57</f>
        <v>1</v>
      </c>
      <c r="F6" s="34">
        <f>Assumptions_Periodic_Ops!F57</f>
        <v>1</v>
      </c>
      <c r="G6" s="34">
        <f>Assumptions_Periodic_Ops!G57</f>
        <v>1</v>
      </c>
      <c r="H6" s="34">
        <f>Assumptions_Periodic_Ops!H57</f>
        <v>1</v>
      </c>
      <c r="I6" s="34">
        <f>Assumptions_Periodic_Ops!I57</f>
        <v>1</v>
      </c>
      <c r="J6" s="34">
        <f>Assumptions_Periodic_Ops!J57</f>
        <v>1</v>
      </c>
      <c r="K6" s="34">
        <f>Assumptions_Periodic_Ops!K57</f>
        <v>1</v>
      </c>
      <c r="L6" s="34">
        <f>Assumptions_Periodic_Ops!L57</f>
        <v>1</v>
      </c>
      <c r="M6" s="34">
        <f>Assumptions_Periodic_Ops!M57</f>
        <v>1</v>
      </c>
      <c r="N6" s="34">
        <f>Assumptions_Periodic_Ops!N57</f>
        <v>1</v>
      </c>
      <c r="O6" s="34">
        <f>Assumptions_Periodic_Ops!O57</f>
        <v>1</v>
      </c>
      <c r="P6" s="34">
        <f>Assumptions_Periodic_Ops!P57</f>
        <v>1</v>
      </c>
      <c r="Q6" s="34">
        <f>Assumptions_Periodic_Ops!Q57</f>
        <v>1</v>
      </c>
      <c r="R6" s="34">
        <f>Assumptions_Periodic_Ops!R57</f>
        <v>1</v>
      </c>
      <c r="S6" s="34">
        <f>Assumptions_Periodic_Ops!S57</f>
        <v>1</v>
      </c>
      <c r="T6" s="34">
        <f>Assumptions_Periodic_Ops!T57</f>
        <v>1</v>
      </c>
      <c r="U6" s="34">
        <f>Assumptions_Periodic_Ops!U57</f>
        <v>1</v>
      </c>
      <c r="V6" s="34">
        <f>Assumptions_Periodic_Ops!V57</f>
        <v>1</v>
      </c>
      <c r="W6" s="34">
        <f>Assumptions_Periodic_Ops!W57</f>
        <v>1</v>
      </c>
      <c r="X6" s="34">
        <f>Assumptions_Periodic_Ops!X57</f>
        <v>1</v>
      </c>
      <c r="Y6" s="34">
        <f>Assumptions_Periodic_Ops!Y57</f>
        <v>1</v>
      </c>
      <c r="Z6" s="34">
        <f>Assumptions_Periodic_Ops!Z57</f>
        <v>1</v>
      </c>
      <c r="AA6" s="34">
        <f>Assumptions_Periodic_Ops!AA57</f>
        <v>1</v>
      </c>
      <c r="AB6" s="34">
        <f>Assumptions_Periodic_Ops!AB57</f>
        <v>1</v>
      </c>
      <c r="AC6" s="34">
        <f>Assumptions_Periodic_Ops!AC57</f>
        <v>1</v>
      </c>
      <c r="AD6" s="34">
        <f>Assumptions_Periodic_Ops!AD57</f>
        <v>1</v>
      </c>
      <c r="AE6" s="34">
        <f>Assumptions_Periodic_Ops!AE57</f>
        <v>1</v>
      </c>
      <c r="AF6" s="34">
        <f>Assumptions_Periodic_Ops!AF57</f>
        <v>1</v>
      </c>
      <c r="AG6" s="34">
        <f>Assumptions_Periodic_Ops!AG57</f>
        <v>1</v>
      </c>
      <c r="AH6" s="34">
        <f>Assumptions_Periodic_Ops!AH57</f>
        <v>1</v>
      </c>
      <c r="AI6" s="34">
        <f>Assumptions_Periodic_Ops!AI57</f>
        <v>1</v>
      </c>
      <c r="AJ6" s="34">
        <f>Assumptions_Periodic_Ops!AJ57</f>
        <v>1</v>
      </c>
      <c r="AK6" s="34">
        <f>Assumptions_Periodic_Ops!AK57</f>
        <v>1</v>
      </c>
      <c r="AL6" s="34">
        <f>Assumptions_Periodic_Ops!AL57</f>
        <v>1</v>
      </c>
      <c r="AM6" s="34">
        <f>Assumptions_Periodic_Ops!AM57</f>
        <v>1</v>
      </c>
      <c r="AN6" s="34">
        <f>Assumptions_Periodic_Ops!AN57</f>
        <v>1</v>
      </c>
      <c r="AO6" s="34">
        <f>Assumptions_Periodic_Ops!AO57</f>
        <v>1</v>
      </c>
      <c r="AP6" s="34">
        <f>Assumptions_Periodic_Ops!AP57</f>
        <v>1</v>
      </c>
      <c r="AQ6" s="34">
        <f>Assumptions_Periodic_Ops!AQ57</f>
        <v>1</v>
      </c>
      <c r="AR6" s="34">
        <f>Assumptions_Periodic_Ops!AR57</f>
        <v>1</v>
      </c>
      <c r="AS6" s="34">
        <f>Assumptions_Periodic_Ops!AS57</f>
        <v>1</v>
      </c>
      <c r="AT6" s="34">
        <f>Assumptions_Periodic_Ops!AT57</f>
        <v>1</v>
      </c>
      <c r="AU6" s="34">
        <f>Assumptions_Periodic_Ops!AU57</f>
        <v>1</v>
      </c>
      <c r="AV6" s="34">
        <f>Assumptions_Periodic_Ops!AV57</f>
        <v>1</v>
      </c>
      <c r="AW6" s="34">
        <f>Assumptions_Periodic_Ops!AW57</f>
        <v>1</v>
      </c>
      <c r="AX6" s="34">
        <f>Assumptions_Periodic_Ops!AX57</f>
        <v>1</v>
      </c>
      <c r="AY6" s="34">
        <f>Assumptions_Periodic_Ops!AY57</f>
        <v>1</v>
      </c>
      <c r="AZ6" s="34">
        <f>Assumptions_Periodic_Ops!AZ57</f>
        <v>1</v>
      </c>
      <c r="BA6" s="34">
        <f>Assumptions_Periodic_Ops!BA57</f>
        <v>1</v>
      </c>
      <c r="BB6" s="34">
        <f>Assumptions_Periodic_Ops!BB57</f>
        <v>1</v>
      </c>
      <c r="BC6" s="34">
        <f>Assumptions_Periodic_Ops!BC57</f>
        <v>1</v>
      </c>
      <c r="BD6" s="34">
        <f>Assumptions_Periodic_Ops!BD57</f>
        <v>1</v>
      </c>
      <c r="BE6" s="34">
        <f>Assumptions_Periodic_Ops!BE57</f>
        <v>1</v>
      </c>
      <c r="BF6" s="34">
        <f>Assumptions_Periodic_Ops!BF57</f>
        <v>1</v>
      </c>
      <c r="BG6" s="34">
        <f>Assumptions_Periodic_Ops!BG57</f>
        <v>1</v>
      </c>
      <c r="BH6" s="34">
        <f>Assumptions_Periodic_Ops!BH57</f>
        <v>1</v>
      </c>
      <c r="BI6" s="34">
        <f>Assumptions_Periodic_Ops!BI57</f>
        <v>1</v>
      </c>
      <c r="BJ6" s="34">
        <f>Assumptions_Periodic_Ops!BJ57</f>
        <v>1</v>
      </c>
      <c r="BK6" s="34">
        <f>Assumptions_Periodic_Ops!BK57</f>
        <v>1</v>
      </c>
      <c r="BL6" s="34">
        <f>Assumptions_Periodic_Ops!BL57</f>
        <v>1</v>
      </c>
      <c r="BM6" s="34">
        <f>Assumptions_Periodic_Ops!BM57</f>
        <v>1</v>
      </c>
      <c r="BN6" s="34">
        <f>Assumptions_Periodic_Ops!BN57</f>
        <v>1</v>
      </c>
      <c r="BO6" s="34">
        <f>Assumptions_Periodic_Ops!BO57</f>
        <v>1</v>
      </c>
      <c r="BP6" s="34">
        <f>Assumptions_Periodic_Ops!BP57</f>
        <v>1</v>
      </c>
      <c r="BQ6" s="34">
        <f>Assumptions_Periodic_Ops!BQ57</f>
        <v>1</v>
      </c>
      <c r="BR6" s="34">
        <f>Assumptions_Periodic_Ops!BR57</f>
        <v>1</v>
      </c>
      <c r="BS6" s="34">
        <f>Assumptions_Periodic_Ops!BS57</f>
        <v>1</v>
      </c>
      <c r="BT6" s="34">
        <f>Assumptions_Periodic_Ops!BT57</f>
        <v>1</v>
      </c>
      <c r="BU6" s="34">
        <f>Assumptions_Periodic_Ops!BU57</f>
        <v>1</v>
      </c>
      <c r="BV6" s="34">
        <f>Assumptions_Periodic_Ops!BV57</f>
        <v>1</v>
      </c>
      <c r="BW6" s="34">
        <f>Assumptions_Periodic_Ops!BW57</f>
        <v>1</v>
      </c>
      <c r="BX6" s="34">
        <f>Assumptions_Periodic_Ops!BX57</f>
        <v>1</v>
      </c>
      <c r="BY6" s="34">
        <f>Assumptions_Periodic_Ops!BY57</f>
        <v>1</v>
      </c>
      <c r="BZ6" s="34">
        <f>Assumptions_Periodic_Ops!BZ57</f>
        <v>1</v>
      </c>
      <c r="CA6" s="34">
        <f>Assumptions_Periodic_Ops!CA57</f>
        <v>1</v>
      </c>
      <c r="CB6" s="34">
        <f>Assumptions_Periodic_Ops!CB57</f>
        <v>1</v>
      </c>
      <c r="CC6" s="34">
        <f>Assumptions_Periodic_Ops!CC57</f>
        <v>1</v>
      </c>
      <c r="CD6" s="34">
        <f>Assumptions_Periodic_Ops!CD57</f>
        <v>1</v>
      </c>
    </row>
    <row r="7" spans="1:82" x14ac:dyDescent="0.45">
      <c r="A7" t="s">
        <v>176</v>
      </c>
      <c r="C7" s="34">
        <f>Assumptions_Periodic_Ops!C31</f>
        <v>1</v>
      </c>
      <c r="D7" s="34">
        <f>Assumptions_Periodic_Ops!D31</f>
        <v>1</v>
      </c>
      <c r="E7" s="34">
        <f>Assumptions_Periodic_Ops!E31</f>
        <v>1</v>
      </c>
      <c r="F7" s="34">
        <f>Assumptions_Periodic_Ops!F31</f>
        <v>1</v>
      </c>
      <c r="G7" s="34">
        <f>Assumptions_Periodic_Ops!G31</f>
        <v>1</v>
      </c>
      <c r="H7" s="34">
        <f>Assumptions_Periodic_Ops!H31</f>
        <v>1</v>
      </c>
      <c r="I7" s="34">
        <f>Assumptions_Periodic_Ops!I31</f>
        <v>1</v>
      </c>
      <c r="J7" s="34">
        <f>Assumptions_Periodic_Ops!J31</f>
        <v>1</v>
      </c>
      <c r="K7" s="34">
        <f>Assumptions_Periodic_Ops!K31</f>
        <v>1</v>
      </c>
      <c r="L7" s="34">
        <f>Assumptions_Periodic_Ops!L31</f>
        <v>1</v>
      </c>
      <c r="M7" s="34">
        <f>Assumptions_Periodic_Ops!M31</f>
        <v>1</v>
      </c>
      <c r="N7" s="34">
        <f>Assumptions_Periodic_Ops!N31</f>
        <v>1</v>
      </c>
      <c r="O7" s="34">
        <f>Assumptions_Periodic_Ops!O31</f>
        <v>1</v>
      </c>
      <c r="P7" s="34">
        <f>Assumptions_Periodic_Ops!P31</f>
        <v>1</v>
      </c>
      <c r="Q7" s="34">
        <f>Assumptions_Periodic_Ops!Q31</f>
        <v>1</v>
      </c>
      <c r="R7" s="34">
        <f>Assumptions_Periodic_Ops!R31</f>
        <v>1</v>
      </c>
      <c r="S7" s="34">
        <f>Assumptions_Periodic_Ops!S31</f>
        <v>1</v>
      </c>
      <c r="T7" s="34">
        <f>Assumptions_Periodic_Ops!T31</f>
        <v>1</v>
      </c>
      <c r="U7" s="34">
        <f>Assumptions_Periodic_Ops!U31</f>
        <v>1</v>
      </c>
      <c r="V7" s="34">
        <f>Assumptions_Periodic_Ops!V31</f>
        <v>1</v>
      </c>
      <c r="W7" s="34">
        <f>Assumptions_Periodic_Ops!W31</f>
        <v>1</v>
      </c>
      <c r="X7" s="34">
        <f>Assumptions_Periodic_Ops!X31</f>
        <v>1</v>
      </c>
      <c r="Y7" s="34">
        <f>Assumptions_Periodic_Ops!Y31</f>
        <v>1</v>
      </c>
      <c r="Z7" s="34">
        <f>Assumptions_Periodic_Ops!Z31</f>
        <v>1</v>
      </c>
      <c r="AA7" s="34">
        <f>Assumptions_Periodic_Ops!AA31</f>
        <v>1</v>
      </c>
      <c r="AB7" s="34">
        <f>Assumptions_Periodic_Ops!AB31</f>
        <v>1</v>
      </c>
      <c r="AC7" s="34">
        <f>Assumptions_Periodic_Ops!AC31</f>
        <v>1</v>
      </c>
      <c r="AD7" s="34">
        <f>Assumptions_Periodic_Ops!AD31</f>
        <v>1</v>
      </c>
      <c r="AE7" s="34">
        <f>Assumptions_Periodic_Ops!AE31</f>
        <v>1</v>
      </c>
      <c r="AF7" s="34">
        <f>Assumptions_Periodic_Ops!AF31</f>
        <v>1</v>
      </c>
      <c r="AG7" s="34">
        <f>Assumptions_Periodic_Ops!AG31</f>
        <v>1</v>
      </c>
      <c r="AH7" s="34">
        <f>Assumptions_Periodic_Ops!AH31</f>
        <v>1</v>
      </c>
      <c r="AI7" s="34">
        <f>Assumptions_Periodic_Ops!AI31</f>
        <v>1</v>
      </c>
      <c r="AJ7" s="34">
        <f>Assumptions_Periodic_Ops!AJ31</f>
        <v>1</v>
      </c>
      <c r="AK7" s="34">
        <f>Assumptions_Periodic_Ops!AK31</f>
        <v>1</v>
      </c>
      <c r="AL7" s="34">
        <f>Assumptions_Periodic_Ops!AL31</f>
        <v>1</v>
      </c>
      <c r="AM7" s="34">
        <f>Assumptions_Periodic_Ops!AM31</f>
        <v>1</v>
      </c>
      <c r="AN7" s="34">
        <f>Assumptions_Periodic_Ops!AN31</f>
        <v>1</v>
      </c>
      <c r="AO7" s="34">
        <f>Assumptions_Periodic_Ops!AO31</f>
        <v>1</v>
      </c>
      <c r="AP7" s="34">
        <f>Assumptions_Periodic_Ops!AP31</f>
        <v>1</v>
      </c>
      <c r="AQ7" s="34">
        <f>Assumptions_Periodic_Ops!AQ31</f>
        <v>1</v>
      </c>
      <c r="AR7" s="34">
        <f>Assumptions_Periodic_Ops!AR31</f>
        <v>1</v>
      </c>
      <c r="AS7" s="34">
        <f>Assumptions_Periodic_Ops!AS31</f>
        <v>1</v>
      </c>
      <c r="AT7" s="34">
        <f>Assumptions_Periodic_Ops!AT31</f>
        <v>1</v>
      </c>
      <c r="AU7" s="34">
        <f>Assumptions_Periodic_Ops!AU31</f>
        <v>1</v>
      </c>
      <c r="AV7" s="34">
        <f>Assumptions_Periodic_Ops!AV31</f>
        <v>1</v>
      </c>
      <c r="AW7" s="34">
        <f>Assumptions_Periodic_Ops!AW31</f>
        <v>1</v>
      </c>
      <c r="AX7" s="34">
        <f>Assumptions_Periodic_Ops!AX31</f>
        <v>1</v>
      </c>
      <c r="AY7" s="34">
        <f>Assumptions_Periodic_Ops!AY31</f>
        <v>1</v>
      </c>
      <c r="AZ7" s="34">
        <f>Assumptions_Periodic_Ops!AZ31</f>
        <v>1</v>
      </c>
      <c r="BA7" s="34">
        <f>Assumptions_Periodic_Ops!BA31</f>
        <v>1</v>
      </c>
      <c r="BB7" s="34">
        <f>Assumptions_Periodic_Ops!BB31</f>
        <v>1</v>
      </c>
      <c r="BC7" s="34">
        <f>Assumptions_Periodic_Ops!BC31</f>
        <v>1</v>
      </c>
      <c r="BD7" s="34">
        <f>Assumptions_Periodic_Ops!BD31</f>
        <v>1</v>
      </c>
      <c r="BE7" s="34">
        <f>Assumptions_Periodic_Ops!BE31</f>
        <v>1</v>
      </c>
      <c r="BF7" s="34">
        <f>Assumptions_Periodic_Ops!BF31</f>
        <v>1</v>
      </c>
      <c r="BG7" s="34">
        <f>Assumptions_Periodic_Ops!BG31</f>
        <v>1</v>
      </c>
      <c r="BH7" s="34">
        <f>Assumptions_Periodic_Ops!BH31</f>
        <v>1</v>
      </c>
      <c r="BI7" s="34">
        <f>Assumptions_Periodic_Ops!BI31</f>
        <v>1</v>
      </c>
      <c r="BJ7" s="34">
        <f>Assumptions_Periodic_Ops!BJ31</f>
        <v>1</v>
      </c>
      <c r="BK7" s="34">
        <f>Assumptions_Periodic_Ops!BK31</f>
        <v>1</v>
      </c>
      <c r="BL7" s="34">
        <f>Assumptions_Periodic_Ops!BL31</f>
        <v>1</v>
      </c>
      <c r="BM7" s="34">
        <f>Assumptions_Periodic_Ops!BM31</f>
        <v>1</v>
      </c>
      <c r="BN7" s="34">
        <f>Assumptions_Periodic_Ops!BN31</f>
        <v>1</v>
      </c>
      <c r="BO7" s="34">
        <f>Assumptions_Periodic_Ops!BO31</f>
        <v>1</v>
      </c>
      <c r="BP7" s="34">
        <f>Assumptions_Periodic_Ops!BP31</f>
        <v>1</v>
      </c>
      <c r="BQ7" s="34">
        <f>Assumptions_Periodic_Ops!BQ31</f>
        <v>1</v>
      </c>
      <c r="BR7" s="34">
        <f>Assumptions_Periodic_Ops!BR31</f>
        <v>1</v>
      </c>
      <c r="BS7" s="34">
        <f>Assumptions_Periodic_Ops!BS31</f>
        <v>1</v>
      </c>
      <c r="BT7" s="34">
        <f>Assumptions_Periodic_Ops!BT31</f>
        <v>1</v>
      </c>
      <c r="BU7" s="34">
        <f>Assumptions_Periodic_Ops!BU31</f>
        <v>1</v>
      </c>
      <c r="BV7" s="34">
        <f>Assumptions_Periodic_Ops!BV31</f>
        <v>1</v>
      </c>
      <c r="BW7" s="34">
        <f>Assumptions_Periodic_Ops!BW31</f>
        <v>1</v>
      </c>
      <c r="BX7" s="34">
        <f>Assumptions_Periodic_Ops!BX31</f>
        <v>1</v>
      </c>
      <c r="BY7" s="34">
        <f>Assumptions_Periodic_Ops!BY31</f>
        <v>1</v>
      </c>
      <c r="BZ7" s="34">
        <f>Assumptions_Periodic_Ops!BZ31</f>
        <v>1</v>
      </c>
      <c r="CA7" s="34">
        <f>Assumptions_Periodic_Ops!CA31</f>
        <v>1</v>
      </c>
      <c r="CB7" s="34">
        <f>Assumptions_Periodic_Ops!CB31</f>
        <v>1</v>
      </c>
      <c r="CC7" s="34">
        <f>Assumptions_Periodic_Ops!CC31</f>
        <v>1</v>
      </c>
      <c r="CD7" s="34">
        <f>Assumptions_Periodic_Ops!CD31</f>
        <v>1</v>
      </c>
    </row>
    <row r="8" spans="1:82" x14ac:dyDescent="0.45">
      <c r="A8" t="s">
        <v>177</v>
      </c>
      <c r="C8" s="34">
        <f>Assumptions_Periodic_Ops!C58</f>
        <v>1</v>
      </c>
      <c r="D8" s="34">
        <f>Assumptions_Periodic_Ops!D58</f>
        <v>1</v>
      </c>
      <c r="E8" s="34">
        <f>Assumptions_Periodic_Ops!E58</f>
        <v>1</v>
      </c>
      <c r="F8" s="34">
        <f>Assumptions_Periodic_Ops!F58</f>
        <v>1</v>
      </c>
      <c r="G8" s="34">
        <f>Assumptions_Periodic_Ops!G58</f>
        <v>1</v>
      </c>
      <c r="H8" s="34">
        <f>Assumptions_Periodic_Ops!H58</f>
        <v>1</v>
      </c>
      <c r="I8" s="34">
        <f>Assumptions_Periodic_Ops!I58</f>
        <v>1</v>
      </c>
      <c r="J8" s="34">
        <f>Assumptions_Periodic_Ops!J58</f>
        <v>1</v>
      </c>
      <c r="K8" s="34">
        <f>Assumptions_Periodic_Ops!K58</f>
        <v>1</v>
      </c>
      <c r="L8" s="34">
        <f>Assumptions_Periodic_Ops!L58</f>
        <v>1</v>
      </c>
      <c r="M8" s="34">
        <f>Assumptions_Periodic_Ops!M58</f>
        <v>1</v>
      </c>
      <c r="N8" s="34">
        <f>Assumptions_Periodic_Ops!N58</f>
        <v>1</v>
      </c>
      <c r="O8" s="34">
        <f>Assumptions_Periodic_Ops!O58</f>
        <v>1</v>
      </c>
      <c r="P8" s="34">
        <f>Assumptions_Periodic_Ops!P58</f>
        <v>1</v>
      </c>
      <c r="Q8" s="34">
        <f>Assumptions_Periodic_Ops!Q58</f>
        <v>1</v>
      </c>
      <c r="R8" s="34">
        <f>Assumptions_Periodic_Ops!R58</f>
        <v>1</v>
      </c>
      <c r="S8" s="34">
        <f>Assumptions_Periodic_Ops!S58</f>
        <v>1</v>
      </c>
      <c r="T8" s="34">
        <f>Assumptions_Periodic_Ops!T58</f>
        <v>1</v>
      </c>
      <c r="U8" s="34">
        <f>Assumptions_Periodic_Ops!U58</f>
        <v>1</v>
      </c>
      <c r="V8" s="34">
        <f>Assumptions_Periodic_Ops!V58</f>
        <v>1</v>
      </c>
      <c r="W8" s="34">
        <f>Assumptions_Periodic_Ops!W58</f>
        <v>1</v>
      </c>
      <c r="X8" s="34">
        <f>Assumptions_Periodic_Ops!X58</f>
        <v>1</v>
      </c>
      <c r="Y8" s="34">
        <f>Assumptions_Periodic_Ops!Y58</f>
        <v>1</v>
      </c>
      <c r="Z8" s="34">
        <f>Assumptions_Periodic_Ops!Z58</f>
        <v>1</v>
      </c>
      <c r="AA8" s="34">
        <f>Assumptions_Periodic_Ops!AA58</f>
        <v>1</v>
      </c>
      <c r="AB8" s="34">
        <f>Assumptions_Periodic_Ops!AB58</f>
        <v>1</v>
      </c>
      <c r="AC8" s="34">
        <f>Assumptions_Periodic_Ops!AC58</f>
        <v>1</v>
      </c>
      <c r="AD8" s="34">
        <f>Assumptions_Periodic_Ops!AD58</f>
        <v>1</v>
      </c>
      <c r="AE8" s="34">
        <f>Assumptions_Periodic_Ops!AE58</f>
        <v>1</v>
      </c>
      <c r="AF8" s="34">
        <f>Assumptions_Periodic_Ops!AF58</f>
        <v>1</v>
      </c>
      <c r="AG8" s="34">
        <f>Assumptions_Periodic_Ops!AG58</f>
        <v>1</v>
      </c>
      <c r="AH8" s="34">
        <f>Assumptions_Periodic_Ops!AH58</f>
        <v>1</v>
      </c>
      <c r="AI8" s="34">
        <f>Assumptions_Periodic_Ops!AI58</f>
        <v>1</v>
      </c>
      <c r="AJ8" s="34">
        <f>Assumptions_Periodic_Ops!AJ58</f>
        <v>1</v>
      </c>
      <c r="AK8" s="34">
        <f>Assumptions_Periodic_Ops!AK58</f>
        <v>1</v>
      </c>
      <c r="AL8" s="34">
        <f>Assumptions_Periodic_Ops!AL58</f>
        <v>1</v>
      </c>
      <c r="AM8" s="34">
        <f>Assumptions_Periodic_Ops!AM58</f>
        <v>1</v>
      </c>
      <c r="AN8" s="34">
        <f>Assumptions_Periodic_Ops!AN58</f>
        <v>1</v>
      </c>
      <c r="AO8" s="34">
        <f>Assumptions_Periodic_Ops!AO58</f>
        <v>1</v>
      </c>
      <c r="AP8" s="34">
        <f>Assumptions_Periodic_Ops!AP58</f>
        <v>1</v>
      </c>
      <c r="AQ8" s="34">
        <f>Assumptions_Periodic_Ops!AQ58</f>
        <v>1</v>
      </c>
      <c r="AR8" s="34">
        <f>Assumptions_Periodic_Ops!AR58</f>
        <v>1</v>
      </c>
      <c r="AS8" s="34">
        <f>Assumptions_Periodic_Ops!AS58</f>
        <v>1</v>
      </c>
      <c r="AT8" s="34">
        <f>Assumptions_Periodic_Ops!AT58</f>
        <v>1</v>
      </c>
      <c r="AU8" s="34">
        <f>Assumptions_Periodic_Ops!AU58</f>
        <v>1</v>
      </c>
      <c r="AV8" s="34">
        <f>Assumptions_Periodic_Ops!AV58</f>
        <v>1</v>
      </c>
      <c r="AW8" s="34">
        <f>Assumptions_Periodic_Ops!AW58</f>
        <v>1</v>
      </c>
      <c r="AX8" s="34">
        <f>Assumptions_Periodic_Ops!AX58</f>
        <v>1</v>
      </c>
      <c r="AY8" s="34">
        <f>Assumptions_Periodic_Ops!AY58</f>
        <v>1</v>
      </c>
      <c r="AZ8" s="34">
        <f>Assumptions_Periodic_Ops!AZ58</f>
        <v>1</v>
      </c>
      <c r="BA8" s="34">
        <f>Assumptions_Periodic_Ops!BA58</f>
        <v>1</v>
      </c>
      <c r="BB8" s="34">
        <f>Assumptions_Periodic_Ops!BB58</f>
        <v>1</v>
      </c>
      <c r="BC8" s="34">
        <f>Assumptions_Periodic_Ops!BC58</f>
        <v>1</v>
      </c>
      <c r="BD8" s="34">
        <f>Assumptions_Periodic_Ops!BD58</f>
        <v>1</v>
      </c>
      <c r="BE8" s="34">
        <f>Assumptions_Periodic_Ops!BE58</f>
        <v>1</v>
      </c>
      <c r="BF8" s="34">
        <f>Assumptions_Periodic_Ops!BF58</f>
        <v>1</v>
      </c>
      <c r="BG8" s="34">
        <f>Assumptions_Periodic_Ops!BG58</f>
        <v>1</v>
      </c>
      <c r="BH8" s="34">
        <f>Assumptions_Periodic_Ops!BH58</f>
        <v>1</v>
      </c>
      <c r="BI8" s="34">
        <f>Assumptions_Periodic_Ops!BI58</f>
        <v>1</v>
      </c>
      <c r="BJ8" s="34">
        <f>Assumptions_Periodic_Ops!BJ58</f>
        <v>1</v>
      </c>
      <c r="BK8" s="34">
        <f>Assumptions_Periodic_Ops!BK58</f>
        <v>1</v>
      </c>
      <c r="BL8" s="34">
        <f>Assumptions_Periodic_Ops!BL58</f>
        <v>1</v>
      </c>
      <c r="BM8" s="34">
        <f>Assumptions_Periodic_Ops!BM58</f>
        <v>1</v>
      </c>
      <c r="BN8" s="34">
        <f>Assumptions_Periodic_Ops!BN58</f>
        <v>1</v>
      </c>
      <c r="BO8" s="34">
        <f>Assumptions_Periodic_Ops!BO58</f>
        <v>1</v>
      </c>
      <c r="BP8" s="34">
        <f>Assumptions_Periodic_Ops!BP58</f>
        <v>1</v>
      </c>
      <c r="BQ8" s="34">
        <f>Assumptions_Periodic_Ops!BQ58</f>
        <v>1</v>
      </c>
      <c r="BR8" s="34">
        <f>Assumptions_Periodic_Ops!BR58</f>
        <v>1</v>
      </c>
      <c r="BS8" s="34">
        <f>Assumptions_Periodic_Ops!BS58</f>
        <v>1</v>
      </c>
      <c r="BT8" s="34">
        <f>Assumptions_Periodic_Ops!BT58</f>
        <v>1</v>
      </c>
      <c r="BU8" s="34">
        <f>Assumptions_Periodic_Ops!BU58</f>
        <v>1</v>
      </c>
      <c r="BV8" s="34">
        <f>Assumptions_Periodic_Ops!BV58</f>
        <v>1</v>
      </c>
      <c r="BW8" s="34">
        <f>Assumptions_Periodic_Ops!BW58</f>
        <v>1</v>
      </c>
      <c r="BX8" s="34">
        <f>Assumptions_Periodic_Ops!BX58</f>
        <v>1</v>
      </c>
      <c r="BY8" s="34">
        <f>Assumptions_Periodic_Ops!BY58</f>
        <v>1</v>
      </c>
      <c r="BZ8" s="34">
        <f>Assumptions_Periodic_Ops!BZ58</f>
        <v>1</v>
      </c>
      <c r="CA8" s="34">
        <f>Assumptions_Periodic_Ops!CA58</f>
        <v>1</v>
      </c>
      <c r="CB8" s="34">
        <f>Assumptions_Periodic_Ops!CB58</f>
        <v>1</v>
      </c>
      <c r="CC8" s="34">
        <f>Assumptions_Periodic_Ops!CC58</f>
        <v>1</v>
      </c>
      <c r="CD8" s="34">
        <f>Assumptions_Periodic_Ops!CD58</f>
        <v>1</v>
      </c>
    </row>
    <row r="9" spans="1:82" x14ac:dyDescent="0.45">
      <c r="A9" t="s">
        <v>178</v>
      </c>
      <c r="B9" s="13">
        <f>Assumptions_Model!$B$9</f>
        <v>0.3</v>
      </c>
    </row>
    <row r="10" spans="1:82" x14ac:dyDescent="0.45">
      <c r="A10" t="s">
        <v>179</v>
      </c>
      <c r="C10" s="18">
        <f t="shared" ref="C10:AH10" si="0">$B$4/4*C5*C6</f>
        <v>3750000</v>
      </c>
      <c r="D10" s="18">
        <f t="shared" si="0"/>
        <v>3750000</v>
      </c>
      <c r="E10" s="18">
        <f t="shared" si="0"/>
        <v>3750000</v>
      </c>
      <c r="F10" s="18">
        <f t="shared" si="0"/>
        <v>3750000</v>
      </c>
      <c r="G10" s="18">
        <f t="shared" si="0"/>
        <v>3750000</v>
      </c>
      <c r="H10" s="18">
        <f t="shared" si="0"/>
        <v>3750000</v>
      </c>
      <c r="I10" s="18">
        <f t="shared" si="0"/>
        <v>3750000</v>
      </c>
      <c r="J10" s="18">
        <f t="shared" si="0"/>
        <v>3750000</v>
      </c>
      <c r="K10" s="18">
        <f t="shared" si="0"/>
        <v>3750000</v>
      </c>
      <c r="L10" s="18">
        <f t="shared" si="0"/>
        <v>3750000</v>
      </c>
      <c r="M10" s="18">
        <f t="shared" si="0"/>
        <v>3750000</v>
      </c>
      <c r="N10" s="18">
        <f t="shared" si="0"/>
        <v>3750000</v>
      </c>
      <c r="O10" s="18">
        <f t="shared" si="0"/>
        <v>3750000</v>
      </c>
      <c r="P10" s="18">
        <f t="shared" si="0"/>
        <v>3750000</v>
      </c>
      <c r="Q10" s="18">
        <f t="shared" si="0"/>
        <v>3750000</v>
      </c>
      <c r="R10" s="18">
        <f t="shared" si="0"/>
        <v>3750000</v>
      </c>
      <c r="S10" s="18">
        <f t="shared" si="0"/>
        <v>3750000</v>
      </c>
      <c r="T10" s="18">
        <f t="shared" si="0"/>
        <v>3750000</v>
      </c>
      <c r="U10" s="18">
        <f t="shared" si="0"/>
        <v>3750000</v>
      </c>
      <c r="V10" s="18">
        <f t="shared" si="0"/>
        <v>3750000</v>
      </c>
      <c r="W10" s="18">
        <f t="shared" si="0"/>
        <v>3750000</v>
      </c>
      <c r="X10" s="18">
        <f t="shared" si="0"/>
        <v>3750000</v>
      </c>
      <c r="Y10" s="18">
        <f t="shared" si="0"/>
        <v>3750000</v>
      </c>
      <c r="Z10" s="18">
        <f t="shared" si="0"/>
        <v>3750000</v>
      </c>
      <c r="AA10" s="18">
        <f t="shared" si="0"/>
        <v>3750000</v>
      </c>
      <c r="AB10" s="18">
        <f t="shared" si="0"/>
        <v>3750000</v>
      </c>
      <c r="AC10" s="18">
        <f t="shared" si="0"/>
        <v>3750000</v>
      </c>
      <c r="AD10" s="18">
        <f t="shared" si="0"/>
        <v>3750000</v>
      </c>
      <c r="AE10" s="18">
        <f t="shared" si="0"/>
        <v>3750000</v>
      </c>
      <c r="AF10" s="18">
        <f t="shared" si="0"/>
        <v>3750000</v>
      </c>
      <c r="AG10" s="18">
        <f t="shared" si="0"/>
        <v>3750000</v>
      </c>
      <c r="AH10" s="18">
        <f t="shared" si="0"/>
        <v>3750000</v>
      </c>
      <c r="AI10" s="18">
        <f t="shared" ref="AI10:BN10" si="1">$B$4/4*AI5*AI6</f>
        <v>3750000</v>
      </c>
      <c r="AJ10" s="18">
        <f t="shared" si="1"/>
        <v>3750000</v>
      </c>
      <c r="AK10" s="18">
        <f t="shared" si="1"/>
        <v>3750000</v>
      </c>
      <c r="AL10" s="18">
        <f t="shared" si="1"/>
        <v>3750000</v>
      </c>
      <c r="AM10" s="18">
        <f t="shared" si="1"/>
        <v>3750000</v>
      </c>
      <c r="AN10" s="18">
        <f t="shared" si="1"/>
        <v>3750000</v>
      </c>
      <c r="AO10" s="18">
        <f t="shared" si="1"/>
        <v>3750000</v>
      </c>
      <c r="AP10" s="18">
        <f t="shared" si="1"/>
        <v>3750000</v>
      </c>
      <c r="AQ10" s="18">
        <f t="shared" si="1"/>
        <v>3750000</v>
      </c>
      <c r="AR10" s="18">
        <f t="shared" si="1"/>
        <v>3750000</v>
      </c>
      <c r="AS10" s="18">
        <f t="shared" si="1"/>
        <v>3750000</v>
      </c>
      <c r="AT10" s="18">
        <f t="shared" si="1"/>
        <v>3750000</v>
      </c>
      <c r="AU10" s="18">
        <f t="shared" si="1"/>
        <v>3750000</v>
      </c>
      <c r="AV10" s="18">
        <f t="shared" si="1"/>
        <v>3750000</v>
      </c>
      <c r="AW10" s="18">
        <f t="shared" si="1"/>
        <v>3750000</v>
      </c>
      <c r="AX10" s="18">
        <f t="shared" si="1"/>
        <v>3750000</v>
      </c>
      <c r="AY10" s="18">
        <f t="shared" si="1"/>
        <v>3750000</v>
      </c>
      <c r="AZ10" s="18">
        <f t="shared" si="1"/>
        <v>3750000</v>
      </c>
      <c r="BA10" s="18">
        <f t="shared" si="1"/>
        <v>3750000</v>
      </c>
      <c r="BB10" s="18">
        <f t="shared" si="1"/>
        <v>3750000</v>
      </c>
      <c r="BC10" s="18">
        <f t="shared" si="1"/>
        <v>3750000</v>
      </c>
      <c r="BD10" s="18">
        <f t="shared" si="1"/>
        <v>3750000</v>
      </c>
      <c r="BE10" s="18">
        <f t="shared" si="1"/>
        <v>3750000</v>
      </c>
      <c r="BF10" s="18">
        <f t="shared" si="1"/>
        <v>3750000</v>
      </c>
      <c r="BG10" s="18">
        <f t="shared" si="1"/>
        <v>3750000</v>
      </c>
      <c r="BH10" s="18">
        <f t="shared" si="1"/>
        <v>3750000</v>
      </c>
      <c r="BI10" s="18">
        <f t="shared" si="1"/>
        <v>3750000</v>
      </c>
      <c r="BJ10" s="18">
        <f t="shared" si="1"/>
        <v>3750000</v>
      </c>
      <c r="BK10" s="18">
        <f t="shared" si="1"/>
        <v>3750000</v>
      </c>
      <c r="BL10" s="18">
        <f t="shared" si="1"/>
        <v>3750000</v>
      </c>
      <c r="BM10" s="18">
        <f t="shared" si="1"/>
        <v>3750000</v>
      </c>
      <c r="BN10" s="18">
        <f t="shared" si="1"/>
        <v>3750000</v>
      </c>
      <c r="BO10" s="18">
        <f t="shared" ref="BO10:CD10" si="2">$B$4/4*BO5*BO6</f>
        <v>3750000</v>
      </c>
      <c r="BP10" s="18">
        <f t="shared" si="2"/>
        <v>3750000</v>
      </c>
      <c r="BQ10" s="18">
        <f t="shared" si="2"/>
        <v>3750000</v>
      </c>
      <c r="BR10" s="18">
        <f t="shared" si="2"/>
        <v>3750000</v>
      </c>
      <c r="BS10" s="18">
        <f t="shared" si="2"/>
        <v>3750000</v>
      </c>
      <c r="BT10" s="18">
        <f t="shared" si="2"/>
        <v>3750000</v>
      </c>
      <c r="BU10" s="18">
        <f t="shared" si="2"/>
        <v>3750000</v>
      </c>
      <c r="BV10" s="18">
        <f t="shared" si="2"/>
        <v>3750000</v>
      </c>
      <c r="BW10" s="18">
        <f t="shared" si="2"/>
        <v>3750000</v>
      </c>
      <c r="BX10" s="18">
        <f t="shared" si="2"/>
        <v>3750000</v>
      </c>
      <c r="BY10" s="18">
        <f t="shared" si="2"/>
        <v>3750000</v>
      </c>
      <c r="BZ10" s="18">
        <f t="shared" si="2"/>
        <v>3750000</v>
      </c>
      <c r="CA10" s="18">
        <f t="shared" si="2"/>
        <v>3750000</v>
      </c>
      <c r="CB10" s="18">
        <f t="shared" si="2"/>
        <v>3750000</v>
      </c>
      <c r="CC10" s="18">
        <f t="shared" si="2"/>
        <v>3750000</v>
      </c>
      <c r="CD10" s="18">
        <f t="shared" si="2"/>
        <v>3750000</v>
      </c>
    </row>
    <row r="11" spans="1:82" x14ac:dyDescent="0.45">
      <c r="A11" t="s">
        <v>180</v>
      </c>
      <c r="C11" s="18">
        <f t="shared" ref="C11:AH11" si="3">$B$4/4*$B$9*C7*C8</f>
        <v>1125000</v>
      </c>
      <c r="D11" s="18">
        <f t="shared" si="3"/>
        <v>1125000</v>
      </c>
      <c r="E11" s="18">
        <f t="shared" si="3"/>
        <v>1125000</v>
      </c>
      <c r="F11" s="18">
        <f t="shared" si="3"/>
        <v>1125000</v>
      </c>
      <c r="G11" s="18">
        <f t="shared" si="3"/>
        <v>1125000</v>
      </c>
      <c r="H11" s="18">
        <f t="shared" si="3"/>
        <v>1125000</v>
      </c>
      <c r="I11" s="18">
        <f t="shared" si="3"/>
        <v>1125000</v>
      </c>
      <c r="J11" s="18">
        <f t="shared" si="3"/>
        <v>1125000</v>
      </c>
      <c r="K11" s="18">
        <f t="shared" si="3"/>
        <v>1125000</v>
      </c>
      <c r="L11" s="18">
        <f t="shared" si="3"/>
        <v>1125000</v>
      </c>
      <c r="M11" s="18">
        <f t="shared" si="3"/>
        <v>1125000</v>
      </c>
      <c r="N11" s="18">
        <f t="shared" si="3"/>
        <v>1125000</v>
      </c>
      <c r="O11" s="18">
        <f t="shared" si="3"/>
        <v>1125000</v>
      </c>
      <c r="P11" s="18">
        <f t="shared" si="3"/>
        <v>1125000</v>
      </c>
      <c r="Q11" s="18">
        <f t="shared" si="3"/>
        <v>1125000</v>
      </c>
      <c r="R11" s="18">
        <f t="shared" si="3"/>
        <v>1125000</v>
      </c>
      <c r="S11" s="18">
        <f t="shared" si="3"/>
        <v>1125000</v>
      </c>
      <c r="T11" s="18">
        <f t="shared" si="3"/>
        <v>1125000</v>
      </c>
      <c r="U11" s="18">
        <f t="shared" si="3"/>
        <v>1125000</v>
      </c>
      <c r="V11" s="18">
        <f t="shared" si="3"/>
        <v>1125000</v>
      </c>
      <c r="W11" s="18">
        <f t="shared" si="3"/>
        <v>1125000</v>
      </c>
      <c r="X11" s="18">
        <f t="shared" si="3"/>
        <v>1125000</v>
      </c>
      <c r="Y11" s="18">
        <f t="shared" si="3"/>
        <v>1125000</v>
      </c>
      <c r="Z11" s="18">
        <f t="shared" si="3"/>
        <v>1125000</v>
      </c>
      <c r="AA11" s="18">
        <f t="shared" si="3"/>
        <v>1125000</v>
      </c>
      <c r="AB11" s="18">
        <f t="shared" si="3"/>
        <v>1125000</v>
      </c>
      <c r="AC11" s="18">
        <f t="shared" si="3"/>
        <v>1125000</v>
      </c>
      <c r="AD11" s="18">
        <f t="shared" si="3"/>
        <v>1125000</v>
      </c>
      <c r="AE11" s="18">
        <f t="shared" si="3"/>
        <v>1125000</v>
      </c>
      <c r="AF11" s="18">
        <f t="shared" si="3"/>
        <v>1125000</v>
      </c>
      <c r="AG11" s="18">
        <f t="shared" si="3"/>
        <v>1125000</v>
      </c>
      <c r="AH11" s="18">
        <f t="shared" si="3"/>
        <v>1125000</v>
      </c>
      <c r="AI11" s="18">
        <f t="shared" ref="AI11:BN11" si="4">$B$4/4*$B$9*AI7*AI8</f>
        <v>1125000</v>
      </c>
      <c r="AJ11" s="18">
        <f t="shared" si="4"/>
        <v>1125000</v>
      </c>
      <c r="AK11" s="18">
        <f t="shared" si="4"/>
        <v>1125000</v>
      </c>
      <c r="AL11" s="18">
        <f t="shared" si="4"/>
        <v>1125000</v>
      </c>
      <c r="AM11" s="18">
        <f t="shared" si="4"/>
        <v>1125000</v>
      </c>
      <c r="AN11" s="18">
        <f t="shared" si="4"/>
        <v>1125000</v>
      </c>
      <c r="AO11" s="18">
        <f t="shared" si="4"/>
        <v>1125000</v>
      </c>
      <c r="AP11" s="18">
        <f t="shared" si="4"/>
        <v>1125000</v>
      </c>
      <c r="AQ11" s="18">
        <f t="shared" si="4"/>
        <v>1125000</v>
      </c>
      <c r="AR11" s="18">
        <f t="shared" si="4"/>
        <v>1125000</v>
      </c>
      <c r="AS11" s="18">
        <f t="shared" si="4"/>
        <v>1125000</v>
      </c>
      <c r="AT11" s="18">
        <f t="shared" si="4"/>
        <v>1125000</v>
      </c>
      <c r="AU11" s="18">
        <f t="shared" si="4"/>
        <v>1125000</v>
      </c>
      <c r="AV11" s="18">
        <f t="shared" si="4"/>
        <v>1125000</v>
      </c>
      <c r="AW11" s="18">
        <f t="shared" si="4"/>
        <v>1125000</v>
      </c>
      <c r="AX11" s="18">
        <f t="shared" si="4"/>
        <v>1125000</v>
      </c>
      <c r="AY11" s="18">
        <f t="shared" si="4"/>
        <v>1125000</v>
      </c>
      <c r="AZ11" s="18">
        <f t="shared" si="4"/>
        <v>1125000</v>
      </c>
      <c r="BA11" s="18">
        <f t="shared" si="4"/>
        <v>1125000</v>
      </c>
      <c r="BB11" s="18">
        <f t="shared" si="4"/>
        <v>1125000</v>
      </c>
      <c r="BC11" s="18">
        <f t="shared" si="4"/>
        <v>1125000</v>
      </c>
      <c r="BD11" s="18">
        <f t="shared" si="4"/>
        <v>1125000</v>
      </c>
      <c r="BE11" s="18">
        <f t="shared" si="4"/>
        <v>1125000</v>
      </c>
      <c r="BF11" s="18">
        <f t="shared" si="4"/>
        <v>1125000</v>
      </c>
      <c r="BG11" s="18">
        <f t="shared" si="4"/>
        <v>1125000</v>
      </c>
      <c r="BH11" s="18">
        <f t="shared" si="4"/>
        <v>1125000</v>
      </c>
      <c r="BI11" s="18">
        <f t="shared" si="4"/>
        <v>1125000</v>
      </c>
      <c r="BJ11" s="18">
        <f t="shared" si="4"/>
        <v>1125000</v>
      </c>
      <c r="BK11" s="18">
        <f t="shared" si="4"/>
        <v>1125000</v>
      </c>
      <c r="BL11" s="18">
        <f t="shared" si="4"/>
        <v>1125000</v>
      </c>
      <c r="BM11" s="18">
        <f t="shared" si="4"/>
        <v>1125000</v>
      </c>
      <c r="BN11" s="18">
        <f t="shared" si="4"/>
        <v>1125000</v>
      </c>
      <c r="BO11" s="18">
        <f t="shared" ref="BO11:CD11" si="5">$B$4/4*$B$9*BO7*BO8</f>
        <v>1125000</v>
      </c>
      <c r="BP11" s="18">
        <f t="shared" si="5"/>
        <v>1125000</v>
      </c>
      <c r="BQ11" s="18">
        <f t="shared" si="5"/>
        <v>1125000</v>
      </c>
      <c r="BR11" s="18">
        <f t="shared" si="5"/>
        <v>1125000</v>
      </c>
      <c r="BS11" s="18">
        <f t="shared" si="5"/>
        <v>1125000</v>
      </c>
      <c r="BT11" s="18">
        <f t="shared" si="5"/>
        <v>1125000</v>
      </c>
      <c r="BU11" s="18">
        <f t="shared" si="5"/>
        <v>1125000</v>
      </c>
      <c r="BV11" s="18">
        <f t="shared" si="5"/>
        <v>1125000</v>
      </c>
      <c r="BW11" s="18">
        <f t="shared" si="5"/>
        <v>1125000</v>
      </c>
      <c r="BX11" s="18">
        <f t="shared" si="5"/>
        <v>1125000</v>
      </c>
      <c r="BY11" s="18">
        <f t="shared" si="5"/>
        <v>1125000</v>
      </c>
      <c r="BZ11" s="18">
        <f t="shared" si="5"/>
        <v>1125000</v>
      </c>
      <c r="CA11" s="18">
        <f t="shared" si="5"/>
        <v>1125000</v>
      </c>
      <c r="CB11" s="18">
        <f t="shared" si="5"/>
        <v>1125000</v>
      </c>
      <c r="CC11" s="18">
        <f t="shared" si="5"/>
        <v>1125000</v>
      </c>
      <c r="CD11" s="18">
        <f t="shared" si="5"/>
        <v>1125000</v>
      </c>
    </row>
    <row r="12" spans="1:82" x14ac:dyDescent="0.45">
      <c r="A12" t="s">
        <v>181</v>
      </c>
      <c r="C12" s="18">
        <f t="shared" ref="C12:AH12" si="6">C10-C11</f>
        <v>2625000</v>
      </c>
      <c r="D12" s="18">
        <f t="shared" si="6"/>
        <v>2625000</v>
      </c>
      <c r="E12" s="18">
        <f t="shared" si="6"/>
        <v>2625000</v>
      </c>
      <c r="F12" s="18">
        <f t="shared" si="6"/>
        <v>2625000</v>
      </c>
      <c r="G12" s="18">
        <f t="shared" si="6"/>
        <v>2625000</v>
      </c>
      <c r="H12" s="18">
        <f t="shared" si="6"/>
        <v>2625000</v>
      </c>
      <c r="I12" s="18">
        <f t="shared" si="6"/>
        <v>2625000</v>
      </c>
      <c r="J12" s="18">
        <f t="shared" si="6"/>
        <v>2625000</v>
      </c>
      <c r="K12" s="18">
        <f t="shared" si="6"/>
        <v>2625000</v>
      </c>
      <c r="L12" s="18">
        <f t="shared" si="6"/>
        <v>2625000</v>
      </c>
      <c r="M12" s="18">
        <f t="shared" si="6"/>
        <v>2625000</v>
      </c>
      <c r="N12" s="18">
        <f t="shared" si="6"/>
        <v>2625000</v>
      </c>
      <c r="O12" s="18">
        <f t="shared" si="6"/>
        <v>2625000</v>
      </c>
      <c r="P12" s="18">
        <f t="shared" si="6"/>
        <v>2625000</v>
      </c>
      <c r="Q12" s="18">
        <f t="shared" si="6"/>
        <v>2625000</v>
      </c>
      <c r="R12" s="18">
        <f t="shared" si="6"/>
        <v>2625000</v>
      </c>
      <c r="S12" s="18">
        <f t="shared" si="6"/>
        <v>2625000</v>
      </c>
      <c r="T12" s="18">
        <f t="shared" si="6"/>
        <v>2625000</v>
      </c>
      <c r="U12" s="18">
        <f t="shared" si="6"/>
        <v>2625000</v>
      </c>
      <c r="V12" s="18">
        <f t="shared" si="6"/>
        <v>2625000</v>
      </c>
      <c r="W12" s="18">
        <f t="shared" si="6"/>
        <v>2625000</v>
      </c>
      <c r="X12" s="18">
        <f t="shared" si="6"/>
        <v>2625000</v>
      </c>
      <c r="Y12" s="18">
        <f t="shared" si="6"/>
        <v>2625000</v>
      </c>
      <c r="Z12" s="18">
        <f t="shared" si="6"/>
        <v>2625000</v>
      </c>
      <c r="AA12" s="18">
        <f t="shared" si="6"/>
        <v>2625000</v>
      </c>
      <c r="AB12" s="18">
        <f t="shared" si="6"/>
        <v>2625000</v>
      </c>
      <c r="AC12" s="18">
        <f t="shared" si="6"/>
        <v>2625000</v>
      </c>
      <c r="AD12" s="18">
        <f t="shared" si="6"/>
        <v>2625000</v>
      </c>
      <c r="AE12" s="18">
        <f t="shared" si="6"/>
        <v>2625000</v>
      </c>
      <c r="AF12" s="18">
        <f t="shared" si="6"/>
        <v>2625000</v>
      </c>
      <c r="AG12" s="18">
        <f t="shared" si="6"/>
        <v>2625000</v>
      </c>
      <c r="AH12" s="18">
        <f t="shared" si="6"/>
        <v>2625000</v>
      </c>
      <c r="AI12" s="18">
        <f t="shared" ref="AI12:BN12" si="7">AI10-AI11</f>
        <v>2625000</v>
      </c>
      <c r="AJ12" s="18">
        <f t="shared" si="7"/>
        <v>2625000</v>
      </c>
      <c r="AK12" s="18">
        <f t="shared" si="7"/>
        <v>2625000</v>
      </c>
      <c r="AL12" s="18">
        <f t="shared" si="7"/>
        <v>2625000</v>
      </c>
      <c r="AM12" s="18">
        <f t="shared" si="7"/>
        <v>2625000</v>
      </c>
      <c r="AN12" s="18">
        <f t="shared" si="7"/>
        <v>2625000</v>
      </c>
      <c r="AO12" s="18">
        <f t="shared" si="7"/>
        <v>2625000</v>
      </c>
      <c r="AP12" s="18">
        <f t="shared" si="7"/>
        <v>2625000</v>
      </c>
      <c r="AQ12" s="18">
        <f t="shared" si="7"/>
        <v>2625000</v>
      </c>
      <c r="AR12" s="18">
        <f t="shared" si="7"/>
        <v>2625000</v>
      </c>
      <c r="AS12" s="18">
        <f t="shared" si="7"/>
        <v>2625000</v>
      </c>
      <c r="AT12" s="18">
        <f t="shared" si="7"/>
        <v>2625000</v>
      </c>
      <c r="AU12" s="18">
        <f t="shared" si="7"/>
        <v>2625000</v>
      </c>
      <c r="AV12" s="18">
        <f t="shared" si="7"/>
        <v>2625000</v>
      </c>
      <c r="AW12" s="18">
        <f t="shared" si="7"/>
        <v>2625000</v>
      </c>
      <c r="AX12" s="18">
        <f t="shared" si="7"/>
        <v>2625000</v>
      </c>
      <c r="AY12" s="18">
        <f t="shared" si="7"/>
        <v>2625000</v>
      </c>
      <c r="AZ12" s="18">
        <f t="shared" si="7"/>
        <v>2625000</v>
      </c>
      <c r="BA12" s="18">
        <f t="shared" si="7"/>
        <v>2625000</v>
      </c>
      <c r="BB12" s="18">
        <f t="shared" si="7"/>
        <v>2625000</v>
      </c>
      <c r="BC12" s="18">
        <f t="shared" si="7"/>
        <v>2625000</v>
      </c>
      <c r="BD12" s="18">
        <f t="shared" si="7"/>
        <v>2625000</v>
      </c>
      <c r="BE12" s="18">
        <f t="shared" si="7"/>
        <v>2625000</v>
      </c>
      <c r="BF12" s="18">
        <f t="shared" si="7"/>
        <v>2625000</v>
      </c>
      <c r="BG12" s="18">
        <f t="shared" si="7"/>
        <v>2625000</v>
      </c>
      <c r="BH12" s="18">
        <f t="shared" si="7"/>
        <v>2625000</v>
      </c>
      <c r="BI12" s="18">
        <f t="shared" si="7"/>
        <v>2625000</v>
      </c>
      <c r="BJ12" s="18">
        <f t="shared" si="7"/>
        <v>2625000</v>
      </c>
      <c r="BK12" s="18">
        <f t="shared" si="7"/>
        <v>2625000</v>
      </c>
      <c r="BL12" s="18">
        <f t="shared" si="7"/>
        <v>2625000</v>
      </c>
      <c r="BM12" s="18">
        <f t="shared" si="7"/>
        <v>2625000</v>
      </c>
      <c r="BN12" s="18">
        <f t="shared" si="7"/>
        <v>2625000</v>
      </c>
      <c r="BO12" s="18">
        <f t="shared" ref="BO12:CD12" si="8">BO10-BO11</f>
        <v>2625000</v>
      </c>
      <c r="BP12" s="18">
        <f t="shared" si="8"/>
        <v>2625000</v>
      </c>
      <c r="BQ12" s="18">
        <f t="shared" si="8"/>
        <v>2625000</v>
      </c>
      <c r="BR12" s="18">
        <f t="shared" si="8"/>
        <v>2625000</v>
      </c>
      <c r="BS12" s="18">
        <f t="shared" si="8"/>
        <v>2625000</v>
      </c>
      <c r="BT12" s="18">
        <f t="shared" si="8"/>
        <v>2625000</v>
      </c>
      <c r="BU12" s="18">
        <f t="shared" si="8"/>
        <v>2625000</v>
      </c>
      <c r="BV12" s="18">
        <f t="shared" si="8"/>
        <v>2625000</v>
      </c>
      <c r="BW12" s="18">
        <f t="shared" si="8"/>
        <v>2625000</v>
      </c>
      <c r="BX12" s="18">
        <f t="shared" si="8"/>
        <v>2625000</v>
      </c>
      <c r="BY12" s="18">
        <f t="shared" si="8"/>
        <v>2625000</v>
      </c>
      <c r="BZ12" s="18">
        <f t="shared" si="8"/>
        <v>2625000</v>
      </c>
      <c r="CA12" s="18">
        <f t="shared" si="8"/>
        <v>2625000</v>
      </c>
      <c r="CB12" s="18">
        <f t="shared" si="8"/>
        <v>2625000</v>
      </c>
      <c r="CC12" s="18">
        <f t="shared" si="8"/>
        <v>2625000</v>
      </c>
      <c r="CD12" s="18">
        <f t="shared" si="8"/>
        <v>2625000</v>
      </c>
    </row>
    <row r="13" spans="1:82" x14ac:dyDescent="0.45">
      <c r="A13" t="s">
        <v>182</v>
      </c>
      <c r="B13" s="13">
        <f>Assumptions_Model!$B$13</f>
        <v>1.4999999999999999E-2</v>
      </c>
    </row>
    <row r="14" spans="1:82" x14ac:dyDescent="0.45">
      <c r="A14" t="s">
        <v>183</v>
      </c>
      <c r="C14" s="18">
        <f t="shared" ref="C14:AH14" si="9">C10*$B$13</f>
        <v>56250</v>
      </c>
      <c r="D14" s="18">
        <f t="shared" si="9"/>
        <v>56250</v>
      </c>
      <c r="E14" s="18">
        <f t="shared" si="9"/>
        <v>56250</v>
      </c>
      <c r="F14" s="18">
        <f t="shared" si="9"/>
        <v>56250</v>
      </c>
      <c r="G14" s="18">
        <f t="shared" si="9"/>
        <v>56250</v>
      </c>
      <c r="H14" s="18">
        <f t="shared" si="9"/>
        <v>56250</v>
      </c>
      <c r="I14" s="18">
        <f t="shared" si="9"/>
        <v>56250</v>
      </c>
      <c r="J14" s="18">
        <f t="shared" si="9"/>
        <v>56250</v>
      </c>
      <c r="K14" s="18">
        <f t="shared" si="9"/>
        <v>56250</v>
      </c>
      <c r="L14" s="18">
        <f t="shared" si="9"/>
        <v>56250</v>
      </c>
      <c r="M14" s="18">
        <f t="shared" si="9"/>
        <v>56250</v>
      </c>
      <c r="N14" s="18">
        <f t="shared" si="9"/>
        <v>56250</v>
      </c>
      <c r="O14" s="18">
        <f t="shared" si="9"/>
        <v>56250</v>
      </c>
      <c r="P14" s="18">
        <f t="shared" si="9"/>
        <v>56250</v>
      </c>
      <c r="Q14" s="18">
        <f t="shared" si="9"/>
        <v>56250</v>
      </c>
      <c r="R14" s="18">
        <f t="shared" si="9"/>
        <v>56250</v>
      </c>
      <c r="S14" s="18">
        <f t="shared" si="9"/>
        <v>56250</v>
      </c>
      <c r="T14" s="18">
        <f t="shared" si="9"/>
        <v>56250</v>
      </c>
      <c r="U14" s="18">
        <f t="shared" si="9"/>
        <v>56250</v>
      </c>
      <c r="V14" s="18">
        <f t="shared" si="9"/>
        <v>56250</v>
      </c>
      <c r="W14" s="18">
        <f t="shared" si="9"/>
        <v>56250</v>
      </c>
      <c r="X14" s="18">
        <f t="shared" si="9"/>
        <v>56250</v>
      </c>
      <c r="Y14" s="18">
        <f t="shared" si="9"/>
        <v>56250</v>
      </c>
      <c r="Z14" s="18">
        <f t="shared" si="9"/>
        <v>56250</v>
      </c>
      <c r="AA14" s="18">
        <f t="shared" si="9"/>
        <v>56250</v>
      </c>
      <c r="AB14" s="18">
        <f t="shared" si="9"/>
        <v>56250</v>
      </c>
      <c r="AC14" s="18">
        <f t="shared" si="9"/>
        <v>56250</v>
      </c>
      <c r="AD14" s="18">
        <f t="shared" si="9"/>
        <v>56250</v>
      </c>
      <c r="AE14" s="18">
        <f t="shared" si="9"/>
        <v>56250</v>
      </c>
      <c r="AF14" s="18">
        <f t="shared" si="9"/>
        <v>56250</v>
      </c>
      <c r="AG14" s="18">
        <f t="shared" si="9"/>
        <v>56250</v>
      </c>
      <c r="AH14" s="18">
        <f t="shared" si="9"/>
        <v>56250</v>
      </c>
      <c r="AI14" s="18">
        <f t="shared" ref="AI14:BN14" si="10">AI10*$B$13</f>
        <v>56250</v>
      </c>
      <c r="AJ14" s="18">
        <f t="shared" si="10"/>
        <v>56250</v>
      </c>
      <c r="AK14" s="18">
        <f t="shared" si="10"/>
        <v>56250</v>
      </c>
      <c r="AL14" s="18">
        <f t="shared" si="10"/>
        <v>56250</v>
      </c>
      <c r="AM14" s="18">
        <f t="shared" si="10"/>
        <v>56250</v>
      </c>
      <c r="AN14" s="18">
        <f t="shared" si="10"/>
        <v>56250</v>
      </c>
      <c r="AO14" s="18">
        <f t="shared" si="10"/>
        <v>56250</v>
      </c>
      <c r="AP14" s="18">
        <f t="shared" si="10"/>
        <v>56250</v>
      </c>
      <c r="AQ14" s="18">
        <f t="shared" si="10"/>
        <v>56250</v>
      </c>
      <c r="AR14" s="18">
        <f t="shared" si="10"/>
        <v>56250</v>
      </c>
      <c r="AS14" s="18">
        <f t="shared" si="10"/>
        <v>56250</v>
      </c>
      <c r="AT14" s="18">
        <f t="shared" si="10"/>
        <v>56250</v>
      </c>
      <c r="AU14" s="18">
        <f t="shared" si="10"/>
        <v>56250</v>
      </c>
      <c r="AV14" s="18">
        <f t="shared" si="10"/>
        <v>56250</v>
      </c>
      <c r="AW14" s="18">
        <f t="shared" si="10"/>
        <v>56250</v>
      </c>
      <c r="AX14" s="18">
        <f t="shared" si="10"/>
        <v>56250</v>
      </c>
      <c r="AY14" s="18">
        <f t="shared" si="10"/>
        <v>56250</v>
      </c>
      <c r="AZ14" s="18">
        <f t="shared" si="10"/>
        <v>56250</v>
      </c>
      <c r="BA14" s="18">
        <f t="shared" si="10"/>
        <v>56250</v>
      </c>
      <c r="BB14" s="18">
        <f t="shared" si="10"/>
        <v>56250</v>
      </c>
      <c r="BC14" s="18">
        <f t="shared" si="10"/>
        <v>56250</v>
      </c>
      <c r="BD14" s="18">
        <f t="shared" si="10"/>
        <v>56250</v>
      </c>
      <c r="BE14" s="18">
        <f t="shared" si="10"/>
        <v>56250</v>
      </c>
      <c r="BF14" s="18">
        <f t="shared" si="10"/>
        <v>56250</v>
      </c>
      <c r="BG14" s="18">
        <f t="shared" si="10"/>
        <v>56250</v>
      </c>
      <c r="BH14" s="18">
        <f t="shared" si="10"/>
        <v>56250</v>
      </c>
      <c r="BI14" s="18">
        <f t="shared" si="10"/>
        <v>56250</v>
      </c>
      <c r="BJ14" s="18">
        <f t="shared" si="10"/>
        <v>56250</v>
      </c>
      <c r="BK14" s="18">
        <f t="shared" si="10"/>
        <v>56250</v>
      </c>
      <c r="BL14" s="18">
        <f t="shared" si="10"/>
        <v>56250</v>
      </c>
      <c r="BM14" s="18">
        <f t="shared" si="10"/>
        <v>56250</v>
      </c>
      <c r="BN14" s="18">
        <f t="shared" si="10"/>
        <v>56250</v>
      </c>
      <c r="BO14" s="18">
        <f t="shared" ref="BO14:CD14" si="11">BO10*$B$13</f>
        <v>56250</v>
      </c>
      <c r="BP14" s="18">
        <f t="shared" si="11"/>
        <v>56250</v>
      </c>
      <c r="BQ14" s="18">
        <f t="shared" si="11"/>
        <v>56250</v>
      </c>
      <c r="BR14" s="18">
        <f t="shared" si="11"/>
        <v>56250</v>
      </c>
      <c r="BS14" s="18">
        <f t="shared" si="11"/>
        <v>56250</v>
      </c>
      <c r="BT14" s="18">
        <f t="shared" si="11"/>
        <v>56250</v>
      </c>
      <c r="BU14" s="18">
        <f t="shared" si="11"/>
        <v>56250</v>
      </c>
      <c r="BV14" s="18">
        <f t="shared" si="11"/>
        <v>56250</v>
      </c>
      <c r="BW14" s="18">
        <f t="shared" si="11"/>
        <v>56250</v>
      </c>
      <c r="BX14" s="18">
        <f t="shared" si="11"/>
        <v>56250</v>
      </c>
      <c r="BY14" s="18">
        <f t="shared" si="11"/>
        <v>56250</v>
      </c>
      <c r="BZ14" s="18">
        <f t="shared" si="11"/>
        <v>56250</v>
      </c>
      <c r="CA14" s="18">
        <f t="shared" si="11"/>
        <v>56250</v>
      </c>
      <c r="CB14" s="18">
        <f t="shared" si="11"/>
        <v>56250</v>
      </c>
      <c r="CC14" s="18">
        <f t="shared" si="11"/>
        <v>56250</v>
      </c>
      <c r="CD14" s="18">
        <f t="shared" si="11"/>
        <v>56250</v>
      </c>
    </row>
    <row r="15" spans="1:82" x14ac:dyDescent="0.45">
      <c r="A15" t="s">
        <v>184</v>
      </c>
      <c r="C15" s="12">
        <f>Assumptions_Periodic_Ops!C44</f>
        <v>0</v>
      </c>
      <c r="D15" s="12">
        <f>Assumptions_Periodic_Ops!D44</f>
        <v>0</v>
      </c>
      <c r="E15" s="12">
        <f>Assumptions_Periodic_Ops!E44</f>
        <v>0</v>
      </c>
      <c r="F15" s="12">
        <f>Assumptions_Periodic_Ops!F44</f>
        <v>0</v>
      </c>
      <c r="G15" s="12">
        <f>Assumptions_Periodic_Ops!G44</f>
        <v>0</v>
      </c>
      <c r="H15" s="12">
        <f>Assumptions_Periodic_Ops!H44</f>
        <v>0</v>
      </c>
      <c r="I15" s="12">
        <f>Assumptions_Periodic_Ops!I44</f>
        <v>0</v>
      </c>
      <c r="J15" s="12">
        <f>Assumptions_Periodic_Ops!J44</f>
        <v>0</v>
      </c>
      <c r="K15" s="12">
        <f>Assumptions_Periodic_Ops!K44</f>
        <v>0</v>
      </c>
      <c r="L15" s="12">
        <f>Assumptions_Periodic_Ops!L44</f>
        <v>0</v>
      </c>
      <c r="M15" s="12">
        <f>Assumptions_Periodic_Ops!M44</f>
        <v>0</v>
      </c>
      <c r="N15" s="12">
        <f>Assumptions_Periodic_Ops!N44</f>
        <v>0</v>
      </c>
      <c r="O15" s="12">
        <f>Assumptions_Periodic_Ops!O44</f>
        <v>0</v>
      </c>
      <c r="P15" s="12">
        <f>Assumptions_Periodic_Ops!P44</f>
        <v>0</v>
      </c>
      <c r="Q15" s="12">
        <f>Assumptions_Periodic_Ops!Q44</f>
        <v>0</v>
      </c>
      <c r="R15" s="12">
        <f>Assumptions_Periodic_Ops!R44</f>
        <v>0</v>
      </c>
      <c r="S15" s="12">
        <f>Assumptions_Periodic_Ops!S44</f>
        <v>0</v>
      </c>
      <c r="T15" s="12">
        <f>Assumptions_Periodic_Ops!T44</f>
        <v>0</v>
      </c>
      <c r="U15" s="12">
        <f>Assumptions_Periodic_Ops!U44</f>
        <v>0</v>
      </c>
      <c r="V15" s="12">
        <f>Assumptions_Periodic_Ops!V44</f>
        <v>2000000</v>
      </c>
      <c r="W15" s="12">
        <f>Assumptions_Periodic_Ops!W44</f>
        <v>0</v>
      </c>
      <c r="X15" s="12">
        <f>Assumptions_Periodic_Ops!X44</f>
        <v>0</v>
      </c>
      <c r="Y15" s="12">
        <f>Assumptions_Periodic_Ops!Y44</f>
        <v>0</v>
      </c>
      <c r="Z15" s="12">
        <f>Assumptions_Periodic_Ops!Z44</f>
        <v>0</v>
      </c>
      <c r="AA15" s="12">
        <f>Assumptions_Periodic_Ops!AA44</f>
        <v>0</v>
      </c>
      <c r="AB15" s="12">
        <f>Assumptions_Periodic_Ops!AB44</f>
        <v>0</v>
      </c>
      <c r="AC15" s="12">
        <f>Assumptions_Periodic_Ops!AC44</f>
        <v>0</v>
      </c>
      <c r="AD15" s="12">
        <f>Assumptions_Periodic_Ops!AD44</f>
        <v>0</v>
      </c>
      <c r="AE15" s="12">
        <f>Assumptions_Periodic_Ops!AE44</f>
        <v>0</v>
      </c>
      <c r="AF15" s="12">
        <f>Assumptions_Periodic_Ops!AF44</f>
        <v>0</v>
      </c>
      <c r="AG15" s="12">
        <f>Assumptions_Periodic_Ops!AG44</f>
        <v>0</v>
      </c>
      <c r="AH15" s="12">
        <f>Assumptions_Periodic_Ops!AH44</f>
        <v>0</v>
      </c>
      <c r="AI15" s="12">
        <f>Assumptions_Periodic_Ops!AI44</f>
        <v>0</v>
      </c>
      <c r="AJ15" s="12">
        <f>Assumptions_Periodic_Ops!AJ44</f>
        <v>0</v>
      </c>
      <c r="AK15" s="12">
        <f>Assumptions_Periodic_Ops!AK44</f>
        <v>0</v>
      </c>
      <c r="AL15" s="12">
        <f>Assumptions_Periodic_Ops!AL44</f>
        <v>0</v>
      </c>
      <c r="AM15" s="12">
        <f>Assumptions_Periodic_Ops!AM44</f>
        <v>0</v>
      </c>
      <c r="AN15" s="12">
        <f>Assumptions_Periodic_Ops!AN44</f>
        <v>0</v>
      </c>
      <c r="AO15" s="12">
        <f>Assumptions_Periodic_Ops!AO44</f>
        <v>0</v>
      </c>
      <c r="AP15" s="12">
        <f>Assumptions_Periodic_Ops!AP44</f>
        <v>2000000</v>
      </c>
      <c r="AQ15" s="12">
        <f>Assumptions_Periodic_Ops!AQ44</f>
        <v>0</v>
      </c>
      <c r="AR15" s="12">
        <f>Assumptions_Periodic_Ops!AR44</f>
        <v>0</v>
      </c>
      <c r="AS15" s="12">
        <f>Assumptions_Periodic_Ops!AS44</f>
        <v>0</v>
      </c>
      <c r="AT15" s="12">
        <f>Assumptions_Periodic_Ops!AT44</f>
        <v>0</v>
      </c>
      <c r="AU15" s="12">
        <f>Assumptions_Periodic_Ops!AU44</f>
        <v>0</v>
      </c>
      <c r="AV15" s="12">
        <f>Assumptions_Periodic_Ops!AV44</f>
        <v>0</v>
      </c>
      <c r="AW15" s="12">
        <f>Assumptions_Periodic_Ops!AW44</f>
        <v>0</v>
      </c>
      <c r="AX15" s="12">
        <f>Assumptions_Periodic_Ops!AX44</f>
        <v>0</v>
      </c>
      <c r="AY15" s="12">
        <f>Assumptions_Periodic_Ops!AY44</f>
        <v>0</v>
      </c>
      <c r="AZ15" s="12">
        <f>Assumptions_Periodic_Ops!AZ44</f>
        <v>0</v>
      </c>
      <c r="BA15" s="12">
        <f>Assumptions_Periodic_Ops!BA44</f>
        <v>0</v>
      </c>
      <c r="BB15" s="12">
        <f>Assumptions_Periodic_Ops!BB44</f>
        <v>0</v>
      </c>
      <c r="BC15" s="12">
        <f>Assumptions_Periodic_Ops!BC44</f>
        <v>0</v>
      </c>
      <c r="BD15" s="12">
        <f>Assumptions_Periodic_Ops!BD44</f>
        <v>0</v>
      </c>
      <c r="BE15" s="12">
        <f>Assumptions_Periodic_Ops!BE44</f>
        <v>0</v>
      </c>
      <c r="BF15" s="12">
        <f>Assumptions_Periodic_Ops!BF44</f>
        <v>0</v>
      </c>
      <c r="BG15" s="12">
        <f>Assumptions_Periodic_Ops!BG44</f>
        <v>0</v>
      </c>
      <c r="BH15" s="12">
        <f>Assumptions_Periodic_Ops!BH44</f>
        <v>0</v>
      </c>
      <c r="BI15" s="12">
        <f>Assumptions_Periodic_Ops!BI44</f>
        <v>0</v>
      </c>
      <c r="BJ15" s="12">
        <f>Assumptions_Periodic_Ops!BJ44</f>
        <v>2000000</v>
      </c>
      <c r="BK15" s="12">
        <f>Assumptions_Periodic_Ops!BK44</f>
        <v>0</v>
      </c>
      <c r="BL15" s="12">
        <f>Assumptions_Periodic_Ops!BL44</f>
        <v>0</v>
      </c>
      <c r="BM15" s="12">
        <f>Assumptions_Periodic_Ops!BM44</f>
        <v>0</v>
      </c>
      <c r="BN15" s="12">
        <f>Assumptions_Periodic_Ops!BN44</f>
        <v>0</v>
      </c>
      <c r="BO15" s="12">
        <f>Assumptions_Periodic_Ops!BO44</f>
        <v>0</v>
      </c>
      <c r="BP15" s="12">
        <f>Assumptions_Periodic_Ops!BP44</f>
        <v>0</v>
      </c>
      <c r="BQ15" s="12">
        <f>Assumptions_Periodic_Ops!BQ44</f>
        <v>0</v>
      </c>
      <c r="BR15" s="12">
        <f>Assumptions_Periodic_Ops!BR44</f>
        <v>0</v>
      </c>
      <c r="BS15" s="12">
        <f>Assumptions_Periodic_Ops!BS44</f>
        <v>0</v>
      </c>
      <c r="BT15" s="12">
        <f>Assumptions_Periodic_Ops!BT44</f>
        <v>0</v>
      </c>
      <c r="BU15" s="12">
        <f>Assumptions_Periodic_Ops!BU44</f>
        <v>0</v>
      </c>
      <c r="BV15" s="12">
        <f>Assumptions_Periodic_Ops!BV44</f>
        <v>0</v>
      </c>
      <c r="BW15" s="12">
        <f>Assumptions_Periodic_Ops!BW44</f>
        <v>0</v>
      </c>
      <c r="BX15" s="12">
        <f>Assumptions_Periodic_Ops!BX44</f>
        <v>0</v>
      </c>
      <c r="BY15" s="12">
        <f>Assumptions_Periodic_Ops!BY44</f>
        <v>0</v>
      </c>
      <c r="BZ15" s="12">
        <f>Assumptions_Periodic_Ops!BZ44</f>
        <v>0</v>
      </c>
      <c r="CA15" s="12">
        <f>Assumptions_Periodic_Ops!CA44</f>
        <v>0</v>
      </c>
      <c r="CB15" s="12">
        <f>Assumptions_Periodic_Ops!CB44</f>
        <v>0</v>
      </c>
      <c r="CC15" s="12">
        <f>Assumptions_Periodic_Ops!CC44</f>
        <v>0</v>
      </c>
      <c r="CD15" s="12">
        <f>Assumptions_Periodic_Ops!CD44</f>
        <v>2000000</v>
      </c>
    </row>
    <row r="16" spans="1:82" x14ac:dyDescent="0.45">
      <c r="A16" t="s">
        <v>185</v>
      </c>
      <c r="C16" s="18">
        <f t="shared" ref="C16:AH16" si="12">C14+C15</f>
        <v>56250</v>
      </c>
      <c r="D16" s="18">
        <f t="shared" si="12"/>
        <v>56250</v>
      </c>
      <c r="E16" s="18">
        <f t="shared" si="12"/>
        <v>56250</v>
      </c>
      <c r="F16" s="18">
        <f t="shared" si="12"/>
        <v>56250</v>
      </c>
      <c r="G16" s="18">
        <f t="shared" si="12"/>
        <v>56250</v>
      </c>
      <c r="H16" s="18">
        <f t="shared" si="12"/>
        <v>56250</v>
      </c>
      <c r="I16" s="18">
        <f t="shared" si="12"/>
        <v>56250</v>
      </c>
      <c r="J16" s="18">
        <f t="shared" si="12"/>
        <v>56250</v>
      </c>
      <c r="K16" s="18">
        <f t="shared" si="12"/>
        <v>56250</v>
      </c>
      <c r="L16" s="18">
        <f t="shared" si="12"/>
        <v>56250</v>
      </c>
      <c r="M16" s="18">
        <f t="shared" si="12"/>
        <v>56250</v>
      </c>
      <c r="N16" s="18">
        <f t="shared" si="12"/>
        <v>56250</v>
      </c>
      <c r="O16" s="18">
        <f t="shared" si="12"/>
        <v>56250</v>
      </c>
      <c r="P16" s="18">
        <f t="shared" si="12"/>
        <v>56250</v>
      </c>
      <c r="Q16" s="18">
        <f t="shared" si="12"/>
        <v>56250</v>
      </c>
      <c r="R16" s="18">
        <f t="shared" si="12"/>
        <v>56250</v>
      </c>
      <c r="S16" s="18">
        <f t="shared" si="12"/>
        <v>56250</v>
      </c>
      <c r="T16" s="18">
        <f t="shared" si="12"/>
        <v>56250</v>
      </c>
      <c r="U16" s="18">
        <f t="shared" si="12"/>
        <v>56250</v>
      </c>
      <c r="V16" s="18">
        <f t="shared" si="12"/>
        <v>2056250</v>
      </c>
      <c r="W16" s="18">
        <f t="shared" si="12"/>
        <v>56250</v>
      </c>
      <c r="X16" s="18">
        <f t="shared" si="12"/>
        <v>56250</v>
      </c>
      <c r="Y16" s="18">
        <f t="shared" si="12"/>
        <v>56250</v>
      </c>
      <c r="Z16" s="18">
        <f t="shared" si="12"/>
        <v>56250</v>
      </c>
      <c r="AA16" s="18">
        <f t="shared" si="12"/>
        <v>56250</v>
      </c>
      <c r="AB16" s="18">
        <f t="shared" si="12"/>
        <v>56250</v>
      </c>
      <c r="AC16" s="18">
        <f t="shared" si="12"/>
        <v>56250</v>
      </c>
      <c r="AD16" s="18">
        <f t="shared" si="12"/>
        <v>56250</v>
      </c>
      <c r="AE16" s="18">
        <f t="shared" si="12"/>
        <v>56250</v>
      </c>
      <c r="AF16" s="18">
        <f t="shared" si="12"/>
        <v>56250</v>
      </c>
      <c r="AG16" s="18">
        <f t="shared" si="12"/>
        <v>56250</v>
      </c>
      <c r="AH16" s="18">
        <f t="shared" si="12"/>
        <v>56250</v>
      </c>
      <c r="AI16" s="18">
        <f t="shared" ref="AI16:BN16" si="13">AI14+AI15</f>
        <v>56250</v>
      </c>
      <c r="AJ16" s="18">
        <f t="shared" si="13"/>
        <v>56250</v>
      </c>
      <c r="AK16" s="18">
        <f t="shared" si="13"/>
        <v>56250</v>
      </c>
      <c r="AL16" s="18">
        <f t="shared" si="13"/>
        <v>56250</v>
      </c>
      <c r="AM16" s="18">
        <f t="shared" si="13"/>
        <v>56250</v>
      </c>
      <c r="AN16" s="18">
        <f t="shared" si="13"/>
        <v>56250</v>
      </c>
      <c r="AO16" s="18">
        <f t="shared" si="13"/>
        <v>56250</v>
      </c>
      <c r="AP16" s="18">
        <f t="shared" si="13"/>
        <v>2056250</v>
      </c>
      <c r="AQ16" s="18">
        <f t="shared" si="13"/>
        <v>56250</v>
      </c>
      <c r="AR16" s="18">
        <f t="shared" si="13"/>
        <v>56250</v>
      </c>
      <c r="AS16" s="18">
        <f t="shared" si="13"/>
        <v>56250</v>
      </c>
      <c r="AT16" s="18">
        <f t="shared" si="13"/>
        <v>56250</v>
      </c>
      <c r="AU16" s="18">
        <f t="shared" si="13"/>
        <v>56250</v>
      </c>
      <c r="AV16" s="18">
        <f t="shared" si="13"/>
        <v>56250</v>
      </c>
      <c r="AW16" s="18">
        <f t="shared" si="13"/>
        <v>56250</v>
      </c>
      <c r="AX16" s="18">
        <f t="shared" si="13"/>
        <v>56250</v>
      </c>
      <c r="AY16" s="18">
        <f t="shared" si="13"/>
        <v>56250</v>
      </c>
      <c r="AZ16" s="18">
        <f t="shared" si="13"/>
        <v>56250</v>
      </c>
      <c r="BA16" s="18">
        <f t="shared" si="13"/>
        <v>56250</v>
      </c>
      <c r="BB16" s="18">
        <f t="shared" si="13"/>
        <v>56250</v>
      </c>
      <c r="BC16" s="18">
        <f t="shared" si="13"/>
        <v>56250</v>
      </c>
      <c r="BD16" s="18">
        <f t="shared" si="13"/>
        <v>56250</v>
      </c>
      <c r="BE16" s="18">
        <f t="shared" si="13"/>
        <v>56250</v>
      </c>
      <c r="BF16" s="18">
        <f t="shared" si="13"/>
        <v>56250</v>
      </c>
      <c r="BG16" s="18">
        <f t="shared" si="13"/>
        <v>56250</v>
      </c>
      <c r="BH16" s="18">
        <f t="shared" si="13"/>
        <v>56250</v>
      </c>
      <c r="BI16" s="18">
        <f t="shared" si="13"/>
        <v>56250</v>
      </c>
      <c r="BJ16" s="18">
        <f t="shared" si="13"/>
        <v>2056250</v>
      </c>
      <c r="BK16" s="18">
        <f t="shared" si="13"/>
        <v>56250</v>
      </c>
      <c r="BL16" s="18">
        <f t="shared" si="13"/>
        <v>56250</v>
      </c>
      <c r="BM16" s="18">
        <f t="shared" si="13"/>
        <v>56250</v>
      </c>
      <c r="BN16" s="18">
        <f t="shared" si="13"/>
        <v>56250</v>
      </c>
      <c r="BO16" s="18">
        <f t="shared" ref="BO16:CD16" si="14">BO14+BO15</f>
        <v>56250</v>
      </c>
      <c r="BP16" s="18">
        <f t="shared" si="14"/>
        <v>56250</v>
      </c>
      <c r="BQ16" s="18">
        <f t="shared" si="14"/>
        <v>56250</v>
      </c>
      <c r="BR16" s="18">
        <f t="shared" si="14"/>
        <v>56250</v>
      </c>
      <c r="BS16" s="18">
        <f t="shared" si="14"/>
        <v>56250</v>
      </c>
      <c r="BT16" s="18">
        <f t="shared" si="14"/>
        <v>56250</v>
      </c>
      <c r="BU16" s="18">
        <f t="shared" si="14"/>
        <v>56250</v>
      </c>
      <c r="BV16" s="18">
        <f t="shared" si="14"/>
        <v>56250</v>
      </c>
      <c r="BW16" s="18">
        <f t="shared" si="14"/>
        <v>56250</v>
      </c>
      <c r="BX16" s="18">
        <f t="shared" si="14"/>
        <v>56250</v>
      </c>
      <c r="BY16" s="18">
        <f t="shared" si="14"/>
        <v>56250</v>
      </c>
      <c r="BZ16" s="18">
        <f t="shared" si="14"/>
        <v>56250</v>
      </c>
      <c r="CA16" s="18">
        <f t="shared" si="14"/>
        <v>56250</v>
      </c>
      <c r="CB16" s="18">
        <f t="shared" si="14"/>
        <v>56250</v>
      </c>
      <c r="CC16" s="18">
        <f t="shared" si="14"/>
        <v>56250</v>
      </c>
      <c r="CD16" s="18">
        <f t="shared" si="14"/>
        <v>2056250</v>
      </c>
    </row>
    <row r="19" spans="1:82" x14ac:dyDescent="0.45">
      <c r="A19" s="3" t="s">
        <v>85</v>
      </c>
    </row>
    <row r="20" spans="1:82" x14ac:dyDescent="0.45">
      <c r="A20" t="s">
        <v>186</v>
      </c>
      <c r="F20" s="26">
        <f>IF(ROUND(SUM(C10:F10)-$B$4,2)=0,1,0)</f>
        <v>1</v>
      </c>
    </row>
    <row r="21" spans="1:82" x14ac:dyDescent="0.45">
      <c r="A21" t="s">
        <v>187</v>
      </c>
      <c r="CD21" s="26">
        <f>COUNTIF(C12:CD12,"&lt;0")</f>
        <v>0</v>
      </c>
    </row>
    <row r="22" spans="1:82" x14ac:dyDescent="0.45">
      <c r="A22" t="s">
        <v>188</v>
      </c>
      <c r="CD22" s="26">
        <f>IF(MIN(C16:CD16)&gt;=0,1,0)</f>
        <v>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808080"/>
  </sheetPr>
  <dimension ref="A1:CD23"/>
  <sheetViews>
    <sheetView workbookViewId="0">
      <pane xSplit="2" ySplit="18" topLeftCell="C19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6" customWidth="1"/>
  </cols>
  <sheetData>
    <row r="1" spans="1:82" ht="15.75" x14ac:dyDescent="0.5">
      <c r="A1" s="10" t="s">
        <v>189</v>
      </c>
    </row>
    <row r="3" spans="1:82" x14ac:dyDescent="0.45">
      <c r="A3" t="s">
        <v>190</v>
      </c>
      <c r="B3" s="13">
        <f>Assumptions_Model!$B$10</f>
        <v>0.25</v>
      </c>
    </row>
    <row r="4" spans="1:82" x14ac:dyDescent="0.45">
      <c r="A4" t="s">
        <v>191</v>
      </c>
      <c r="B4" s="11">
        <f>Assumptions_Model!$B$11</f>
        <v>20</v>
      </c>
    </row>
    <row r="5" spans="1:82" x14ac:dyDescent="0.45">
      <c r="A5" t="s">
        <v>192</v>
      </c>
      <c r="B5" s="5">
        <v>10</v>
      </c>
    </row>
    <row r="7" spans="1:82" x14ac:dyDescent="0.45">
      <c r="A7" t="s">
        <v>63</v>
      </c>
      <c r="C7" s="16">
        <v>47208</v>
      </c>
      <c r="D7" s="16">
        <v>47299</v>
      </c>
      <c r="E7" s="16">
        <v>47391</v>
      </c>
      <c r="F7" s="16">
        <v>47483</v>
      </c>
      <c r="G7" s="16">
        <v>47573</v>
      </c>
      <c r="H7" s="16">
        <v>47664</v>
      </c>
      <c r="I7" s="16">
        <v>47756</v>
      </c>
      <c r="J7" s="16">
        <v>47848</v>
      </c>
      <c r="K7" s="16">
        <v>47938</v>
      </c>
      <c r="L7" s="16">
        <v>48029</v>
      </c>
      <c r="M7" s="16">
        <v>48121</v>
      </c>
      <c r="N7" s="16">
        <v>48213</v>
      </c>
      <c r="O7" s="16">
        <v>48304</v>
      </c>
      <c r="P7" s="16">
        <v>48395</v>
      </c>
      <c r="Q7" s="16">
        <v>48487</v>
      </c>
      <c r="R7" s="16">
        <v>48579</v>
      </c>
      <c r="S7" s="16">
        <v>48669</v>
      </c>
      <c r="T7" s="16">
        <v>48760</v>
      </c>
      <c r="U7" s="16">
        <v>48852</v>
      </c>
      <c r="V7" s="16">
        <v>48944</v>
      </c>
      <c r="W7" s="16">
        <v>49034</v>
      </c>
      <c r="X7" s="16">
        <v>49125</v>
      </c>
      <c r="Y7" s="16">
        <v>49217</v>
      </c>
      <c r="Z7" s="16">
        <v>49309</v>
      </c>
      <c r="AA7" s="16">
        <v>49399</v>
      </c>
      <c r="AB7" s="16">
        <v>49490</v>
      </c>
      <c r="AC7" s="16">
        <v>49582</v>
      </c>
      <c r="AD7" s="16">
        <v>49674</v>
      </c>
      <c r="AE7" s="16">
        <v>49765</v>
      </c>
      <c r="AF7" s="16">
        <v>49856</v>
      </c>
      <c r="AG7" s="16">
        <v>49948</v>
      </c>
      <c r="AH7" s="16">
        <v>50040</v>
      </c>
      <c r="AI7" s="16">
        <v>50130</v>
      </c>
      <c r="AJ7" s="16">
        <v>50221</v>
      </c>
      <c r="AK7" s="16">
        <v>50313</v>
      </c>
      <c r="AL7" s="16">
        <v>50405</v>
      </c>
      <c r="AM7" s="16">
        <v>50495</v>
      </c>
      <c r="AN7" s="16">
        <v>50586</v>
      </c>
      <c r="AO7" s="16">
        <v>50678</v>
      </c>
      <c r="AP7" s="16">
        <v>50770</v>
      </c>
      <c r="AQ7" s="16">
        <v>50860</v>
      </c>
      <c r="AR7" s="16">
        <v>50951</v>
      </c>
      <c r="AS7" s="16">
        <v>51043</v>
      </c>
      <c r="AT7" s="16">
        <v>51135</v>
      </c>
      <c r="AU7" s="16">
        <v>51226</v>
      </c>
      <c r="AV7" s="16">
        <v>51317</v>
      </c>
      <c r="AW7" s="16">
        <v>51409</v>
      </c>
      <c r="AX7" s="16">
        <v>51501</v>
      </c>
      <c r="AY7" s="16">
        <v>51591</v>
      </c>
      <c r="AZ7" s="16">
        <v>51682</v>
      </c>
      <c r="BA7" s="16">
        <v>51774</v>
      </c>
      <c r="BB7" s="16">
        <v>51866</v>
      </c>
      <c r="BC7" s="16">
        <v>51956</v>
      </c>
      <c r="BD7" s="16">
        <v>52047</v>
      </c>
      <c r="BE7" s="16">
        <v>52139</v>
      </c>
      <c r="BF7" s="16">
        <v>52231</v>
      </c>
      <c r="BG7" s="16">
        <v>52321</v>
      </c>
      <c r="BH7" s="16">
        <v>52412</v>
      </c>
      <c r="BI7" s="16">
        <v>52504</v>
      </c>
      <c r="BJ7" s="16">
        <v>52596</v>
      </c>
      <c r="BK7" s="16">
        <v>52687</v>
      </c>
      <c r="BL7" s="16">
        <v>52778</v>
      </c>
      <c r="BM7" s="16">
        <v>52870</v>
      </c>
      <c r="BN7" s="16">
        <v>52962</v>
      </c>
      <c r="BO7" s="16">
        <v>53052</v>
      </c>
      <c r="BP7" s="16">
        <v>53143</v>
      </c>
      <c r="BQ7" s="16">
        <v>53235</v>
      </c>
      <c r="BR7" s="16">
        <v>53327</v>
      </c>
      <c r="BS7" s="16">
        <v>53417</v>
      </c>
      <c r="BT7" s="16">
        <v>53508</v>
      </c>
      <c r="BU7" s="16">
        <v>53600</v>
      </c>
      <c r="BV7" s="16">
        <v>53692</v>
      </c>
      <c r="BW7" s="16">
        <v>53782</v>
      </c>
      <c r="BX7" s="16">
        <v>53873</v>
      </c>
      <c r="BY7" s="16">
        <v>53965</v>
      </c>
      <c r="BZ7" s="16">
        <v>54057</v>
      </c>
      <c r="CA7" s="16">
        <v>54148</v>
      </c>
      <c r="CB7" s="16">
        <v>54239</v>
      </c>
      <c r="CC7" s="16">
        <v>54331</v>
      </c>
      <c r="CD7" s="16">
        <v>54423</v>
      </c>
    </row>
    <row r="8" spans="1:82" x14ac:dyDescent="0.45">
      <c r="A8" t="s">
        <v>111</v>
      </c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  <c r="BA8">
        <v>51</v>
      </c>
      <c r="BB8">
        <v>52</v>
      </c>
      <c r="BC8">
        <v>53</v>
      </c>
      <c r="BD8">
        <v>54</v>
      </c>
      <c r="BE8">
        <v>55</v>
      </c>
      <c r="BF8">
        <v>56</v>
      </c>
      <c r="BG8">
        <v>57</v>
      </c>
      <c r="BH8">
        <v>58</v>
      </c>
      <c r="BI8">
        <v>59</v>
      </c>
      <c r="BJ8">
        <v>60</v>
      </c>
      <c r="BK8">
        <v>61</v>
      </c>
      <c r="BL8">
        <v>62</v>
      </c>
      <c r="BM8">
        <v>63</v>
      </c>
      <c r="BN8">
        <v>64</v>
      </c>
      <c r="BO8">
        <v>65</v>
      </c>
      <c r="BP8">
        <v>66</v>
      </c>
      <c r="BQ8">
        <v>67</v>
      </c>
      <c r="BR8">
        <v>68</v>
      </c>
      <c r="BS8">
        <v>69</v>
      </c>
      <c r="BT8">
        <v>70</v>
      </c>
      <c r="BU8">
        <v>71</v>
      </c>
      <c r="BV8">
        <v>72</v>
      </c>
      <c r="BW8">
        <v>73</v>
      </c>
      <c r="BX8">
        <v>74</v>
      </c>
      <c r="BY8">
        <v>75</v>
      </c>
      <c r="BZ8">
        <v>76</v>
      </c>
      <c r="CA8">
        <v>77</v>
      </c>
      <c r="CB8">
        <v>78</v>
      </c>
      <c r="CC8">
        <v>79</v>
      </c>
      <c r="CD8">
        <v>80</v>
      </c>
    </row>
    <row r="10" spans="1:82" x14ac:dyDescent="0.45">
      <c r="A10" t="s">
        <v>193</v>
      </c>
      <c r="C10" s="12">
        <f>Calc_Revenue_Opex!C12</f>
        <v>2625000</v>
      </c>
      <c r="D10" s="12">
        <f>Calc_Revenue_Opex!D12</f>
        <v>2625000</v>
      </c>
      <c r="E10" s="12">
        <f>Calc_Revenue_Opex!E12</f>
        <v>2625000</v>
      </c>
      <c r="F10" s="12">
        <f>Calc_Revenue_Opex!F12</f>
        <v>2625000</v>
      </c>
      <c r="G10" s="12">
        <f>Calc_Revenue_Opex!G12</f>
        <v>2625000</v>
      </c>
      <c r="H10" s="12">
        <f>Calc_Revenue_Opex!H12</f>
        <v>2625000</v>
      </c>
      <c r="I10" s="12">
        <f>Calc_Revenue_Opex!I12</f>
        <v>2625000</v>
      </c>
      <c r="J10" s="12">
        <f>Calc_Revenue_Opex!J12</f>
        <v>2625000</v>
      </c>
      <c r="K10" s="12">
        <f>Calc_Revenue_Opex!K12</f>
        <v>2625000</v>
      </c>
      <c r="L10" s="12">
        <f>Calc_Revenue_Opex!L12</f>
        <v>2625000</v>
      </c>
      <c r="M10" s="12">
        <f>Calc_Revenue_Opex!M12</f>
        <v>2625000</v>
      </c>
      <c r="N10" s="12">
        <f>Calc_Revenue_Opex!N12</f>
        <v>2625000</v>
      </c>
      <c r="O10" s="12">
        <f>Calc_Revenue_Opex!O12</f>
        <v>2625000</v>
      </c>
      <c r="P10" s="12">
        <f>Calc_Revenue_Opex!P12</f>
        <v>2625000</v>
      </c>
      <c r="Q10" s="12">
        <f>Calc_Revenue_Opex!Q12</f>
        <v>2625000</v>
      </c>
      <c r="R10" s="12">
        <f>Calc_Revenue_Opex!R12</f>
        <v>2625000</v>
      </c>
      <c r="S10" s="12">
        <f>Calc_Revenue_Opex!S12</f>
        <v>2625000</v>
      </c>
      <c r="T10" s="12">
        <f>Calc_Revenue_Opex!T12</f>
        <v>2625000</v>
      </c>
      <c r="U10" s="12">
        <f>Calc_Revenue_Opex!U12</f>
        <v>2625000</v>
      </c>
      <c r="V10" s="12">
        <f>Calc_Revenue_Opex!V12</f>
        <v>2625000</v>
      </c>
      <c r="W10" s="12">
        <f>Calc_Revenue_Opex!W12</f>
        <v>2625000</v>
      </c>
      <c r="X10" s="12">
        <f>Calc_Revenue_Opex!X12</f>
        <v>2625000</v>
      </c>
      <c r="Y10" s="12">
        <f>Calc_Revenue_Opex!Y12</f>
        <v>2625000</v>
      </c>
      <c r="Z10" s="12">
        <f>Calc_Revenue_Opex!Z12</f>
        <v>2625000</v>
      </c>
      <c r="AA10" s="12">
        <f>Calc_Revenue_Opex!AA12</f>
        <v>2625000</v>
      </c>
      <c r="AB10" s="12">
        <f>Calc_Revenue_Opex!AB12</f>
        <v>2625000</v>
      </c>
      <c r="AC10" s="12">
        <f>Calc_Revenue_Opex!AC12</f>
        <v>2625000</v>
      </c>
      <c r="AD10" s="12">
        <f>Calc_Revenue_Opex!AD12</f>
        <v>2625000</v>
      </c>
      <c r="AE10" s="12">
        <f>Calc_Revenue_Opex!AE12</f>
        <v>2625000</v>
      </c>
      <c r="AF10" s="12">
        <f>Calc_Revenue_Opex!AF12</f>
        <v>2625000</v>
      </c>
      <c r="AG10" s="12">
        <f>Calc_Revenue_Opex!AG12</f>
        <v>2625000</v>
      </c>
      <c r="AH10" s="12">
        <f>Calc_Revenue_Opex!AH12</f>
        <v>2625000</v>
      </c>
      <c r="AI10" s="12">
        <f>Calc_Revenue_Opex!AI12</f>
        <v>2625000</v>
      </c>
      <c r="AJ10" s="12">
        <f>Calc_Revenue_Opex!AJ12</f>
        <v>2625000</v>
      </c>
      <c r="AK10" s="12">
        <f>Calc_Revenue_Opex!AK12</f>
        <v>2625000</v>
      </c>
      <c r="AL10" s="12">
        <f>Calc_Revenue_Opex!AL12</f>
        <v>2625000</v>
      </c>
      <c r="AM10" s="12">
        <f>Calc_Revenue_Opex!AM12</f>
        <v>2625000</v>
      </c>
      <c r="AN10" s="12">
        <f>Calc_Revenue_Opex!AN12</f>
        <v>2625000</v>
      </c>
      <c r="AO10" s="12">
        <f>Calc_Revenue_Opex!AO12</f>
        <v>2625000</v>
      </c>
      <c r="AP10" s="12">
        <f>Calc_Revenue_Opex!AP12</f>
        <v>2625000</v>
      </c>
      <c r="AQ10" s="12">
        <f>Calc_Revenue_Opex!AQ12</f>
        <v>2625000</v>
      </c>
      <c r="AR10" s="12">
        <f>Calc_Revenue_Opex!AR12</f>
        <v>2625000</v>
      </c>
      <c r="AS10" s="12">
        <f>Calc_Revenue_Opex!AS12</f>
        <v>2625000</v>
      </c>
      <c r="AT10" s="12">
        <f>Calc_Revenue_Opex!AT12</f>
        <v>2625000</v>
      </c>
      <c r="AU10" s="12">
        <f>Calc_Revenue_Opex!AU12</f>
        <v>2625000</v>
      </c>
      <c r="AV10" s="12">
        <f>Calc_Revenue_Opex!AV12</f>
        <v>2625000</v>
      </c>
      <c r="AW10" s="12">
        <f>Calc_Revenue_Opex!AW12</f>
        <v>2625000</v>
      </c>
      <c r="AX10" s="12">
        <f>Calc_Revenue_Opex!AX12</f>
        <v>2625000</v>
      </c>
      <c r="AY10" s="12">
        <f>Calc_Revenue_Opex!AY12</f>
        <v>2625000</v>
      </c>
      <c r="AZ10" s="12">
        <f>Calc_Revenue_Opex!AZ12</f>
        <v>2625000</v>
      </c>
      <c r="BA10" s="12">
        <f>Calc_Revenue_Opex!BA12</f>
        <v>2625000</v>
      </c>
      <c r="BB10" s="12">
        <f>Calc_Revenue_Opex!BB12</f>
        <v>2625000</v>
      </c>
      <c r="BC10" s="12">
        <f>Calc_Revenue_Opex!BC12</f>
        <v>2625000</v>
      </c>
      <c r="BD10" s="12">
        <f>Calc_Revenue_Opex!BD12</f>
        <v>2625000</v>
      </c>
      <c r="BE10" s="12">
        <f>Calc_Revenue_Opex!BE12</f>
        <v>2625000</v>
      </c>
      <c r="BF10" s="12">
        <f>Calc_Revenue_Opex!BF12</f>
        <v>2625000</v>
      </c>
      <c r="BG10" s="12">
        <f>Calc_Revenue_Opex!BG12</f>
        <v>2625000</v>
      </c>
      <c r="BH10" s="12">
        <f>Calc_Revenue_Opex!BH12</f>
        <v>2625000</v>
      </c>
      <c r="BI10" s="12">
        <f>Calc_Revenue_Opex!BI12</f>
        <v>2625000</v>
      </c>
      <c r="BJ10" s="12">
        <f>Calc_Revenue_Opex!BJ12</f>
        <v>2625000</v>
      </c>
      <c r="BK10" s="12">
        <f>Calc_Revenue_Opex!BK12</f>
        <v>2625000</v>
      </c>
      <c r="BL10" s="12">
        <f>Calc_Revenue_Opex!BL12</f>
        <v>2625000</v>
      </c>
      <c r="BM10" s="12">
        <f>Calc_Revenue_Opex!BM12</f>
        <v>2625000</v>
      </c>
      <c r="BN10" s="12">
        <f>Calc_Revenue_Opex!BN12</f>
        <v>2625000</v>
      </c>
      <c r="BO10" s="12">
        <f>Calc_Revenue_Opex!BO12</f>
        <v>2625000</v>
      </c>
      <c r="BP10" s="12">
        <f>Calc_Revenue_Opex!BP12</f>
        <v>2625000</v>
      </c>
      <c r="BQ10" s="12">
        <f>Calc_Revenue_Opex!BQ12</f>
        <v>2625000</v>
      </c>
      <c r="BR10" s="12">
        <f>Calc_Revenue_Opex!BR12</f>
        <v>2625000</v>
      </c>
      <c r="BS10" s="12">
        <f>Calc_Revenue_Opex!BS12</f>
        <v>2625000</v>
      </c>
      <c r="BT10" s="12">
        <f>Calc_Revenue_Opex!BT12</f>
        <v>2625000</v>
      </c>
      <c r="BU10" s="12">
        <f>Calc_Revenue_Opex!BU12</f>
        <v>2625000</v>
      </c>
      <c r="BV10" s="12">
        <f>Calc_Revenue_Opex!BV12</f>
        <v>2625000</v>
      </c>
      <c r="BW10" s="12">
        <f>Calc_Revenue_Opex!BW12</f>
        <v>2625000</v>
      </c>
      <c r="BX10" s="12">
        <f>Calc_Revenue_Opex!BX12</f>
        <v>2625000</v>
      </c>
      <c r="BY10" s="12">
        <f>Calc_Revenue_Opex!BY12</f>
        <v>2625000</v>
      </c>
      <c r="BZ10" s="12">
        <f>Calc_Revenue_Opex!BZ12</f>
        <v>2625000</v>
      </c>
      <c r="CA10" s="12">
        <f>Calc_Revenue_Opex!CA12</f>
        <v>2625000</v>
      </c>
      <c r="CB10" s="12">
        <f>Calc_Revenue_Opex!CB12</f>
        <v>2625000</v>
      </c>
      <c r="CC10" s="12">
        <f>Calc_Revenue_Opex!CC12</f>
        <v>2625000</v>
      </c>
      <c r="CD10" s="12">
        <f>Calc_Revenue_Opex!CD12</f>
        <v>2625000</v>
      </c>
    </row>
    <row r="11" spans="1:82" x14ac:dyDescent="0.45">
      <c r="A11" t="s">
        <v>194</v>
      </c>
      <c r="C11" s="18">
        <f>Calc_Capex!$Z$17/($B$4*4)</f>
        <v>1306004.0505356363</v>
      </c>
      <c r="D11" s="18">
        <f>Calc_Capex!$Z$17/($B$4*4)</f>
        <v>1306004.0505356363</v>
      </c>
      <c r="E11" s="18">
        <f>Calc_Capex!$Z$17/($B$4*4)</f>
        <v>1306004.0505356363</v>
      </c>
      <c r="F11" s="18">
        <f>Calc_Capex!$Z$17/($B$4*4)</f>
        <v>1306004.0505356363</v>
      </c>
      <c r="G11" s="18">
        <f>Calc_Capex!$Z$17/($B$4*4)</f>
        <v>1306004.0505356363</v>
      </c>
      <c r="H11" s="18">
        <f>Calc_Capex!$Z$17/($B$4*4)</f>
        <v>1306004.0505356363</v>
      </c>
      <c r="I11" s="18">
        <f>Calc_Capex!$Z$17/($B$4*4)</f>
        <v>1306004.0505356363</v>
      </c>
      <c r="J11" s="18">
        <f>Calc_Capex!$Z$17/($B$4*4)</f>
        <v>1306004.0505356363</v>
      </c>
      <c r="K11" s="18">
        <f>Calc_Capex!$Z$17/($B$4*4)</f>
        <v>1306004.0505356363</v>
      </c>
      <c r="L11" s="18">
        <f>Calc_Capex!$Z$17/($B$4*4)</f>
        <v>1306004.0505356363</v>
      </c>
      <c r="M11" s="18">
        <f>Calc_Capex!$Z$17/($B$4*4)</f>
        <v>1306004.0505356363</v>
      </c>
      <c r="N11" s="18">
        <f>Calc_Capex!$Z$17/($B$4*4)</f>
        <v>1306004.0505356363</v>
      </c>
      <c r="O11" s="18">
        <f>Calc_Capex!$Z$17/($B$4*4)</f>
        <v>1306004.0505356363</v>
      </c>
      <c r="P11" s="18">
        <f>Calc_Capex!$Z$17/($B$4*4)</f>
        <v>1306004.0505356363</v>
      </c>
      <c r="Q11" s="18">
        <f>Calc_Capex!$Z$17/($B$4*4)</f>
        <v>1306004.0505356363</v>
      </c>
      <c r="R11" s="18">
        <f>Calc_Capex!$Z$17/($B$4*4)</f>
        <v>1306004.0505356363</v>
      </c>
      <c r="S11" s="18">
        <f>Calc_Capex!$Z$17/($B$4*4)</f>
        <v>1306004.0505356363</v>
      </c>
      <c r="T11" s="18">
        <f>Calc_Capex!$Z$17/($B$4*4)</f>
        <v>1306004.0505356363</v>
      </c>
      <c r="U11" s="18">
        <f>Calc_Capex!$Z$17/($B$4*4)</f>
        <v>1306004.0505356363</v>
      </c>
      <c r="V11" s="18">
        <f>Calc_Capex!$Z$17/($B$4*4)</f>
        <v>1306004.0505356363</v>
      </c>
      <c r="W11" s="18">
        <f>Calc_Capex!$Z$17/($B$4*4)</f>
        <v>1306004.0505356363</v>
      </c>
      <c r="X11" s="18">
        <f>Calc_Capex!$Z$17/($B$4*4)</f>
        <v>1306004.0505356363</v>
      </c>
      <c r="Y11" s="18">
        <f>Calc_Capex!$Z$17/($B$4*4)</f>
        <v>1306004.0505356363</v>
      </c>
      <c r="Z11" s="18">
        <f>Calc_Capex!$Z$17/($B$4*4)</f>
        <v>1306004.0505356363</v>
      </c>
      <c r="AA11" s="18">
        <f>Calc_Capex!$Z$17/($B$4*4)</f>
        <v>1306004.0505356363</v>
      </c>
      <c r="AB11" s="18">
        <f>Calc_Capex!$Z$17/($B$4*4)</f>
        <v>1306004.0505356363</v>
      </c>
      <c r="AC11" s="18">
        <f>Calc_Capex!$Z$17/($B$4*4)</f>
        <v>1306004.0505356363</v>
      </c>
      <c r="AD11" s="18">
        <f>Calc_Capex!$Z$17/($B$4*4)</f>
        <v>1306004.0505356363</v>
      </c>
      <c r="AE11" s="18">
        <f>Calc_Capex!$Z$17/($B$4*4)</f>
        <v>1306004.0505356363</v>
      </c>
      <c r="AF11" s="18">
        <f>Calc_Capex!$Z$17/($B$4*4)</f>
        <v>1306004.0505356363</v>
      </c>
      <c r="AG11" s="18">
        <f>Calc_Capex!$Z$17/($B$4*4)</f>
        <v>1306004.0505356363</v>
      </c>
      <c r="AH11" s="18">
        <f>Calc_Capex!$Z$17/($B$4*4)</f>
        <v>1306004.0505356363</v>
      </c>
      <c r="AI11" s="18">
        <f>Calc_Capex!$Z$17/($B$4*4)</f>
        <v>1306004.0505356363</v>
      </c>
      <c r="AJ11" s="18">
        <f>Calc_Capex!$Z$17/($B$4*4)</f>
        <v>1306004.0505356363</v>
      </c>
      <c r="AK11" s="18">
        <f>Calc_Capex!$Z$17/($B$4*4)</f>
        <v>1306004.0505356363</v>
      </c>
      <c r="AL11" s="18">
        <f>Calc_Capex!$Z$17/($B$4*4)</f>
        <v>1306004.0505356363</v>
      </c>
      <c r="AM11" s="18">
        <f>Calc_Capex!$Z$17/($B$4*4)</f>
        <v>1306004.0505356363</v>
      </c>
      <c r="AN11" s="18">
        <f>Calc_Capex!$Z$17/($B$4*4)</f>
        <v>1306004.0505356363</v>
      </c>
      <c r="AO11" s="18">
        <f>Calc_Capex!$Z$17/($B$4*4)</f>
        <v>1306004.0505356363</v>
      </c>
      <c r="AP11" s="18">
        <f>Calc_Capex!$Z$17/($B$4*4)</f>
        <v>1306004.0505356363</v>
      </c>
      <c r="AQ11" s="18">
        <f>Calc_Capex!$Z$17/($B$4*4)</f>
        <v>1306004.0505356363</v>
      </c>
      <c r="AR11" s="18">
        <f>Calc_Capex!$Z$17/($B$4*4)</f>
        <v>1306004.0505356363</v>
      </c>
      <c r="AS11" s="18">
        <f>Calc_Capex!$Z$17/($B$4*4)</f>
        <v>1306004.0505356363</v>
      </c>
      <c r="AT11" s="18">
        <f>Calc_Capex!$Z$17/($B$4*4)</f>
        <v>1306004.0505356363</v>
      </c>
      <c r="AU11" s="18">
        <f>Calc_Capex!$Z$17/($B$4*4)</f>
        <v>1306004.0505356363</v>
      </c>
      <c r="AV11" s="18">
        <f>Calc_Capex!$Z$17/($B$4*4)</f>
        <v>1306004.0505356363</v>
      </c>
      <c r="AW11" s="18">
        <f>Calc_Capex!$Z$17/($B$4*4)</f>
        <v>1306004.0505356363</v>
      </c>
      <c r="AX11" s="18">
        <f>Calc_Capex!$Z$17/($B$4*4)</f>
        <v>1306004.0505356363</v>
      </c>
      <c r="AY11" s="18">
        <f>Calc_Capex!$Z$17/($B$4*4)</f>
        <v>1306004.0505356363</v>
      </c>
      <c r="AZ11" s="18">
        <f>Calc_Capex!$Z$17/($B$4*4)</f>
        <v>1306004.0505356363</v>
      </c>
      <c r="BA11" s="18">
        <f>Calc_Capex!$Z$17/($B$4*4)</f>
        <v>1306004.0505356363</v>
      </c>
      <c r="BB11" s="18">
        <f>Calc_Capex!$Z$17/($B$4*4)</f>
        <v>1306004.0505356363</v>
      </c>
      <c r="BC11" s="18">
        <f>Calc_Capex!$Z$17/($B$4*4)</f>
        <v>1306004.0505356363</v>
      </c>
      <c r="BD11" s="18">
        <f>Calc_Capex!$Z$17/($B$4*4)</f>
        <v>1306004.0505356363</v>
      </c>
      <c r="BE11" s="18">
        <f>Calc_Capex!$Z$17/($B$4*4)</f>
        <v>1306004.0505356363</v>
      </c>
      <c r="BF11" s="18">
        <f>Calc_Capex!$Z$17/($B$4*4)</f>
        <v>1306004.0505356363</v>
      </c>
      <c r="BG11" s="18">
        <f>Calc_Capex!$Z$17/($B$4*4)</f>
        <v>1306004.0505356363</v>
      </c>
      <c r="BH11" s="18">
        <f>Calc_Capex!$Z$17/($B$4*4)</f>
        <v>1306004.0505356363</v>
      </c>
      <c r="BI11" s="18">
        <f>Calc_Capex!$Z$17/($B$4*4)</f>
        <v>1306004.0505356363</v>
      </c>
      <c r="BJ11" s="18">
        <f>Calc_Capex!$Z$17/($B$4*4)</f>
        <v>1306004.0505356363</v>
      </c>
      <c r="BK11" s="18">
        <f>Calc_Capex!$Z$17/($B$4*4)</f>
        <v>1306004.0505356363</v>
      </c>
      <c r="BL11" s="18">
        <f>Calc_Capex!$Z$17/($B$4*4)</f>
        <v>1306004.0505356363</v>
      </c>
      <c r="BM11" s="18">
        <f>Calc_Capex!$Z$17/($B$4*4)</f>
        <v>1306004.0505356363</v>
      </c>
      <c r="BN11" s="18">
        <f>Calc_Capex!$Z$17/($B$4*4)</f>
        <v>1306004.0505356363</v>
      </c>
      <c r="BO11" s="18">
        <f>Calc_Capex!$Z$17/($B$4*4)</f>
        <v>1306004.0505356363</v>
      </c>
      <c r="BP11" s="18">
        <f>Calc_Capex!$Z$17/($B$4*4)</f>
        <v>1306004.0505356363</v>
      </c>
      <c r="BQ11" s="18">
        <f>Calc_Capex!$Z$17/($B$4*4)</f>
        <v>1306004.0505356363</v>
      </c>
      <c r="BR11" s="18">
        <f>Calc_Capex!$Z$17/($B$4*4)</f>
        <v>1306004.0505356363</v>
      </c>
      <c r="BS11" s="18">
        <f>Calc_Capex!$Z$17/($B$4*4)</f>
        <v>1306004.0505356363</v>
      </c>
      <c r="BT11" s="18">
        <f>Calc_Capex!$Z$17/($B$4*4)</f>
        <v>1306004.0505356363</v>
      </c>
      <c r="BU11" s="18">
        <f>Calc_Capex!$Z$17/($B$4*4)</f>
        <v>1306004.0505356363</v>
      </c>
      <c r="BV11" s="18">
        <f>Calc_Capex!$Z$17/($B$4*4)</f>
        <v>1306004.0505356363</v>
      </c>
      <c r="BW11" s="18">
        <f>Calc_Capex!$Z$17/($B$4*4)</f>
        <v>1306004.0505356363</v>
      </c>
      <c r="BX11" s="18">
        <f>Calc_Capex!$Z$17/($B$4*4)</f>
        <v>1306004.0505356363</v>
      </c>
      <c r="BY11" s="18">
        <f>Calc_Capex!$Z$17/($B$4*4)</f>
        <v>1306004.0505356363</v>
      </c>
      <c r="BZ11" s="18">
        <f>Calc_Capex!$Z$17/($B$4*4)</f>
        <v>1306004.0505356363</v>
      </c>
      <c r="CA11" s="18">
        <f>Calc_Capex!$Z$17/($B$4*4)</f>
        <v>1306004.0505356363</v>
      </c>
      <c r="CB11" s="18">
        <f>Calc_Capex!$Z$17/($B$4*4)</f>
        <v>1306004.0505356363</v>
      </c>
      <c r="CC11" s="18">
        <f>Calc_Capex!$Z$17/($B$4*4)</f>
        <v>1306004.0505356363</v>
      </c>
      <c r="CD11" s="18">
        <f>Calc_Capex!$Z$17/($B$4*4)</f>
        <v>1306004.0505356363</v>
      </c>
    </row>
    <row r="12" spans="1:82" x14ac:dyDescent="0.45">
      <c r="A12" t="s">
        <v>195</v>
      </c>
      <c r="C12" s="12">
        <f>Calc_Revenue_Opex!C16</f>
        <v>56250</v>
      </c>
      <c r="D12" s="12">
        <f>Calc_Revenue_Opex!D16</f>
        <v>56250</v>
      </c>
      <c r="E12" s="12">
        <f>Calc_Revenue_Opex!E16</f>
        <v>56250</v>
      </c>
      <c r="F12" s="12">
        <f>Calc_Revenue_Opex!F16</f>
        <v>56250</v>
      </c>
      <c r="G12" s="12">
        <f>Calc_Revenue_Opex!G16</f>
        <v>56250</v>
      </c>
      <c r="H12" s="12">
        <f>Calc_Revenue_Opex!H16</f>
        <v>56250</v>
      </c>
      <c r="I12" s="12">
        <f>Calc_Revenue_Opex!I16</f>
        <v>56250</v>
      </c>
      <c r="J12" s="12">
        <f>Calc_Revenue_Opex!J16</f>
        <v>56250</v>
      </c>
      <c r="K12" s="12">
        <f>Calc_Revenue_Opex!K16</f>
        <v>56250</v>
      </c>
      <c r="L12" s="12">
        <f>Calc_Revenue_Opex!L16</f>
        <v>56250</v>
      </c>
      <c r="M12" s="12">
        <f>Calc_Revenue_Opex!M16</f>
        <v>56250</v>
      </c>
      <c r="N12" s="12">
        <f>Calc_Revenue_Opex!N16</f>
        <v>56250</v>
      </c>
      <c r="O12" s="12">
        <f>Calc_Revenue_Opex!O16</f>
        <v>56250</v>
      </c>
      <c r="P12" s="12">
        <f>Calc_Revenue_Opex!P16</f>
        <v>56250</v>
      </c>
      <c r="Q12" s="12">
        <f>Calc_Revenue_Opex!Q16</f>
        <v>56250</v>
      </c>
      <c r="R12" s="12">
        <f>Calc_Revenue_Opex!R16</f>
        <v>56250</v>
      </c>
      <c r="S12" s="12">
        <f>Calc_Revenue_Opex!S16</f>
        <v>56250</v>
      </c>
      <c r="T12" s="12">
        <f>Calc_Revenue_Opex!T16</f>
        <v>56250</v>
      </c>
      <c r="U12" s="12">
        <f>Calc_Revenue_Opex!U16</f>
        <v>56250</v>
      </c>
      <c r="V12" s="12">
        <f>Calc_Revenue_Opex!V16</f>
        <v>2056250</v>
      </c>
      <c r="W12" s="12">
        <f>Calc_Revenue_Opex!W16</f>
        <v>56250</v>
      </c>
      <c r="X12" s="12">
        <f>Calc_Revenue_Opex!X16</f>
        <v>56250</v>
      </c>
      <c r="Y12" s="12">
        <f>Calc_Revenue_Opex!Y16</f>
        <v>56250</v>
      </c>
      <c r="Z12" s="12">
        <f>Calc_Revenue_Opex!Z16</f>
        <v>56250</v>
      </c>
      <c r="AA12" s="12">
        <f>Calc_Revenue_Opex!AA16</f>
        <v>56250</v>
      </c>
      <c r="AB12" s="12">
        <f>Calc_Revenue_Opex!AB16</f>
        <v>56250</v>
      </c>
      <c r="AC12" s="12">
        <f>Calc_Revenue_Opex!AC16</f>
        <v>56250</v>
      </c>
      <c r="AD12" s="12">
        <f>Calc_Revenue_Opex!AD16</f>
        <v>56250</v>
      </c>
      <c r="AE12" s="12">
        <f>Calc_Revenue_Opex!AE16</f>
        <v>56250</v>
      </c>
      <c r="AF12" s="12">
        <f>Calc_Revenue_Opex!AF16</f>
        <v>56250</v>
      </c>
      <c r="AG12" s="12">
        <f>Calc_Revenue_Opex!AG16</f>
        <v>56250</v>
      </c>
      <c r="AH12" s="12">
        <f>Calc_Revenue_Opex!AH16</f>
        <v>56250</v>
      </c>
      <c r="AI12" s="12">
        <f>Calc_Revenue_Opex!AI16</f>
        <v>56250</v>
      </c>
      <c r="AJ12" s="12">
        <f>Calc_Revenue_Opex!AJ16</f>
        <v>56250</v>
      </c>
      <c r="AK12" s="12">
        <f>Calc_Revenue_Opex!AK16</f>
        <v>56250</v>
      </c>
      <c r="AL12" s="12">
        <f>Calc_Revenue_Opex!AL16</f>
        <v>56250</v>
      </c>
      <c r="AM12" s="12">
        <f>Calc_Revenue_Opex!AM16</f>
        <v>56250</v>
      </c>
      <c r="AN12" s="12">
        <f>Calc_Revenue_Opex!AN16</f>
        <v>56250</v>
      </c>
      <c r="AO12" s="12">
        <f>Calc_Revenue_Opex!AO16</f>
        <v>56250</v>
      </c>
      <c r="AP12" s="12">
        <f>Calc_Revenue_Opex!AP16</f>
        <v>2056250</v>
      </c>
      <c r="AQ12" s="12">
        <f>Calc_Revenue_Opex!AQ16</f>
        <v>56250</v>
      </c>
      <c r="AR12" s="12">
        <f>Calc_Revenue_Opex!AR16</f>
        <v>56250</v>
      </c>
      <c r="AS12" s="12">
        <f>Calc_Revenue_Opex!AS16</f>
        <v>56250</v>
      </c>
      <c r="AT12" s="12">
        <f>Calc_Revenue_Opex!AT16</f>
        <v>56250</v>
      </c>
      <c r="AU12" s="12">
        <f>Calc_Revenue_Opex!AU16</f>
        <v>56250</v>
      </c>
      <c r="AV12" s="12">
        <f>Calc_Revenue_Opex!AV16</f>
        <v>56250</v>
      </c>
      <c r="AW12" s="12">
        <f>Calc_Revenue_Opex!AW16</f>
        <v>56250</v>
      </c>
      <c r="AX12" s="12">
        <f>Calc_Revenue_Opex!AX16</f>
        <v>56250</v>
      </c>
      <c r="AY12" s="12">
        <f>Calc_Revenue_Opex!AY16</f>
        <v>56250</v>
      </c>
      <c r="AZ12" s="12">
        <f>Calc_Revenue_Opex!AZ16</f>
        <v>56250</v>
      </c>
      <c r="BA12" s="12">
        <f>Calc_Revenue_Opex!BA16</f>
        <v>56250</v>
      </c>
      <c r="BB12" s="12">
        <f>Calc_Revenue_Opex!BB16</f>
        <v>56250</v>
      </c>
      <c r="BC12" s="12">
        <f>Calc_Revenue_Opex!BC16</f>
        <v>56250</v>
      </c>
      <c r="BD12" s="12">
        <f>Calc_Revenue_Opex!BD16</f>
        <v>56250</v>
      </c>
      <c r="BE12" s="12">
        <f>Calc_Revenue_Opex!BE16</f>
        <v>56250</v>
      </c>
      <c r="BF12" s="12">
        <f>Calc_Revenue_Opex!BF16</f>
        <v>56250</v>
      </c>
      <c r="BG12" s="12">
        <f>Calc_Revenue_Opex!BG16</f>
        <v>56250</v>
      </c>
      <c r="BH12" s="12">
        <f>Calc_Revenue_Opex!BH16</f>
        <v>56250</v>
      </c>
      <c r="BI12" s="12">
        <f>Calc_Revenue_Opex!BI16</f>
        <v>56250</v>
      </c>
      <c r="BJ12" s="12">
        <f>Calc_Revenue_Opex!BJ16</f>
        <v>2056250</v>
      </c>
      <c r="BK12" s="12">
        <f>Calc_Revenue_Opex!BK16</f>
        <v>56250</v>
      </c>
      <c r="BL12" s="12">
        <f>Calc_Revenue_Opex!BL16</f>
        <v>56250</v>
      </c>
      <c r="BM12" s="12">
        <f>Calc_Revenue_Opex!BM16</f>
        <v>56250</v>
      </c>
      <c r="BN12" s="12">
        <f>Calc_Revenue_Opex!BN16</f>
        <v>56250</v>
      </c>
      <c r="BO12" s="12">
        <f>Calc_Revenue_Opex!BO16</f>
        <v>56250</v>
      </c>
      <c r="BP12" s="12">
        <f>Calc_Revenue_Opex!BP16</f>
        <v>56250</v>
      </c>
      <c r="BQ12" s="12">
        <f>Calc_Revenue_Opex!BQ16</f>
        <v>56250</v>
      </c>
      <c r="BR12" s="12">
        <f>Calc_Revenue_Opex!BR16</f>
        <v>56250</v>
      </c>
      <c r="BS12" s="12">
        <f>Calc_Revenue_Opex!BS16</f>
        <v>56250</v>
      </c>
      <c r="BT12" s="12">
        <f>Calc_Revenue_Opex!BT16</f>
        <v>56250</v>
      </c>
      <c r="BU12" s="12">
        <f>Calc_Revenue_Opex!BU16</f>
        <v>56250</v>
      </c>
      <c r="BV12" s="12">
        <f>Calc_Revenue_Opex!BV16</f>
        <v>56250</v>
      </c>
      <c r="BW12" s="12">
        <f>Calc_Revenue_Opex!BW16</f>
        <v>56250</v>
      </c>
      <c r="BX12" s="12">
        <f>Calc_Revenue_Opex!BX16</f>
        <v>56250</v>
      </c>
      <c r="BY12" s="12">
        <f>Calc_Revenue_Opex!BY16</f>
        <v>56250</v>
      </c>
      <c r="BZ12" s="12">
        <f>Calc_Revenue_Opex!BZ16</f>
        <v>56250</v>
      </c>
      <c r="CA12" s="12">
        <f>Calc_Revenue_Opex!CA16</f>
        <v>56250</v>
      </c>
      <c r="CB12" s="12">
        <f>Calc_Revenue_Opex!CB16</f>
        <v>56250</v>
      </c>
      <c r="CC12" s="12">
        <f>Calc_Revenue_Opex!CC16</f>
        <v>56250</v>
      </c>
      <c r="CD12" s="12">
        <f>Calc_Revenue_Opex!CD16</f>
        <v>2056250</v>
      </c>
    </row>
    <row r="13" spans="1:82" x14ac:dyDescent="0.45">
      <c r="A13" t="s">
        <v>196</v>
      </c>
      <c r="C13" s="18">
        <f>SUM(C12:C12)/($B$5*4)</f>
        <v>1406.25</v>
      </c>
      <c r="D13" s="18">
        <f>SUM(C12:D12)/($B$5*4)</f>
        <v>2812.5</v>
      </c>
      <c r="E13" s="18">
        <f>SUM(C12:E12)/($B$5*4)</f>
        <v>4218.75</v>
      </c>
      <c r="F13" s="18">
        <f>SUM(C12:F12)/($B$5*4)</f>
        <v>5625</v>
      </c>
      <c r="G13" s="18">
        <f>SUM(C12:G12)/($B$5*4)</f>
        <v>7031.25</v>
      </c>
      <c r="H13" s="18">
        <f>SUM(C12:H12)/($B$5*4)</f>
        <v>8437.5</v>
      </c>
      <c r="I13" s="18">
        <f>SUM(C12:I12)/($B$5*4)</f>
        <v>9843.75</v>
      </c>
      <c r="J13" s="18">
        <f>SUM(C12:J12)/($B$5*4)</f>
        <v>11250</v>
      </c>
      <c r="K13" s="18">
        <f>SUM(C12:K12)/($B$5*4)</f>
        <v>12656.25</v>
      </c>
      <c r="L13" s="18">
        <f>SUM(C12:L12)/($B$5*4)</f>
        <v>14062.5</v>
      </c>
      <c r="M13" s="18">
        <f>SUM(C12:M12)/($B$5*4)</f>
        <v>15468.75</v>
      </c>
      <c r="N13" s="18">
        <f>SUM(C12:N12)/($B$5*4)</f>
        <v>16875</v>
      </c>
      <c r="O13" s="18">
        <f>SUM(C12:O12)/($B$5*4)</f>
        <v>18281.25</v>
      </c>
      <c r="P13" s="18">
        <f>SUM(C12:P12)/($B$5*4)</f>
        <v>19687.5</v>
      </c>
      <c r="Q13" s="18">
        <f>SUM(C12:Q12)/($B$5*4)</f>
        <v>21093.75</v>
      </c>
      <c r="R13" s="18">
        <f>SUM(C12:R12)/($B$5*4)</f>
        <v>22500</v>
      </c>
      <c r="S13" s="18">
        <f>SUM(C12:S12)/($B$5*4)</f>
        <v>23906.25</v>
      </c>
      <c r="T13" s="18">
        <f>SUM(C12:T12)/($B$5*4)</f>
        <v>25312.5</v>
      </c>
      <c r="U13" s="18">
        <f>SUM(C12:U12)/($B$5*4)</f>
        <v>26718.75</v>
      </c>
      <c r="V13" s="18">
        <f>SUM(C12:V12)/($B$5*4)</f>
        <v>78125</v>
      </c>
      <c r="W13" s="18">
        <f>SUM(C12:W12)/($B$5*4)</f>
        <v>79531.25</v>
      </c>
      <c r="X13" s="18">
        <f>SUM(C12:X12)/($B$5*4)</f>
        <v>80937.5</v>
      </c>
      <c r="Y13" s="18">
        <f>SUM(C12:Y12)/($B$5*4)</f>
        <v>82343.75</v>
      </c>
      <c r="Z13" s="18">
        <f>SUM(C12:Z12)/($B$5*4)</f>
        <v>83750</v>
      </c>
      <c r="AA13" s="18">
        <f>SUM(C12:AA12)/($B$5*4)</f>
        <v>85156.25</v>
      </c>
      <c r="AB13" s="18">
        <f>SUM(C12:AB12)/($B$5*4)</f>
        <v>86562.5</v>
      </c>
      <c r="AC13" s="18">
        <f>SUM(C12:AC12)/($B$5*4)</f>
        <v>87968.75</v>
      </c>
      <c r="AD13" s="18">
        <f>SUM(C12:AD12)/($B$5*4)</f>
        <v>89375</v>
      </c>
      <c r="AE13" s="18">
        <f>SUM(C12:AE12)/($B$5*4)</f>
        <v>90781.25</v>
      </c>
      <c r="AF13" s="18">
        <f>SUM(C12:AF12)/($B$5*4)</f>
        <v>92187.5</v>
      </c>
      <c r="AG13" s="18">
        <f>SUM(C12:AG12)/($B$5*4)</f>
        <v>93593.75</v>
      </c>
      <c r="AH13" s="18">
        <f>SUM(C12:AH12)/($B$5*4)</f>
        <v>95000</v>
      </c>
      <c r="AI13" s="18">
        <f>SUM(C12:AI12)/($B$5*4)</f>
        <v>96406.25</v>
      </c>
      <c r="AJ13" s="18">
        <f>SUM(C12:AJ12)/($B$5*4)</f>
        <v>97812.5</v>
      </c>
      <c r="AK13" s="18">
        <f>SUM(C12:AK12)/($B$5*4)</f>
        <v>99218.75</v>
      </c>
      <c r="AL13" s="18">
        <f>SUM(C12:AL12)/($B$5*4)</f>
        <v>100625</v>
      </c>
      <c r="AM13" s="18">
        <f>SUM(C12:AM12)/($B$5*4)</f>
        <v>102031.25</v>
      </c>
      <c r="AN13" s="18">
        <f>SUM(C12:AN12)/($B$5*4)</f>
        <v>103437.5</v>
      </c>
      <c r="AO13" s="18">
        <f>SUM(C12:AO12)/($B$5*4)</f>
        <v>104843.75</v>
      </c>
      <c r="AP13" s="18">
        <f t="shared" ref="AP13:CD13" si="0">SUM(C12:AP12)/($B$5*4)</f>
        <v>156250</v>
      </c>
      <c r="AQ13" s="18">
        <f t="shared" si="0"/>
        <v>156250</v>
      </c>
      <c r="AR13" s="18">
        <f t="shared" si="0"/>
        <v>156250</v>
      </c>
      <c r="AS13" s="18">
        <f t="shared" si="0"/>
        <v>156250</v>
      </c>
      <c r="AT13" s="18">
        <f t="shared" si="0"/>
        <v>156250</v>
      </c>
      <c r="AU13" s="18">
        <f t="shared" si="0"/>
        <v>156250</v>
      </c>
      <c r="AV13" s="18">
        <f t="shared" si="0"/>
        <v>156250</v>
      </c>
      <c r="AW13" s="18">
        <f t="shared" si="0"/>
        <v>156250</v>
      </c>
      <c r="AX13" s="18">
        <f t="shared" si="0"/>
        <v>156250</v>
      </c>
      <c r="AY13" s="18">
        <f t="shared" si="0"/>
        <v>156250</v>
      </c>
      <c r="AZ13" s="18">
        <f t="shared" si="0"/>
        <v>156250</v>
      </c>
      <c r="BA13" s="18">
        <f t="shared" si="0"/>
        <v>156250</v>
      </c>
      <c r="BB13" s="18">
        <f t="shared" si="0"/>
        <v>156250</v>
      </c>
      <c r="BC13" s="18">
        <f t="shared" si="0"/>
        <v>156250</v>
      </c>
      <c r="BD13" s="18">
        <f t="shared" si="0"/>
        <v>156250</v>
      </c>
      <c r="BE13" s="18">
        <f t="shared" si="0"/>
        <v>156250</v>
      </c>
      <c r="BF13" s="18">
        <f t="shared" si="0"/>
        <v>156250</v>
      </c>
      <c r="BG13" s="18">
        <f t="shared" si="0"/>
        <v>156250</v>
      </c>
      <c r="BH13" s="18">
        <f t="shared" si="0"/>
        <v>156250</v>
      </c>
      <c r="BI13" s="18">
        <f t="shared" si="0"/>
        <v>156250</v>
      </c>
      <c r="BJ13" s="18">
        <f t="shared" si="0"/>
        <v>156250</v>
      </c>
      <c r="BK13" s="18">
        <f t="shared" si="0"/>
        <v>156250</v>
      </c>
      <c r="BL13" s="18">
        <f t="shared" si="0"/>
        <v>156250</v>
      </c>
      <c r="BM13" s="18">
        <f t="shared" si="0"/>
        <v>156250</v>
      </c>
      <c r="BN13" s="18">
        <f t="shared" si="0"/>
        <v>156250</v>
      </c>
      <c r="BO13" s="18">
        <f t="shared" si="0"/>
        <v>156250</v>
      </c>
      <c r="BP13" s="18">
        <f t="shared" si="0"/>
        <v>156250</v>
      </c>
      <c r="BQ13" s="18">
        <f t="shared" si="0"/>
        <v>156250</v>
      </c>
      <c r="BR13" s="18">
        <f t="shared" si="0"/>
        <v>156250</v>
      </c>
      <c r="BS13" s="18">
        <f t="shared" si="0"/>
        <v>156250</v>
      </c>
      <c r="BT13" s="18">
        <f t="shared" si="0"/>
        <v>156250</v>
      </c>
      <c r="BU13" s="18">
        <f t="shared" si="0"/>
        <v>156250</v>
      </c>
      <c r="BV13" s="18">
        <f t="shared" si="0"/>
        <v>156250</v>
      </c>
      <c r="BW13" s="18">
        <f t="shared" si="0"/>
        <v>156250</v>
      </c>
      <c r="BX13" s="18">
        <f t="shared" si="0"/>
        <v>156250</v>
      </c>
      <c r="BY13" s="18">
        <f t="shared" si="0"/>
        <v>156250</v>
      </c>
      <c r="BZ13" s="18">
        <f t="shared" si="0"/>
        <v>156250</v>
      </c>
      <c r="CA13" s="18">
        <f t="shared" si="0"/>
        <v>156250</v>
      </c>
      <c r="CB13" s="18">
        <f t="shared" si="0"/>
        <v>156250</v>
      </c>
      <c r="CC13" s="18">
        <f t="shared" si="0"/>
        <v>156250</v>
      </c>
      <c r="CD13" s="18">
        <f t="shared" si="0"/>
        <v>156250</v>
      </c>
    </row>
    <row r="14" spans="1:82" x14ac:dyDescent="0.45">
      <c r="A14" t="s">
        <v>197</v>
      </c>
      <c r="C14" s="18">
        <f t="shared" ref="C14:AH14" si="1">C11+C13</f>
        <v>1307410.3005356363</v>
      </c>
      <c r="D14" s="18">
        <f t="shared" si="1"/>
        <v>1308816.5505356363</v>
      </c>
      <c r="E14" s="18">
        <f t="shared" si="1"/>
        <v>1310222.8005356363</v>
      </c>
      <c r="F14" s="18">
        <f t="shared" si="1"/>
        <v>1311629.0505356363</v>
      </c>
      <c r="G14" s="18">
        <f t="shared" si="1"/>
        <v>1313035.3005356363</v>
      </c>
      <c r="H14" s="18">
        <f t="shared" si="1"/>
        <v>1314441.5505356363</v>
      </c>
      <c r="I14" s="18">
        <f t="shared" si="1"/>
        <v>1315847.8005356363</v>
      </c>
      <c r="J14" s="18">
        <f t="shared" si="1"/>
        <v>1317254.0505356363</v>
      </c>
      <c r="K14" s="18">
        <f t="shared" si="1"/>
        <v>1318660.3005356363</v>
      </c>
      <c r="L14" s="18">
        <f t="shared" si="1"/>
        <v>1320066.5505356363</v>
      </c>
      <c r="M14" s="18">
        <f t="shared" si="1"/>
        <v>1321472.8005356363</v>
      </c>
      <c r="N14" s="18">
        <f t="shared" si="1"/>
        <v>1322879.0505356363</v>
      </c>
      <c r="O14" s="18">
        <f t="shared" si="1"/>
        <v>1324285.3005356363</v>
      </c>
      <c r="P14" s="18">
        <f t="shared" si="1"/>
        <v>1325691.5505356363</v>
      </c>
      <c r="Q14" s="18">
        <f t="shared" si="1"/>
        <v>1327097.8005356363</v>
      </c>
      <c r="R14" s="18">
        <f t="shared" si="1"/>
        <v>1328504.0505356363</v>
      </c>
      <c r="S14" s="18">
        <f t="shared" si="1"/>
        <v>1329910.3005356363</v>
      </c>
      <c r="T14" s="18">
        <f t="shared" si="1"/>
        <v>1331316.5505356363</v>
      </c>
      <c r="U14" s="18">
        <f t="shared" si="1"/>
        <v>1332722.8005356363</v>
      </c>
      <c r="V14" s="18">
        <f t="shared" si="1"/>
        <v>1384129.0505356363</v>
      </c>
      <c r="W14" s="18">
        <f t="shared" si="1"/>
        <v>1385535.3005356363</v>
      </c>
      <c r="X14" s="18">
        <f t="shared" si="1"/>
        <v>1386941.5505356363</v>
      </c>
      <c r="Y14" s="18">
        <f t="shared" si="1"/>
        <v>1388347.8005356363</v>
      </c>
      <c r="Z14" s="18">
        <f t="shared" si="1"/>
        <v>1389754.0505356363</v>
      </c>
      <c r="AA14" s="18">
        <f t="shared" si="1"/>
        <v>1391160.3005356363</v>
      </c>
      <c r="AB14" s="18">
        <f t="shared" si="1"/>
        <v>1392566.5505356363</v>
      </c>
      <c r="AC14" s="18">
        <f t="shared" si="1"/>
        <v>1393972.8005356363</v>
      </c>
      <c r="AD14" s="18">
        <f t="shared" si="1"/>
        <v>1395379.0505356363</v>
      </c>
      <c r="AE14" s="18">
        <f t="shared" si="1"/>
        <v>1396785.3005356363</v>
      </c>
      <c r="AF14" s="18">
        <f t="shared" si="1"/>
        <v>1398191.5505356363</v>
      </c>
      <c r="AG14" s="18">
        <f t="shared" si="1"/>
        <v>1399597.8005356363</v>
      </c>
      <c r="AH14" s="18">
        <f t="shared" si="1"/>
        <v>1401004.0505356363</v>
      </c>
      <c r="AI14" s="18">
        <f t="shared" ref="AI14:BN14" si="2">AI11+AI13</f>
        <v>1402410.3005356363</v>
      </c>
      <c r="AJ14" s="18">
        <f t="shared" si="2"/>
        <v>1403816.5505356363</v>
      </c>
      <c r="AK14" s="18">
        <f t="shared" si="2"/>
        <v>1405222.8005356363</v>
      </c>
      <c r="AL14" s="18">
        <f t="shared" si="2"/>
        <v>1406629.0505356363</v>
      </c>
      <c r="AM14" s="18">
        <f t="shared" si="2"/>
        <v>1408035.3005356363</v>
      </c>
      <c r="AN14" s="18">
        <f t="shared" si="2"/>
        <v>1409441.5505356363</v>
      </c>
      <c r="AO14" s="18">
        <f t="shared" si="2"/>
        <v>1410847.8005356363</v>
      </c>
      <c r="AP14" s="18">
        <f t="shared" si="2"/>
        <v>1462254.0505356363</v>
      </c>
      <c r="AQ14" s="18">
        <f t="shared" si="2"/>
        <v>1462254.0505356363</v>
      </c>
      <c r="AR14" s="18">
        <f t="shared" si="2"/>
        <v>1462254.0505356363</v>
      </c>
      <c r="AS14" s="18">
        <f t="shared" si="2"/>
        <v>1462254.0505356363</v>
      </c>
      <c r="AT14" s="18">
        <f t="shared" si="2"/>
        <v>1462254.0505356363</v>
      </c>
      <c r="AU14" s="18">
        <f t="shared" si="2"/>
        <v>1462254.0505356363</v>
      </c>
      <c r="AV14" s="18">
        <f t="shared" si="2"/>
        <v>1462254.0505356363</v>
      </c>
      <c r="AW14" s="18">
        <f t="shared" si="2"/>
        <v>1462254.0505356363</v>
      </c>
      <c r="AX14" s="18">
        <f t="shared" si="2"/>
        <v>1462254.0505356363</v>
      </c>
      <c r="AY14" s="18">
        <f t="shared" si="2"/>
        <v>1462254.0505356363</v>
      </c>
      <c r="AZ14" s="18">
        <f t="shared" si="2"/>
        <v>1462254.0505356363</v>
      </c>
      <c r="BA14" s="18">
        <f t="shared" si="2"/>
        <v>1462254.0505356363</v>
      </c>
      <c r="BB14" s="18">
        <f t="shared" si="2"/>
        <v>1462254.0505356363</v>
      </c>
      <c r="BC14" s="18">
        <f t="shared" si="2"/>
        <v>1462254.0505356363</v>
      </c>
      <c r="BD14" s="18">
        <f t="shared" si="2"/>
        <v>1462254.0505356363</v>
      </c>
      <c r="BE14" s="18">
        <f t="shared" si="2"/>
        <v>1462254.0505356363</v>
      </c>
      <c r="BF14" s="18">
        <f t="shared" si="2"/>
        <v>1462254.0505356363</v>
      </c>
      <c r="BG14" s="18">
        <f t="shared" si="2"/>
        <v>1462254.0505356363</v>
      </c>
      <c r="BH14" s="18">
        <f t="shared" si="2"/>
        <v>1462254.0505356363</v>
      </c>
      <c r="BI14" s="18">
        <f t="shared" si="2"/>
        <v>1462254.0505356363</v>
      </c>
      <c r="BJ14" s="18">
        <f t="shared" si="2"/>
        <v>1462254.0505356363</v>
      </c>
      <c r="BK14" s="18">
        <f t="shared" si="2"/>
        <v>1462254.0505356363</v>
      </c>
      <c r="BL14" s="18">
        <f t="shared" si="2"/>
        <v>1462254.0505356363</v>
      </c>
      <c r="BM14" s="18">
        <f t="shared" si="2"/>
        <v>1462254.0505356363</v>
      </c>
      <c r="BN14" s="18">
        <f t="shared" si="2"/>
        <v>1462254.0505356363</v>
      </c>
      <c r="BO14" s="18">
        <f t="shared" ref="BO14:CD14" si="3">BO11+BO13</f>
        <v>1462254.0505356363</v>
      </c>
      <c r="BP14" s="18">
        <f t="shared" si="3"/>
        <v>1462254.0505356363</v>
      </c>
      <c r="BQ14" s="18">
        <f t="shared" si="3"/>
        <v>1462254.0505356363</v>
      </c>
      <c r="BR14" s="18">
        <f t="shared" si="3"/>
        <v>1462254.0505356363</v>
      </c>
      <c r="BS14" s="18">
        <f t="shared" si="3"/>
        <v>1462254.0505356363</v>
      </c>
      <c r="BT14" s="18">
        <f t="shared" si="3"/>
        <v>1462254.0505356363</v>
      </c>
      <c r="BU14" s="18">
        <f t="shared" si="3"/>
        <v>1462254.0505356363</v>
      </c>
      <c r="BV14" s="18">
        <f t="shared" si="3"/>
        <v>1462254.0505356363</v>
      </c>
      <c r="BW14" s="18">
        <f t="shared" si="3"/>
        <v>1462254.0505356363</v>
      </c>
      <c r="BX14" s="18">
        <f t="shared" si="3"/>
        <v>1462254.0505356363</v>
      </c>
      <c r="BY14" s="18">
        <f t="shared" si="3"/>
        <v>1462254.0505356363</v>
      </c>
      <c r="BZ14" s="18">
        <f t="shared" si="3"/>
        <v>1462254.0505356363</v>
      </c>
      <c r="CA14" s="18">
        <f t="shared" si="3"/>
        <v>1462254.0505356363</v>
      </c>
      <c r="CB14" s="18">
        <f t="shared" si="3"/>
        <v>1462254.0505356363</v>
      </c>
      <c r="CC14" s="18">
        <f t="shared" si="3"/>
        <v>1462254.0505356363</v>
      </c>
      <c r="CD14" s="18">
        <f t="shared" si="3"/>
        <v>1462254.0505356363</v>
      </c>
    </row>
    <row r="15" spans="1:82" x14ac:dyDescent="0.45">
      <c r="A15" t="s">
        <v>198</v>
      </c>
      <c r="C15" s="12">
        <f>Calc_Financing_Ops!C19</f>
        <v>1134192.9550605789</v>
      </c>
      <c r="D15" s="12">
        <f>Calc_Financing_Ops!D19</f>
        <v>1121446.4169184214</v>
      </c>
      <c r="E15" s="12">
        <f>Calc_Financing_Ops!E19</f>
        <v>1108541.3930737728</v>
      </c>
      <c r="F15" s="12">
        <f>Calc_Financing_Ops!F19</f>
        <v>1095475.9634113905</v>
      </c>
      <c r="G15" s="12">
        <f>Calc_Financing_Ops!G19</f>
        <v>1082248.1845530989</v>
      </c>
      <c r="H15" s="12">
        <f>Calc_Financing_Ops!H19</f>
        <v>1068856.089575947</v>
      </c>
      <c r="I15" s="12">
        <f>Calc_Financing_Ops!I19</f>
        <v>1055297.6877269568</v>
      </c>
      <c r="J15" s="12">
        <f>Calc_Financing_Ops!J19</f>
        <v>1041570.9641344113</v>
      </c>
      <c r="K15" s="12">
        <f>Calc_Financing_Ops!K19</f>
        <v>1027673.8795156485</v>
      </c>
      <c r="L15" s="12">
        <f>Calc_Financing_Ops!L19</f>
        <v>1013604.369881312</v>
      </c>
      <c r="M15" s="12">
        <f>Calc_Financing_Ops!M19</f>
        <v>999360.34623602137</v>
      </c>
      <c r="N15" s="12">
        <f>Calc_Financing_Ops!N19</f>
        <v>984939.69427541259</v>
      </c>
      <c r="O15" s="12">
        <f>Calc_Financing_Ops!O19</f>
        <v>970340.27407951199</v>
      </c>
      <c r="P15" s="12">
        <f>Calc_Financing_Ops!P19</f>
        <v>955559.91980239179</v>
      </c>
      <c r="Q15" s="12">
        <f>Calc_Financing_Ops!Q19</f>
        <v>940596.43935806793</v>
      </c>
      <c r="R15" s="12">
        <f>Calc_Financing_Ops!R19</f>
        <v>925447.61410259164</v>
      </c>
      <c r="S15" s="12">
        <f>Calc_Financing_Ops!S19</f>
        <v>910111.19851228944</v>
      </c>
      <c r="T15" s="12">
        <f>Calc_Financing_Ops!T19</f>
        <v>894584.91985810478</v>
      </c>
      <c r="U15" s="12">
        <f>Calc_Financing_Ops!U19</f>
        <v>878866.47787599452</v>
      </c>
      <c r="V15" s="12">
        <f>Calc_Financing_Ops!V19</f>
        <v>862953.54443333158</v>
      </c>
      <c r="W15" s="12">
        <f>Calc_Financing_Ops!W19</f>
        <v>846699.53242203651</v>
      </c>
      <c r="X15" s="12">
        <f>Calc_Financing_Ops!X19</f>
        <v>830244.54031329683</v>
      </c>
      <c r="Y15" s="12">
        <f>Calc_Financing_Ops!Y19</f>
        <v>813586.13315593207</v>
      </c>
      <c r="Z15" s="12">
        <f>Calc_Financing_Ops!Z19</f>
        <v>796721.84649839147</v>
      </c>
      <c r="AA15" s="12">
        <f>Calc_Financing_Ops!AA19</f>
        <v>779649.18603134609</v>
      </c>
      <c r="AB15" s="12">
        <f>Calc_Financing_Ops!AB19</f>
        <v>762365.62722595001</v>
      </c>
      <c r="AC15" s="12">
        <f>Calc_Financing_Ops!AC19</f>
        <v>744868.6149677193</v>
      </c>
      <c r="AD15" s="12">
        <f>Calc_Financing_Ops!AD19</f>
        <v>727155.56318597554</v>
      </c>
      <c r="AE15" s="12">
        <f>Calc_Financing_Ops!AE19</f>
        <v>709223.85447879892</v>
      </c>
      <c r="AF15" s="12">
        <f>Calc_Financing_Ops!AF19</f>
        <v>691070.83973343926</v>
      </c>
      <c r="AG15" s="12">
        <f>Calc_Financing_Ops!AG19</f>
        <v>672693.83774212631</v>
      </c>
      <c r="AH15" s="12">
        <f>Calc_Financing_Ops!AH19</f>
        <v>654090.13481322618</v>
      </c>
      <c r="AI15" s="12">
        <f>Calc_Financing_Ops!AI19</f>
        <v>635256.98437768745</v>
      </c>
      <c r="AJ15" s="12">
        <f>Calc_Financing_Ops!AJ19</f>
        <v>616191.60659071815</v>
      </c>
      <c r="AK15" s="12">
        <f>Calc_Financing_Ops!AK19</f>
        <v>596891.18792863749</v>
      </c>
      <c r="AL15" s="12">
        <f>Calc_Financing_Ops!AL19</f>
        <v>577352.8807808432</v>
      </c>
      <c r="AM15" s="12">
        <f>Calc_Financing_Ops!AM19</f>
        <v>557573.80303683516</v>
      </c>
      <c r="AN15" s="12">
        <f>Calc_Financing_Ops!AN19</f>
        <v>537551.0376682363</v>
      </c>
      <c r="AO15" s="12">
        <f>Calc_Financing_Ops!AO19</f>
        <v>517281.63230574864</v>
      </c>
      <c r="AP15" s="12">
        <f>Calc_Financing_Ops!AP19</f>
        <v>496762.59881098475</v>
      </c>
      <c r="AQ15" s="12">
        <f>Calc_Financing_Ops!AQ19</f>
        <v>475846.68207388039</v>
      </c>
      <c r="AR15" s="12">
        <f>Calc_Financing_Ops!AR19</f>
        <v>454677.36096092273</v>
      </c>
      <c r="AS15" s="12">
        <f>Calc_Financing_Ops!AS19</f>
        <v>433251.56538063491</v>
      </c>
      <c r="AT15" s="12">
        <f>Calc_Financing_Ops!AT19</f>
        <v>411566.18804620131</v>
      </c>
      <c r="AU15" s="12">
        <f>Calc_Financing_Ops!AU19</f>
        <v>389618.08402483136</v>
      </c>
      <c r="AV15" s="12">
        <f>Calc_Financing_Ops!AV19</f>
        <v>367404.07028166403</v>
      </c>
      <c r="AW15" s="12">
        <f>Calc_Financing_Ops!AW19</f>
        <v>344920.92521814676</v>
      </c>
      <c r="AX15" s="12">
        <f>Calc_Financing_Ops!AX19</f>
        <v>322165.38820482156</v>
      </c>
      <c r="AY15" s="12">
        <f>Calc_Financing_Ops!AY19</f>
        <v>299134.15910845023</v>
      </c>
      <c r="AZ15" s="12">
        <f>Calc_Financing_Ops!AZ19</f>
        <v>275823.89781341137</v>
      </c>
      <c r="BA15" s="12">
        <f>Calc_Financing_Ops!BA19</f>
        <v>252231.22373729796</v>
      </c>
      <c r="BB15" s="12">
        <f>Calc_Financing_Ops!BB19</f>
        <v>228352.71534064706</v>
      </c>
      <c r="BC15" s="12">
        <f>Calc_Financing_Ops!BC19</f>
        <v>204184.90963072903</v>
      </c>
      <c r="BD15" s="12">
        <f>Calc_Financing_Ops!BD19</f>
        <v>179724.30165932546</v>
      </c>
      <c r="BE15" s="12">
        <f>Calc_Financing_Ops!BE19</f>
        <v>154967.34401442218</v>
      </c>
      <c r="BF15" s="12">
        <f>Calc_Financing_Ops!BF19</f>
        <v>129910.44630574412</v>
      </c>
      <c r="BG15" s="12">
        <f>Calc_Financing_Ops!BG19</f>
        <v>104549.97464405706</v>
      </c>
      <c r="BH15" s="12">
        <f>Calc_Financing_Ops!BH19</f>
        <v>78882.251114161118</v>
      </c>
      <c r="BI15" s="12">
        <f>Calc_Financing_Ops!BI19</f>
        <v>52903.553241499118</v>
      </c>
      <c r="BJ15" s="12">
        <f>Calc_Financing_Ops!BJ19</f>
        <v>26610.11345230295</v>
      </c>
      <c r="BK15" s="12">
        <f>Calc_Financing_Ops!BK19</f>
        <v>0</v>
      </c>
      <c r="BL15" s="12">
        <f>Calc_Financing_Ops!BL19</f>
        <v>0</v>
      </c>
      <c r="BM15" s="12">
        <f>Calc_Financing_Ops!BM19</f>
        <v>0</v>
      </c>
      <c r="BN15" s="12">
        <f>Calc_Financing_Ops!BN19</f>
        <v>0</v>
      </c>
      <c r="BO15" s="12">
        <f>Calc_Financing_Ops!BO19</f>
        <v>0</v>
      </c>
      <c r="BP15" s="12">
        <f>Calc_Financing_Ops!BP19</f>
        <v>0</v>
      </c>
      <c r="BQ15" s="12">
        <f>Calc_Financing_Ops!BQ19</f>
        <v>0</v>
      </c>
      <c r="BR15" s="12">
        <f>Calc_Financing_Ops!BR19</f>
        <v>0</v>
      </c>
      <c r="BS15" s="12">
        <f>Calc_Financing_Ops!BS19</f>
        <v>0</v>
      </c>
      <c r="BT15" s="12">
        <f>Calc_Financing_Ops!BT19</f>
        <v>0</v>
      </c>
      <c r="BU15" s="12">
        <f>Calc_Financing_Ops!BU19</f>
        <v>0</v>
      </c>
      <c r="BV15" s="12">
        <f>Calc_Financing_Ops!BV19</f>
        <v>0</v>
      </c>
      <c r="BW15" s="12">
        <f>Calc_Financing_Ops!BW19</f>
        <v>0</v>
      </c>
      <c r="BX15" s="12">
        <f>Calc_Financing_Ops!BX19</f>
        <v>0</v>
      </c>
      <c r="BY15" s="12">
        <f>Calc_Financing_Ops!BY19</f>
        <v>0</v>
      </c>
      <c r="BZ15" s="12">
        <f>Calc_Financing_Ops!BZ19</f>
        <v>0</v>
      </c>
      <c r="CA15" s="12">
        <f>Calc_Financing_Ops!CA19</f>
        <v>0</v>
      </c>
      <c r="CB15" s="12">
        <f>Calc_Financing_Ops!CB19</f>
        <v>0</v>
      </c>
      <c r="CC15" s="12">
        <f>Calc_Financing_Ops!CC19</f>
        <v>0</v>
      </c>
      <c r="CD15" s="12">
        <f>Calc_Financing_Ops!CD19</f>
        <v>0</v>
      </c>
    </row>
    <row r="16" spans="1:82" x14ac:dyDescent="0.45">
      <c r="A16" t="s">
        <v>199</v>
      </c>
      <c r="C16" s="18">
        <f t="shared" ref="C16:AH16" si="4">C10-C14-C15</f>
        <v>183396.74440378486</v>
      </c>
      <c r="D16" s="18">
        <f t="shared" si="4"/>
        <v>194737.03254594235</v>
      </c>
      <c r="E16" s="18">
        <f t="shared" si="4"/>
        <v>206235.80639059097</v>
      </c>
      <c r="F16" s="18">
        <f t="shared" si="4"/>
        <v>217894.9860529732</v>
      </c>
      <c r="G16" s="18">
        <f t="shared" si="4"/>
        <v>229716.51491126488</v>
      </c>
      <c r="H16" s="18">
        <f t="shared" si="4"/>
        <v>241702.35988841671</v>
      </c>
      <c r="I16" s="18">
        <f t="shared" si="4"/>
        <v>253854.51173740695</v>
      </c>
      <c r="J16" s="18">
        <f t="shared" si="4"/>
        <v>266174.98532995244</v>
      </c>
      <c r="K16" s="18">
        <f t="shared" si="4"/>
        <v>278665.81994871527</v>
      </c>
      <c r="L16" s="18">
        <f t="shared" si="4"/>
        <v>291329.07958305173</v>
      </c>
      <c r="M16" s="18">
        <f t="shared" si="4"/>
        <v>304166.85322834237</v>
      </c>
      <c r="N16" s="18">
        <f t="shared" si="4"/>
        <v>317181.25518895115</v>
      </c>
      <c r="O16" s="18">
        <f t="shared" si="4"/>
        <v>330374.42538485175</v>
      </c>
      <c r="P16" s="18">
        <f t="shared" si="4"/>
        <v>343748.52966197196</v>
      </c>
      <c r="Q16" s="18">
        <f t="shared" si="4"/>
        <v>357305.76010629581</v>
      </c>
      <c r="R16" s="18">
        <f t="shared" si="4"/>
        <v>371048.3353617721</v>
      </c>
      <c r="S16" s="18">
        <f t="shared" si="4"/>
        <v>384978.5009520743</v>
      </c>
      <c r="T16" s="18">
        <f t="shared" si="4"/>
        <v>399098.52960625896</v>
      </c>
      <c r="U16" s="18">
        <f t="shared" si="4"/>
        <v>413410.72158836923</v>
      </c>
      <c r="V16" s="18">
        <f t="shared" si="4"/>
        <v>377917.40503103216</v>
      </c>
      <c r="W16" s="18">
        <f t="shared" si="4"/>
        <v>392765.16704232723</v>
      </c>
      <c r="X16" s="18">
        <f t="shared" si="4"/>
        <v>407813.90915106691</v>
      </c>
      <c r="Y16" s="18">
        <f t="shared" si="4"/>
        <v>423066.06630843168</v>
      </c>
      <c r="Z16" s="18">
        <f t="shared" si="4"/>
        <v>438524.10296597227</v>
      </c>
      <c r="AA16" s="18">
        <f t="shared" si="4"/>
        <v>454190.51343301765</v>
      </c>
      <c r="AB16" s="18">
        <f t="shared" si="4"/>
        <v>470067.82223841373</v>
      </c>
      <c r="AC16" s="18">
        <f t="shared" si="4"/>
        <v>486158.58449664444</v>
      </c>
      <c r="AD16" s="18">
        <f t="shared" si="4"/>
        <v>502465.38627838821</v>
      </c>
      <c r="AE16" s="18">
        <f t="shared" si="4"/>
        <v>518990.84498556482</v>
      </c>
      <c r="AF16" s="18">
        <f t="shared" si="4"/>
        <v>535737.60973092448</v>
      </c>
      <c r="AG16" s="18">
        <f t="shared" si="4"/>
        <v>552708.36172223743</v>
      </c>
      <c r="AH16" s="18">
        <f t="shared" si="4"/>
        <v>569905.81465113757</v>
      </c>
      <c r="AI16" s="18">
        <f t="shared" ref="AI16:BN16" si="5">AI10-AI14-AI15</f>
        <v>587332.7150866763</v>
      </c>
      <c r="AJ16" s="18">
        <f t="shared" si="5"/>
        <v>604991.8428736456</v>
      </c>
      <c r="AK16" s="18">
        <f t="shared" si="5"/>
        <v>622886.01153572625</v>
      </c>
      <c r="AL16" s="18">
        <f t="shared" si="5"/>
        <v>641018.06868352054</v>
      </c>
      <c r="AM16" s="18">
        <f t="shared" si="5"/>
        <v>659390.89642752858</v>
      </c>
      <c r="AN16" s="18">
        <f t="shared" si="5"/>
        <v>678007.41179612745</v>
      </c>
      <c r="AO16" s="18">
        <f t="shared" si="5"/>
        <v>696870.5671586151</v>
      </c>
      <c r="AP16" s="18">
        <f t="shared" si="5"/>
        <v>665983.35065337899</v>
      </c>
      <c r="AQ16" s="18">
        <f t="shared" si="5"/>
        <v>686899.26739048329</v>
      </c>
      <c r="AR16" s="18">
        <f t="shared" si="5"/>
        <v>708068.58850344107</v>
      </c>
      <c r="AS16" s="18">
        <f t="shared" si="5"/>
        <v>729494.38408372877</v>
      </c>
      <c r="AT16" s="18">
        <f t="shared" si="5"/>
        <v>751179.76141816238</v>
      </c>
      <c r="AU16" s="18">
        <f t="shared" si="5"/>
        <v>773127.86543953232</v>
      </c>
      <c r="AV16" s="18">
        <f t="shared" si="5"/>
        <v>795341.87918269972</v>
      </c>
      <c r="AW16" s="18">
        <f t="shared" si="5"/>
        <v>817825.02424621698</v>
      </c>
      <c r="AX16" s="18">
        <f t="shared" si="5"/>
        <v>840580.56125954213</v>
      </c>
      <c r="AY16" s="18">
        <f t="shared" si="5"/>
        <v>863611.79035591357</v>
      </c>
      <c r="AZ16" s="18">
        <f t="shared" si="5"/>
        <v>886922.05165095231</v>
      </c>
      <c r="BA16" s="18">
        <f t="shared" si="5"/>
        <v>910514.72572706582</v>
      </c>
      <c r="BB16" s="18">
        <f t="shared" si="5"/>
        <v>934393.23412371671</v>
      </c>
      <c r="BC16" s="18">
        <f t="shared" si="5"/>
        <v>958561.03983363474</v>
      </c>
      <c r="BD16" s="18">
        <f t="shared" si="5"/>
        <v>983021.64780503826</v>
      </c>
      <c r="BE16" s="18">
        <f t="shared" si="5"/>
        <v>1007778.6054499416</v>
      </c>
      <c r="BF16" s="18">
        <f t="shared" si="5"/>
        <v>1032835.5031586196</v>
      </c>
      <c r="BG16" s="18">
        <f t="shared" si="5"/>
        <v>1058195.9748203068</v>
      </c>
      <c r="BH16" s="18">
        <f t="shared" si="5"/>
        <v>1083863.6983502025</v>
      </c>
      <c r="BI16" s="18">
        <f t="shared" si="5"/>
        <v>1109842.3962228647</v>
      </c>
      <c r="BJ16" s="18">
        <f t="shared" si="5"/>
        <v>1136135.8360120608</v>
      </c>
      <c r="BK16" s="18">
        <f t="shared" si="5"/>
        <v>1162745.9494643637</v>
      </c>
      <c r="BL16" s="18">
        <f t="shared" si="5"/>
        <v>1162745.9494643637</v>
      </c>
      <c r="BM16" s="18">
        <f t="shared" si="5"/>
        <v>1162745.9494643637</v>
      </c>
      <c r="BN16" s="18">
        <f t="shared" si="5"/>
        <v>1162745.9494643637</v>
      </c>
      <c r="BO16" s="18">
        <f t="shared" ref="BO16:CD16" si="6">BO10-BO14-BO15</f>
        <v>1162745.9494643637</v>
      </c>
      <c r="BP16" s="18">
        <f t="shared" si="6"/>
        <v>1162745.9494643637</v>
      </c>
      <c r="BQ16" s="18">
        <f t="shared" si="6"/>
        <v>1162745.9494643637</v>
      </c>
      <c r="BR16" s="18">
        <f t="shared" si="6"/>
        <v>1162745.9494643637</v>
      </c>
      <c r="BS16" s="18">
        <f t="shared" si="6"/>
        <v>1162745.9494643637</v>
      </c>
      <c r="BT16" s="18">
        <f t="shared" si="6"/>
        <v>1162745.9494643637</v>
      </c>
      <c r="BU16" s="18">
        <f t="shared" si="6"/>
        <v>1162745.9494643637</v>
      </c>
      <c r="BV16" s="18">
        <f t="shared" si="6"/>
        <v>1162745.9494643637</v>
      </c>
      <c r="BW16" s="18">
        <f t="shared" si="6"/>
        <v>1162745.9494643637</v>
      </c>
      <c r="BX16" s="18">
        <f t="shared" si="6"/>
        <v>1162745.9494643637</v>
      </c>
      <c r="BY16" s="18">
        <f t="shared" si="6"/>
        <v>1162745.9494643637</v>
      </c>
      <c r="BZ16" s="18">
        <f t="shared" si="6"/>
        <v>1162745.9494643637</v>
      </c>
      <c r="CA16" s="18">
        <f t="shared" si="6"/>
        <v>1162745.9494643637</v>
      </c>
      <c r="CB16" s="18">
        <f t="shared" si="6"/>
        <v>1162745.9494643637</v>
      </c>
      <c r="CC16" s="18">
        <f t="shared" si="6"/>
        <v>1162745.9494643637</v>
      </c>
      <c r="CD16" s="18">
        <f t="shared" si="6"/>
        <v>1162745.9494643637</v>
      </c>
    </row>
    <row r="17" spans="1:82" x14ac:dyDescent="0.45">
      <c r="A17" t="s">
        <v>200</v>
      </c>
      <c r="C17" s="18">
        <f t="shared" ref="C17:AH17" si="7">MAX(C16,0)*$B$3</f>
        <v>45849.186100946215</v>
      </c>
      <c r="D17" s="18">
        <f t="shared" si="7"/>
        <v>48684.258136485587</v>
      </c>
      <c r="E17" s="18">
        <f t="shared" si="7"/>
        <v>51558.951597647741</v>
      </c>
      <c r="F17" s="18">
        <f t="shared" si="7"/>
        <v>54473.746513243299</v>
      </c>
      <c r="G17" s="18">
        <f t="shared" si="7"/>
        <v>57429.12872781622</v>
      </c>
      <c r="H17" s="18">
        <f t="shared" si="7"/>
        <v>60425.589972104179</v>
      </c>
      <c r="I17" s="18">
        <f t="shared" si="7"/>
        <v>63463.627934351738</v>
      </c>
      <c r="J17" s="18">
        <f t="shared" si="7"/>
        <v>66543.74633248811</v>
      </c>
      <c r="K17" s="18">
        <f t="shared" si="7"/>
        <v>69666.454987178819</v>
      </c>
      <c r="L17" s="18">
        <f t="shared" si="7"/>
        <v>72832.269895762933</v>
      </c>
      <c r="M17" s="18">
        <f t="shared" si="7"/>
        <v>76041.713307085593</v>
      </c>
      <c r="N17" s="18">
        <f t="shared" si="7"/>
        <v>79295.313797237788</v>
      </c>
      <c r="O17" s="18">
        <f t="shared" si="7"/>
        <v>82593.606346212939</v>
      </c>
      <c r="P17" s="18">
        <f t="shared" si="7"/>
        <v>85937.13241549299</v>
      </c>
      <c r="Q17" s="18">
        <f t="shared" si="7"/>
        <v>89326.440026573953</v>
      </c>
      <c r="R17" s="18">
        <f t="shared" si="7"/>
        <v>92762.083840443025</v>
      </c>
      <c r="S17" s="18">
        <f t="shared" si="7"/>
        <v>96244.625238018576</v>
      </c>
      <c r="T17" s="18">
        <f t="shared" si="7"/>
        <v>99774.632401564741</v>
      </c>
      <c r="U17" s="18">
        <f t="shared" si="7"/>
        <v>103352.68039709231</v>
      </c>
      <c r="V17" s="18">
        <f t="shared" si="7"/>
        <v>94479.35125775804</v>
      </c>
      <c r="W17" s="18">
        <f t="shared" si="7"/>
        <v>98191.291760581807</v>
      </c>
      <c r="X17" s="18">
        <f t="shared" si="7"/>
        <v>101953.47728776673</v>
      </c>
      <c r="Y17" s="18">
        <f t="shared" si="7"/>
        <v>105766.51657710792</v>
      </c>
      <c r="Z17" s="18">
        <f t="shared" si="7"/>
        <v>109631.02574149307</v>
      </c>
      <c r="AA17" s="18">
        <f t="shared" si="7"/>
        <v>113547.62835825441</v>
      </c>
      <c r="AB17" s="18">
        <f t="shared" si="7"/>
        <v>117516.95555960343</v>
      </c>
      <c r="AC17" s="18">
        <f t="shared" si="7"/>
        <v>121539.64612416111</v>
      </c>
      <c r="AD17" s="18">
        <f t="shared" si="7"/>
        <v>125616.34656959705</v>
      </c>
      <c r="AE17" s="18">
        <f t="shared" si="7"/>
        <v>129747.71124639121</v>
      </c>
      <c r="AF17" s="18">
        <f t="shared" si="7"/>
        <v>133934.40243273112</v>
      </c>
      <c r="AG17" s="18">
        <f t="shared" si="7"/>
        <v>138177.09043055936</v>
      </c>
      <c r="AH17" s="18">
        <f t="shared" si="7"/>
        <v>142476.45366278439</v>
      </c>
      <c r="AI17" s="18">
        <f t="shared" ref="AI17:BN17" si="8">MAX(AI16,0)*$B$3</f>
        <v>146833.17877166907</v>
      </c>
      <c r="AJ17" s="18">
        <f t="shared" si="8"/>
        <v>151247.9607184114</v>
      </c>
      <c r="AK17" s="18">
        <f t="shared" si="8"/>
        <v>155721.50288393156</v>
      </c>
      <c r="AL17" s="18">
        <f t="shared" si="8"/>
        <v>160254.51717088014</v>
      </c>
      <c r="AM17" s="18">
        <f t="shared" si="8"/>
        <v>164847.72410688215</v>
      </c>
      <c r="AN17" s="18">
        <f t="shared" si="8"/>
        <v>169501.85294903186</v>
      </c>
      <c r="AO17" s="18">
        <f t="shared" si="8"/>
        <v>174217.64178965378</v>
      </c>
      <c r="AP17" s="18">
        <f t="shared" si="8"/>
        <v>166495.83766334475</v>
      </c>
      <c r="AQ17" s="18">
        <f t="shared" si="8"/>
        <v>171724.81684762082</v>
      </c>
      <c r="AR17" s="18">
        <f t="shared" si="8"/>
        <v>177017.14712586027</v>
      </c>
      <c r="AS17" s="18">
        <f t="shared" si="8"/>
        <v>182373.59602093219</v>
      </c>
      <c r="AT17" s="18">
        <f t="shared" si="8"/>
        <v>187794.94035454059</v>
      </c>
      <c r="AU17" s="18">
        <f t="shared" si="8"/>
        <v>193281.96635988308</v>
      </c>
      <c r="AV17" s="18">
        <f t="shared" si="8"/>
        <v>198835.46979567493</v>
      </c>
      <c r="AW17" s="18">
        <f t="shared" si="8"/>
        <v>204456.25606155425</v>
      </c>
      <c r="AX17" s="18">
        <f t="shared" si="8"/>
        <v>210145.14031488553</v>
      </c>
      <c r="AY17" s="18">
        <f t="shared" si="8"/>
        <v>215902.94758897839</v>
      </c>
      <c r="AZ17" s="18">
        <f t="shared" si="8"/>
        <v>221730.51291273808</v>
      </c>
      <c r="BA17" s="18">
        <f t="shared" si="8"/>
        <v>227628.68143176645</v>
      </c>
      <c r="BB17" s="18">
        <f t="shared" si="8"/>
        <v>233598.30853092918</v>
      </c>
      <c r="BC17" s="18">
        <f t="shared" si="8"/>
        <v>239640.25995840869</v>
      </c>
      <c r="BD17" s="18">
        <f t="shared" si="8"/>
        <v>245755.41195125956</v>
      </c>
      <c r="BE17" s="18">
        <f t="shared" si="8"/>
        <v>251944.6513624854</v>
      </c>
      <c r="BF17" s="18">
        <f t="shared" si="8"/>
        <v>258208.87578965491</v>
      </c>
      <c r="BG17" s="18">
        <f t="shared" si="8"/>
        <v>264548.99370507669</v>
      </c>
      <c r="BH17" s="18">
        <f t="shared" si="8"/>
        <v>270965.92458755063</v>
      </c>
      <c r="BI17" s="18">
        <f t="shared" si="8"/>
        <v>277460.59905571619</v>
      </c>
      <c r="BJ17" s="18">
        <f t="shared" si="8"/>
        <v>284033.95900301519</v>
      </c>
      <c r="BK17" s="18">
        <f t="shared" si="8"/>
        <v>290686.48736609094</v>
      </c>
      <c r="BL17" s="18">
        <f t="shared" si="8"/>
        <v>290686.48736609094</v>
      </c>
      <c r="BM17" s="18">
        <f t="shared" si="8"/>
        <v>290686.48736609094</v>
      </c>
      <c r="BN17" s="18">
        <f t="shared" si="8"/>
        <v>290686.48736609094</v>
      </c>
      <c r="BO17" s="18">
        <f t="shared" ref="BO17:CD17" si="9">MAX(BO16,0)*$B$3</f>
        <v>290686.48736609094</v>
      </c>
      <c r="BP17" s="18">
        <f t="shared" si="9"/>
        <v>290686.48736609094</v>
      </c>
      <c r="BQ17" s="18">
        <f t="shared" si="9"/>
        <v>290686.48736609094</v>
      </c>
      <c r="BR17" s="18">
        <f t="shared" si="9"/>
        <v>290686.48736609094</v>
      </c>
      <c r="BS17" s="18">
        <f t="shared" si="9"/>
        <v>290686.48736609094</v>
      </c>
      <c r="BT17" s="18">
        <f t="shared" si="9"/>
        <v>290686.48736609094</v>
      </c>
      <c r="BU17" s="18">
        <f t="shared" si="9"/>
        <v>290686.48736609094</v>
      </c>
      <c r="BV17" s="18">
        <f t="shared" si="9"/>
        <v>290686.48736609094</v>
      </c>
      <c r="BW17" s="18">
        <f t="shared" si="9"/>
        <v>290686.48736609094</v>
      </c>
      <c r="BX17" s="18">
        <f t="shared" si="9"/>
        <v>290686.48736609094</v>
      </c>
      <c r="BY17" s="18">
        <f t="shared" si="9"/>
        <v>290686.48736609094</v>
      </c>
      <c r="BZ17" s="18">
        <f t="shared" si="9"/>
        <v>290686.48736609094</v>
      </c>
      <c r="CA17" s="18">
        <f t="shared" si="9"/>
        <v>290686.48736609094</v>
      </c>
      <c r="CB17" s="18">
        <f t="shared" si="9"/>
        <v>290686.48736609094</v>
      </c>
      <c r="CC17" s="18">
        <f t="shared" si="9"/>
        <v>290686.48736609094</v>
      </c>
      <c r="CD17" s="18">
        <f t="shared" si="9"/>
        <v>290686.48736609094</v>
      </c>
    </row>
    <row r="18" spans="1:82" x14ac:dyDescent="0.45">
      <c r="A18" t="s">
        <v>201</v>
      </c>
      <c r="C18" s="18">
        <f t="shared" ref="C18:AH18" si="10">C16-C17</f>
        <v>137547.55830283865</v>
      </c>
      <c r="D18" s="18">
        <f t="shared" si="10"/>
        <v>146052.77440945676</v>
      </c>
      <c r="E18" s="18">
        <f t="shared" si="10"/>
        <v>154676.85479294322</v>
      </c>
      <c r="F18" s="18">
        <f t="shared" si="10"/>
        <v>163421.2395397299</v>
      </c>
      <c r="G18" s="18">
        <f t="shared" si="10"/>
        <v>172287.38618344866</v>
      </c>
      <c r="H18" s="18">
        <f t="shared" si="10"/>
        <v>181276.76991631254</v>
      </c>
      <c r="I18" s="18">
        <f t="shared" si="10"/>
        <v>190390.88380305521</v>
      </c>
      <c r="J18" s="18">
        <f t="shared" si="10"/>
        <v>199631.23899746433</v>
      </c>
      <c r="K18" s="18">
        <f t="shared" si="10"/>
        <v>208999.36496153646</v>
      </c>
      <c r="L18" s="18">
        <f t="shared" si="10"/>
        <v>218496.8096872888</v>
      </c>
      <c r="M18" s="18">
        <f t="shared" si="10"/>
        <v>228125.13992125678</v>
      </c>
      <c r="N18" s="18">
        <f t="shared" si="10"/>
        <v>237885.94139171336</v>
      </c>
      <c r="O18" s="18">
        <f t="shared" si="10"/>
        <v>247780.81903863882</v>
      </c>
      <c r="P18" s="18">
        <f t="shared" si="10"/>
        <v>257811.39724647897</v>
      </c>
      <c r="Q18" s="18">
        <f t="shared" si="10"/>
        <v>267979.32007972186</v>
      </c>
      <c r="R18" s="18">
        <f t="shared" si="10"/>
        <v>278286.25152132905</v>
      </c>
      <c r="S18" s="18">
        <f t="shared" si="10"/>
        <v>288733.87571405573</v>
      </c>
      <c r="T18" s="18">
        <f t="shared" si="10"/>
        <v>299323.89720469422</v>
      </c>
      <c r="U18" s="18">
        <f t="shared" si="10"/>
        <v>310058.04119127692</v>
      </c>
      <c r="V18" s="18">
        <f t="shared" si="10"/>
        <v>283438.05377327412</v>
      </c>
      <c r="W18" s="18">
        <f t="shared" si="10"/>
        <v>294573.87528174545</v>
      </c>
      <c r="X18" s="18">
        <f t="shared" si="10"/>
        <v>305860.43186330015</v>
      </c>
      <c r="Y18" s="18">
        <f t="shared" si="10"/>
        <v>317299.54973132373</v>
      </c>
      <c r="Z18" s="18">
        <f t="shared" si="10"/>
        <v>328893.07722447917</v>
      </c>
      <c r="AA18" s="18">
        <f t="shared" si="10"/>
        <v>340642.88507476321</v>
      </c>
      <c r="AB18" s="18">
        <f t="shared" si="10"/>
        <v>352550.86667881033</v>
      </c>
      <c r="AC18" s="18">
        <f t="shared" si="10"/>
        <v>364618.93837248336</v>
      </c>
      <c r="AD18" s="18">
        <f t="shared" si="10"/>
        <v>376849.03970879118</v>
      </c>
      <c r="AE18" s="18">
        <f t="shared" si="10"/>
        <v>389243.13373917365</v>
      </c>
      <c r="AF18" s="18">
        <f t="shared" si="10"/>
        <v>401803.20729819336</v>
      </c>
      <c r="AG18" s="18">
        <f t="shared" si="10"/>
        <v>414531.27129167807</v>
      </c>
      <c r="AH18" s="18">
        <f t="shared" si="10"/>
        <v>427429.36098835315</v>
      </c>
      <c r="AI18" s="18">
        <f t="shared" ref="AI18:BN18" si="11">AI16-AI17</f>
        <v>440499.53631500725</v>
      </c>
      <c r="AJ18" s="18">
        <f t="shared" si="11"/>
        <v>453743.88215523423</v>
      </c>
      <c r="AK18" s="18">
        <f t="shared" si="11"/>
        <v>467164.50865179469</v>
      </c>
      <c r="AL18" s="18">
        <f t="shared" si="11"/>
        <v>480763.55151264044</v>
      </c>
      <c r="AM18" s="18">
        <f t="shared" si="11"/>
        <v>494543.17232064647</v>
      </c>
      <c r="AN18" s="18">
        <f t="shared" si="11"/>
        <v>508505.55884709558</v>
      </c>
      <c r="AO18" s="18">
        <f t="shared" si="11"/>
        <v>522652.9253689613</v>
      </c>
      <c r="AP18" s="18">
        <f t="shared" si="11"/>
        <v>499487.51299003424</v>
      </c>
      <c r="AQ18" s="18">
        <f t="shared" si="11"/>
        <v>515174.45054286247</v>
      </c>
      <c r="AR18" s="18">
        <f t="shared" si="11"/>
        <v>531051.44137758086</v>
      </c>
      <c r="AS18" s="18">
        <f t="shared" si="11"/>
        <v>547120.78806279658</v>
      </c>
      <c r="AT18" s="18">
        <f t="shared" si="11"/>
        <v>563384.82106362178</v>
      </c>
      <c r="AU18" s="18">
        <f t="shared" si="11"/>
        <v>579845.89907964924</v>
      </c>
      <c r="AV18" s="18">
        <f t="shared" si="11"/>
        <v>596506.40938702482</v>
      </c>
      <c r="AW18" s="18">
        <f t="shared" si="11"/>
        <v>613368.7681846628</v>
      </c>
      <c r="AX18" s="18">
        <f t="shared" si="11"/>
        <v>630435.42094465659</v>
      </c>
      <c r="AY18" s="18">
        <f t="shared" si="11"/>
        <v>647708.84276693524</v>
      </c>
      <c r="AZ18" s="18">
        <f t="shared" si="11"/>
        <v>665191.53873821418</v>
      </c>
      <c r="BA18" s="18">
        <f t="shared" si="11"/>
        <v>682886.04429529933</v>
      </c>
      <c r="BB18" s="18">
        <f t="shared" si="11"/>
        <v>700794.92559278756</v>
      </c>
      <c r="BC18" s="18">
        <f t="shared" si="11"/>
        <v>718920.77987522609</v>
      </c>
      <c r="BD18" s="18">
        <f t="shared" si="11"/>
        <v>737266.23585377866</v>
      </c>
      <c r="BE18" s="18">
        <f t="shared" si="11"/>
        <v>755833.95408745622</v>
      </c>
      <c r="BF18" s="18">
        <f t="shared" si="11"/>
        <v>774626.62736896472</v>
      </c>
      <c r="BG18" s="18">
        <f t="shared" si="11"/>
        <v>793646.98111523013</v>
      </c>
      <c r="BH18" s="18">
        <f t="shared" si="11"/>
        <v>812897.77376265195</v>
      </c>
      <c r="BI18" s="18">
        <f t="shared" si="11"/>
        <v>832381.79716714856</v>
      </c>
      <c r="BJ18" s="18">
        <f t="shared" si="11"/>
        <v>852101.87700904557</v>
      </c>
      <c r="BK18" s="18">
        <f t="shared" si="11"/>
        <v>872059.46209827275</v>
      </c>
      <c r="BL18" s="18">
        <f t="shared" si="11"/>
        <v>872059.46209827275</v>
      </c>
      <c r="BM18" s="18">
        <f t="shared" si="11"/>
        <v>872059.46209827275</v>
      </c>
      <c r="BN18" s="18">
        <f t="shared" si="11"/>
        <v>872059.46209827275</v>
      </c>
      <c r="BO18" s="18">
        <f t="shared" ref="BO18:CD18" si="12">BO16-BO17</f>
        <v>872059.46209827275</v>
      </c>
      <c r="BP18" s="18">
        <f t="shared" si="12"/>
        <v>872059.46209827275</v>
      </c>
      <c r="BQ18" s="18">
        <f t="shared" si="12"/>
        <v>872059.46209827275</v>
      </c>
      <c r="BR18" s="18">
        <f t="shared" si="12"/>
        <v>872059.46209827275</v>
      </c>
      <c r="BS18" s="18">
        <f t="shared" si="12"/>
        <v>872059.46209827275</v>
      </c>
      <c r="BT18" s="18">
        <f t="shared" si="12"/>
        <v>872059.46209827275</v>
      </c>
      <c r="BU18" s="18">
        <f t="shared" si="12"/>
        <v>872059.46209827275</v>
      </c>
      <c r="BV18" s="18">
        <f t="shared" si="12"/>
        <v>872059.46209827275</v>
      </c>
      <c r="BW18" s="18">
        <f t="shared" si="12"/>
        <v>872059.46209827275</v>
      </c>
      <c r="BX18" s="18">
        <f t="shared" si="12"/>
        <v>872059.46209827275</v>
      </c>
      <c r="BY18" s="18">
        <f t="shared" si="12"/>
        <v>872059.46209827275</v>
      </c>
      <c r="BZ18" s="18">
        <f t="shared" si="12"/>
        <v>872059.46209827275</v>
      </c>
      <c r="CA18" s="18">
        <f t="shared" si="12"/>
        <v>872059.46209827275</v>
      </c>
      <c r="CB18" s="18">
        <f t="shared" si="12"/>
        <v>872059.46209827275</v>
      </c>
      <c r="CC18" s="18">
        <f t="shared" si="12"/>
        <v>872059.46209827275</v>
      </c>
      <c r="CD18" s="18">
        <f t="shared" si="12"/>
        <v>872059.46209827275</v>
      </c>
    </row>
    <row r="21" spans="1:82" x14ac:dyDescent="0.45">
      <c r="A21" s="3" t="s">
        <v>85</v>
      </c>
    </row>
    <row r="22" spans="1:82" x14ac:dyDescent="0.45">
      <c r="A22" t="s">
        <v>202</v>
      </c>
      <c r="CD22" s="26">
        <f>IF(SUM(C11:CD11)&lt;=Calc_Capex!$Z$17+0.01,1,0)</f>
        <v>1</v>
      </c>
    </row>
    <row r="23" spans="1:82" x14ac:dyDescent="0.45">
      <c r="A23" t="s">
        <v>203</v>
      </c>
      <c r="CD23" s="26">
        <f>IF(SUM(C13:CD13)&lt;=SUM(C12:CD12)+0.01,1,0)</f>
        <v>1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808080"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58" customWidth="1"/>
  </cols>
  <sheetData>
    <row r="1" spans="1:82" ht="15.75" x14ac:dyDescent="0.5">
      <c r="A1" s="10" t="s">
        <v>204</v>
      </c>
    </row>
    <row r="3" spans="1:82" x14ac:dyDescent="0.45">
      <c r="A3" t="s">
        <v>205</v>
      </c>
      <c r="B3" s="11" t="str">
        <f>Cover!$B$17</f>
        <v>DSCR Sculpted</v>
      </c>
    </row>
    <row r="4" spans="1:82" x14ac:dyDescent="0.45">
      <c r="A4" t="s">
        <v>149</v>
      </c>
      <c r="B4" s="13">
        <f>Assumptions_Model!$B$5</f>
        <v>0.06</v>
      </c>
    </row>
    <row r="5" spans="1:82" x14ac:dyDescent="0.45">
      <c r="A5" t="s">
        <v>206</v>
      </c>
      <c r="B5" s="15">
        <f>Assumptions_Model!$B$7</f>
        <v>1.3</v>
      </c>
    </row>
    <row r="6" spans="1:82" x14ac:dyDescent="0.45">
      <c r="A6" t="s">
        <v>207</v>
      </c>
      <c r="B6" s="13">
        <f>Assumptions_Model!$B$12</f>
        <v>0.85</v>
      </c>
    </row>
    <row r="7" spans="1:82" x14ac:dyDescent="0.45">
      <c r="A7" t="s">
        <v>208</v>
      </c>
      <c r="B7" s="31">
        <v>75612864.285711274</v>
      </c>
    </row>
    <row r="8" spans="1:82" x14ac:dyDescent="0.45">
      <c r="A8" t="s">
        <v>209</v>
      </c>
      <c r="B8" s="32">
        <f>MIN(NPV($B$4/4,C20:BJ20),$B$6*Calc_Capex!$Z$17)</f>
        <v>75612915.009320721</v>
      </c>
    </row>
    <row r="9" spans="1:82" x14ac:dyDescent="0.45">
      <c r="A9" t="s">
        <v>210</v>
      </c>
      <c r="B9" s="11">
        <f>Assumptions_Model!$B$6</f>
        <v>15</v>
      </c>
    </row>
    <row r="10" spans="1:82" x14ac:dyDescent="0.45">
      <c r="A10" t="s">
        <v>211</v>
      </c>
      <c r="B10" s="33">
        <f>$B$8-$B$7</f>
        <v>50.723609447479248</v>
      </c>
    </row>
    <row r="11" spans="1:82" x14ac:dyDescent="0.45">
      <c r="A11" t="s">
        <v>212</v>
      </c>
      <c r="B11" s="35">
        <f>IFERROR(C18/Calc_Capex!$Z$17,0)</f>
        <v>0.72370433728453865</v>
      </c>
    </row>
    <row r="12" spans="1:82" x14ac:dyDescent="0.45">
      <c r="A12" t="s">
        <v>213</v>
      </c>
      <c r="B12" s="13">
        <f>Assumptions_Model!$B$14</f>
        <v>1.4999999999999999E-2</v>
      </c>
    </row>
    <row r="13" spans="1:82" x14ac:dyDescent="0.45">
      <c r="A13" t="s">
        <v>214</v>
      </c>
      <c r="B13" s="11" t="str">
        <f>Cover!$B$23</f>
        <v>Cash Funded</v>
      </c>
    </row>
    <row r="15" spans="1:82" x14ac:dyDescent="0.45">
      <c r="A15" t="s">
        <v>63</v>
      </c>
      <c r="C15" s="16">
        <v>47208</v>
      </c>
      <c r="D15" s="16">
        <v>47299</v>
      </c>
      <c r="E15" s="16">
        <v>47391</v>
      </c>
      <c r="F15" s="16">
        <v>47483</v>
      </c>
      <c r="G15" s="16">
        <v>47573</v>
      </c>
      <c r="H15" s="16">
        <v>47664</v>
      </c>
      <c r="I15" s="16">
        <v>47756</v>
      </c>
      <c r="J15" s="16">
        <v>47848</v>
      </c>
      <c r="K15" s="16">
        <v>47938</v>
      </c>
      <c r="L15" s="16">
        <v>48029</v>
      </c>
      <c r="M15" s="16">
        <v>48121</v>
      </c>
      <c r="N15" s="16">
        <v>48213</v>
      </c>
      <c r="O15" s="16">
        <v>48304</v>
      </c>
      <c r="P15" s="16">
        <v>48395</v>
      </c>
      <c r="Q15" s="16">
        <v>48487</v>
      </c>
      <c r="R15" s="16">
        <v>48579</v>
      </c>
      <c r="S15" s="16">
        <v>48669</v>
      </c>
      <c r="T15" s="16">
        <v>48760</v>
      </c>
      <c r="U15" s="16">
        <v>48852</v>
      </c>
      <c r="V15" s="16">
        <v>48944</v>
      </c>
      <c r="W15" s="16">
        <v>49034</v>
      </c>
      <c r="X15" s="16">
        <v>49125</v>
      </c>
      <c r="Y15" s="16">
        <v>49217</v>
      </c>
      <c r="Z15" s="16">
        <v>49309</v>
      </c>
      <c r="AA15" s="16">
        <v>49399</v>
      </c>
      <c r="AB15" s="16">
        <v>49490</v>
      </c>
      <c r="AC15" s="16">
        <v>49582</v>
      </c>
      <c r="AD15" s="16">
        <v>49674</v>
      </c>
      <c r="AE15" s="16">
        <v>49765</v>
      </c>
      <c r="AF15" s="16">
        <v>49856</v>
      </c>
      <c r="AG15" s="16">
        <v>49948</v>
      </c>
      <c r="AH15" s="16">
        <v>50040</v>
      </c>
      <c r="AI15" s="16">
        <v>50130</v>
      </c>
      <c r="AJ15" s="16">
        <v>50221</v>
      </c>
      <c r="AK15" s="16">
        <v>50313</v>
      </c>
      <c r="AL15" s="16">
        <v>50405</v>
      </c>
      <c r="AM15" s="16">
        <v>50495</v>
      </c>
      <c r="AN15" s="16">
        <v>50586</v>
      </c>
      <c r="AO15" s="16">
        <v>50678</v>
      </c>
      <c r="AP15" s="16">
        <v>50770</v>
      </c>
      <c r="AQ15" s="16">
        <v>50860</v>
      </c>
      <c r="AR15" s="16">
        <v>50951</v>
      </c>
      <c r="AS15" s="16">
        <v>51043</v>
      </c>
      <c r="AT15" s="16">
        <v>51135</v>
      </c>
      <c r="AU15" s="16">
        <v>51226</v>
      </c>
      <c r="AV15" s="16">
        <v>51317</v>
      </c>
      <c r="AW15" s="16">
        <v>51409</v>
      </c>
      <c r="AX15" s="16">
        <v>51501</v>
      </c>
      <c r="AY15" s="16">
        <v>51591</v>
      </c>
      <c r="AZ15" s="16">
        <v>51682</v>
      </c>
      <c r="BA15" s="16">
        <v>51774</v>
      </c>
      <c r="BB15" s="16">
        <v>51866</v>
      </c>
      <c r="BC15" s="16">
        <v>51956</v>
      </c>
      <c r="BD15" s="16">
        <v>52047</v>
      </c>
      <c r="BE15" s="16">
        <v>52139</v>
      </c>
      <c r="BF15" s="16">
        <v>52231</v>
      </c>
      <c r="BG15" s="16">
        <v>52321</v>
      </c>
      <c r="BH15" s="16">
        <v>52412</v>
      </c>
      <c r="BI15" s="16">
        <v>52504</v>
      </c>
      <c r="BJ15" s="16">
        <v>52596</v>
      </c>
      <c r="BK15" s="16">
        <v>52687</v>
      </c>
      <c r="BL15" s="16">
        <v>52778</v>
      </c>
      <c r="BM15" s="16">
        <v>52870</v>
      </c>
      <c r="BN15" s="16">
        <v>52962</v>
      </c>
      <c r="BO15" s="16">
        <v>53052</v>
      </c>
      <c r="BP15" s="16">
        <v>53143</v>
      </c>
      <c r="BQ15" s="16">
        <v>53235</v>
      </c>
      <c r="BR15" s="16">
        <v>53327</v>
      </c>
      <c r="BS15" s="16">
        <v>53417</v>
      </c>
      <c r="BT15" s="16">
        <v>53508</v>
      </c>
      <c r="BU15" s="16">
        <v>53600</v>
      </c>
      <c r="BV15" s="16">
        <v>53692</v>
      </c>
      <c r="BW15" s="16">
        <v>53782</v>
      </c>
      <c r="BX15" s="16">
        <v>53873</v>
      </c>
      <c r="BY15" s="16">
        <v>53965</v>
      </c>
      <c r="BZ15" s="16">
        <v>54057</v>
      </c>
      <c r="CA15" s="16">
        <v>54148</v>
      </c>
      <c r="CB15" s="16">
        <v>54239</v>
      </c>
      <c r="CC15" s="16">
        <v>54331</v>
      </c>
      <c r="CD15" s="16">
        <v>54423</v>
      </c>
    </row>
    <row r="16" spans="1:82" x14ac:dyDescent="0.45">
      <c r="A16" t="s">
        <v>111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  <c r="P16">
        <v>14</v>
      </c>
      <c r="Q16">
        <v>15</v>
      </c>
      <c r="R16">
        <v>16</v>
      </c>
      <c r="S16">
        <v>17</v>
      </c>
      <c r="T16">
        <v>18</v>
      </c>
      <c r="U16">
        <v>19</v>
      </c>
      <c r="V16">
        <v>20</v>
      </c>
      <c r="W16">
        <v>21</v>
      </c>
      <c r="X16">
        <v>22</v>
      </c>
      <c r="Y16">
        <v>23</v>
      </c>
      <c r="Z16">
        <v>24</v>
      </c>
      <c r="AA16">
        <v>25</v>
      </c>
      <c r="AB16">
        <v>26</v>
      </c>
      <c r="AC16">
        <v>27</v>
      </c>
      <c r="AD16">
        <v>28</v>
      </c>
      <c r="AE16">
        <v>29</v>
      </c>
      <c r="AF16">
        <v>30</v>
      </c>
      <c r="AG16">
        <v>31</v>
      </c>
      <c r="AH16">
        <v>32</v>
      </c>
      <c r="AI16">
        <v>33</v>
      </c>
      <c r="AJ16">
        <v>34</v>
      </c>
      <c r="AK16">
        <v>35</v>
      </c>
      <c r="AL16">
        <v>36</v>
      </c>
      <c r="AM16">
        <v>37</v>
      </c>
      <c r="AN16">
        <v>38</v>
      </c>
      <c r="AO16">
        <v>39</v>
      </c>
      <c r="AP16">
        <v>40</v>
      </c>
      <c r="AQ16">
        <v>41</v>
      </c>
      <c r="AR16">
        <v>42</v>
      </c>
      <c r="AS16">
        <v>43</v>
      </c>
      <c r="AT16">
        <v>44</v>
      </c>
      <c r="AU16">
        <v>45</v>
      </c>
      <c r="AV16">
        <v>46</v>
      </c>
      <c r="AW16">
        <v>47</v>
      </c>
      <c r="AX16">
        <v>48</v>
      </c>
      <c r="AY16">
        <v>49</v>
      </c>
      <c r="AZ16">
        <v>50</v>
      </c>
      <c r="BA16">
        <v>51</v>
      </c>
      <c r="BB16">
        <v>52</v>
      </c>
      <c r="BC16">
        <v>53</v>
      </c>
      <c r="BD16">
        <v>54</v>
      </c>
      <c r="BE16">
        <v>55</v>
      </c>
      <c r="BF16">
        <v>56</v>
      </c>
      <c r="BG16">
        <v>57</v>
      </c>
      <c r="BH16">
        <v>58</v>
      </c>
      <c r="BI16">
        <v>59</v>
      </c>
      <c r="BJ16">
        <v>60</v>
      </c>
      <c r="BK16">
        <v>61</v>
      </c>
      <c r="BL16">
        <v>62</v>
      </c>
      <c r="BM16">
        <v>63</v>
      </c>
      <c r="BN16">
        <v>64</v>
      </c>
      <c r="BO16">
        <v>65</v>
      </c>
      <c r="BP16">
        <v>66</v>
      </c>
      <c r="BQ16">
        <v>67</v>
      </c>
      <c r="BR16">
        <v>68</v>
      </c>
      <c r="BS16">
        <v>69</v>
      </c>
      <c r="BT16">
        <v>70</v>
      </c>
      <c r="BU16">
        <v>71</v>
      </c>
      <c r="BV16">
        <v>72</v>
      </c>
      <c r="BW16">
        <v>73</v>
      </c>
      <c r="BX16">
        <v>74</v>
      </c>
      <c r="BY16">
        <v>75</v>
      </c>
      <c r="BZ16">
        <v>76</v>
      </c>
      <c r="CA16">
        <v>77</v>
      </c>
      <c r="CB16">
        <v>78</v>
      </c>
      <c r="CC16">
        <v>79</v>
      </c>
      <c r="CD16">
        <v>80</v>
      </c>
    </row>
    <row r="18" spans="1:82" x14ac:dyDescent="0.45">
      <c r="A18" t="s">
        <v>158</v>
      </c>
      <c r="C18" s="12">
        <f>Calc_Financing_Cons!Z25</f>
        <v>75612863.670705259</v>
      </c>
      <c r="D18" s="18">
        <f t="shared" ref="D18:AI18" si="0">C23</f>
        <v>74763094.461228102</v>
      </c>
      <c r="E18" s="18">
        <f t="shared" si="0"/>
        <v>73902759.538251519</v>
      </c>
      <c r="F18" s="18">
        <f t="shared" si="0"/>
        <v>73031730.894092709</v>
      </c>
      <c r="G18" s="18">
        <f t="shared" si="0"/>
        <v>72149878.970206589</v>
      </c>
      <c r="H18" s="18">
        <f t="shared" si="0"/>
        <v>71257072.638396472</v>
      </c>
      <c r="I18" s="18">
        <f t="shared" si="0"/>
        <v>70353179.181797117</v>
      </c>
      <c r="J18" s="18">
        <f t="shared" si="0"/>
        <v>69438064.275627419</v>
      </c>
      <c r="K18" s="18">
        <f t="shared" si="0"/>
        <v>68511591.967709899</v>
      </c>
      <c r="L18" s="18">
        <f t="shared" si="0"/>
        <v>67573624.65875414</v>
      </c>
      <c r="M18" s="18">
        <f t="shared" si="0"/>
        <v>66624023.082401425</v>
      </c>
      <c r="N18" s="18">
        <f t="shared" si="0"/>
        <v>65662646.285027511</v>
      </c>
      <c r="O18" s="18">
        <f t="shared" si="0"/>
        <v>64689351.605300799</v>
      </c>
      <c r="P18" s="18">
        <f t="shared" si="0"/>
        <v>63703994.653492786</v>
      </c>
      <c r="Q18" s="18">
        <f t="shared" si="0"/>
        <v>62706429.290537864</v>
      </c>
      <c r="R18" s="18">
        <f t="shared" si="0"/>
        <v>61696507.606839448</v>
      </c>
      <c r="S18" s="18">
        <f t="shared" si="0"/>
        <v>60674079.900819302</v>
      </c>
      <c r="T18" s="18">
        <f t="shared" si="0"/>
        <v>59638994.65720699</v>
      </c>
      <c r="U18" s="18">
        <f t="shared" si="0"/>
        <v>58591098.525066301</v>
      </c>
      <c r="V18" s="18">
        <f t="shared" si="0"/>
        <v>57530236.295555443</v>
      </c>
      <c r="W18" s="18">
        <f t="shared" si="0"/>
        <v>56446635.494802438</v>
      </c>
      <c r="X18" s="18">
        <f t="shared" si="0"/>
        <v>55349636.020886458</v>
      </c>
      <c r="Y18" s="18">
        <f t="shared" si="0"/>
        <v>54239075.543728806</v>
      </c>
      <c r="Z18" s="18">
        <f t="shared" si="0"/>
        <v>53114789.766559437</v>
      </c>
      <c r="AA18" s="18">
        <f t="shared" si="0"/>
        <v>51976612.402089745</v>
      </c>
      <c r="AB18" s="18">
        <f t="shared" si="0"/>
        <v>50824375.148396671</v>
      </c>
      <c r="AC18" s="18">
        <f t="shared" si="0"/>
        <v>49657907.664514624</v>
      </c>
      <c r="AD18" s="18">
        <f t="shared" si="0"/>
        <v>48477037.545731701</v>
      </c>
      <c r="AE18" s="18">
        <f t="shared" si="0"/>
        <v>47281590.2985866</v>
      </c>
      <c r="AF18" s="18">
        <f t="shared" si="0"/>
        <v>46071389.315562621</v>
      </c>
      <c r="AG18" s="18">
        <f t="shared" si="0"/>
        <v>44846255.849475086</v>
      </c>
      <c r="AH18" s="18">
        <f t="shared" si="0"/>
        <v>43606008.987548411</v>
      </c>
      <c r="AI18" s="18">
        <f t="shared" si="0"/>
        <v>42350465.625179164</v>
      </c>
      <c r="AJ18" s="18">
        <f t="shared" ref="AJ18:BO18" si="1">AI23</f>
        <v>41079440.439381212</v>
      </c>
      <c r="AK18" s="18">
        <f t="shared" si="1"/>
        <v>39792745.861909166</v>
      </c>
      <c r="AL18" s="18">
        <f t="shared" si="1"/>
        <v>38490192.052056216</v>
      </c>
      <c r="AM18" s="18">
        <f t="shared" si="1"/>
        <v>37171586.869122349</v>
      </c>
      <c r="AN18" s="18">
        <f t="shared" si="1"/>
        <v>35836735.84454909</v>
      </c>
      <c r="AO18" s="18">
        <f t="shared" si="1"/>
        <v>34485442.153716579</v>
      </c>
      <c r="AP18" s="18">
        <f t="shared" si="1"/>
        <v>33117506.587398984</v>
      </c>
      <c r="AQ18" s="18">
        <f t="shared" si="1"/>
        <v>31723112.138258696</v>
      </c>
      <c r="AR18" s="18">
        <f t="shared" si="1"/>
        <v>30311824.064061515</v>
      </c>
      <c r="AS18" s="18">
        <f t="shared" si="1"/>
        <v>28883437.692042328</v>
      </c>
      <c r="AT18" s="18">
        <f t="shared" si="1"/>
        <v>27437745.869746756</v>
      </c>
      <c r="AU18" s="18">
        <f t="shared" si="1"/>
        <v>25974538.934988759</v>
      </c>
      <c r="AV18" s="18">
        <f t="shared" si="1"/>
        <v>24493604.685444269</v>
      </c>
      <c r="AW18" s="18">
        <f t="shared" si="1"/>
        <v>22994728.347876452</v>
      </c>
      <c r="AX18" s="18">
        <f t="shared" si="1"/>
        <v>21477692.546988104</v>
      </c>
      <c r="AY18" s="18">
        <f t="shared" si="1"/>
        <v>19942277.273896683</v>
      </c>
      <c r="AZ18" s="18">
        <f t="shared" si="1"/>
        <v>18388259.854227424</v>
      </c>
      <c r="BA18" s="18">
        <f t="shared" si="1"/>
        <v>16815414.915819865</v>
      </c>
      <c r="BB18" s="18">
        <f t="shared" si="1"/>
        <v>15223514.356043138</v>
      </c>
      <c r="BC18" s="18">
        <f t="shared" si="1"/>
        <v>13612327.308715269</v>
      </c>
      <c r="BD18" s="18">
        <f t="shared" si="1"/>
        <v>11981620.110621698</v>
      </c>
      <c r="BE18" s="18">
        <f t="shared" si="1"/>
        <v>10331156.267628146</v>
      </c>
      <c r="BF18" s="18">
        <f t="shared" si="1"/>
        <v>8660696.4203829411</v>
      </c>
      <c r="BG18" s="18">
        <f t="shared" si="1"/>
        <v>6969998.3096038047</v>
      </c>
      <c r="BH18" s="18">
        <f t="shared" si="1"/>
        <v>5258816.7409440745</v>
      </c>
      <c r="BI18" s="18">
        <f t="shared" si="1"/>
        <v>3526903.5494332747</v>
      </c>
      <c r="BJ18" s="18">
        <f t="shared" si="1"/>
        <v>1774007.5634868634</v>
      </c>
      <c r="BK18" s="18">
        <f t="shared" si="1"/>
        <v>0</v>
      </c>
      <c r="BL18" s="18">
        <f t="shared" si="1"/>
        <v>0</v>
      </c>
      <c r="BM18" s="18">
        <f t="shared" si="1"/>
        <v>0</v>
      </c>
      <c r="BN18" s="18">
        <f t="shared" si="1"/>
        <v>0</v>
      </c>
      <c r="BO18" s="18">
        <f t="shared" si="1"/>
        <v>0</v>
      </c>
      <c r="BP18" s="18">
        <f t="shared" ref="BP18:CD18" si="2">BO23</f>
        <v>0</v>
      </c>
      <c r="BQ18" s="18">
        <f t="shared" si="2"/>
        <v>0</v>
      </c>
      <c r="BR18" s="18">
        <f t="shared" si="2"/>
        <v>0</v>
      </c>
      <c r="BS18" s="18">
        <f t="shared" si="2"/>
        <v>0</v>
      </c>
      <c r="BT18" s="18">
        <f t="shared" si="2"/>
        <v>0</v>
      </c>
      <c r="BU18" s="18">
        <f t="shared" si="2"/>
        <v>0</v>
      </c>
      <c r="BV18" s="18">
        <f t="shared" si="2"/>
        <v>0</v>
      </c>
      <c r="BW18" s="18">
        <f t="shared" si="2"/>
        <v>0</v>
      </c>
      <c r="BX18" s="18">
        <f t="shared" si="2"/>
        <v>0</v>
      </c>
      <c r="BY18" s="18">
        <f t="shared" si="2"/>
        <v>0</v>
      </c>
      <c r="BZ18" s="18">
        <f t="shared" si="2"/>
        <v>0</v>
      </c>
      <c r="CA18" s="18">
        <f t="shared" si="2"/>
        <v>0</v>
      </c>
      <c r="CB18" s="18">
        <f t="shared" si="2"/>
        <v>0</v>
      </c>
      <c r="CC18" s="18">
        <f t="shared" si="2"/>
        <v>0</v>
      </c>
      <c r="CD18" s="18">
        <f t="shared" si="2"/>
        <v>0</v>
      </c>
    </row>
    <row r="19" spans="1:82" x14ac:dyDescent="0.45">
      <c r="A19" t="s">
        <v>215</v>
      </c>
      <c r="C19" s="18">
        <f t="shared" ref="C19:AH19" si="3">C18*$B$4/4</f>
        <v>1134192.9550605789</v>
      </c>
      <c r="D19" s="18">
        <f t="shared" si="3"/>
        <v>1121446.4169184214</v>
      </c>
      <c r="E19" s="18">
        <f t="shared" si="3"/>
        <v>1108541.3930737728</v>
      </c>
      <c r="F19" s="18">
        <f t="shared" si="3"/>
        <v>1095475.9634113905</v>
      </c>
      <c r="G19" s="18">
        <f t="shared" si="3"/>
        <v>1082248.1845530989</v>
      </c>
      <c r="H19" s="18">
        <f t="shared" si="3"/>
        <v>1068856.089575947</v>
      </c>
      <c r="I19" s="18">
        <f t="shared" si="3"/>
        <v>1055297.6877269568</v>
      </c>
      <c r="J19" s="18">
        <f t="shared" si="3"/>
        <v>1041570.9641344113</v>
      </c>
      <c r="K19" s="18">
        <f t="shared" si="3"/>
        <v>1027673.8795156485</v>
      </c>
      <c r="L19" s="18">
        <f t="shared" si="3"/>
        <v>1013604.369881312</v>
      </c>
      <c r="M19" s="18">
        <f t="shared" si="3"/>
        <v>999360.34623602137</v>
      </c>
      <c r="N19" s="18">
        <f t="shared" si="3"/>
        <v>984939.69427541259</v>
      </c>
      <c r="O19" s="18">
        <f t="shared" si="3"/>
        <v>970340.27407951199</v>
      </c>
      <c r="P19" s="18">
        <f t="shared" si="3"/>
        <v>955559.91980239179</v>
      </c>
      <c r="Q19" s="18">
        <f t="shared" si="3"/>
        <v>940596.43935806793</v>
      </c>
      <c r="R19" s="18">
        <f t="shared" si="3"/>
        <v>925447.61410259164</v>
      </c>
      <c r="S19" s="18">
        <f t="shared" si="3"/>
        <v>910111.19851228944</v>
      </c>
      <c r="T19" s="18">
        <f t="shared" si="3"/>
        <v>894584.91985810478</v>
      </c>
      <c r="U19" s="18">
        <f t="shared" si="3"/>
        <v>878866.47787599452</v>
      </c>
      <c r="V19" s="18">
        <f t="shared" si="3"/>
        <v>862953.54443333158</v>
      </c>
      <c r="W19" s="18">
        <f t="shared" si="3"/>
        <v>846699.53242203651</v>
      </c>
      <c r="X19" s="18">
        <f t="shared" si="3"/>
        <v>830244.54031329683</v>
      </c>
      <c r="Y19" s="18">
        <f t="shared" si="3"/>
        <v>813586.13315593207</v>
      </c>
      <c r="Z19" s="18">
        <f t="shared" si="3"/>
        <v>796721.84649839147</v>
      </c>
      <c r="AA19" s="18">
        <f t="shared" si="3"/>
        <v>779649.18603134609</v>
      </c>
      <c r="AB19" s="18">
        <f t="shared" si="3"/>
        <v>762365.62722595001</v>
      </c>
      <c r="AC19" s="18">
        <f t="shared" si="3"/>
        <v>744868.6149677193</v>
      </c>
      <c r="AD19" s="18">
        <f t="shared" si="3"/>
        <v>727155.56318597554</v>
      </c>
      <c r="AE19" s="18">
        <f t="shared" si="3"/>
        <v>709223.85447879892</v>
      </c>
      <c r="AF19" s="18">
        <f t="shared" si="3"/>
        <v>691070.83973343926</v>
      </c>
      <c r="AG19" s="18">
        <f t="shared" si="3"/>
        <v>672693.83774212631</v>
      </c>
      <c r="AH19" s="18">
        <f t="shared" si="3"/>
        <v>654090.13481322618</v>
      </c>
      <c r="AI19" s="18">
        <f t="shared" ref="AI19:BN19" si="4">AI18*$B$4/4</f>
        <v>635256.98437768745</v>
      </c>
      <c r="AJ19" s="18">
        <f t="shared" si="4"/>
        <v>616191.60659071815</v>
      </c>
      <c r="AK19" s="18">
        <f t="shared" si="4"/>
        <v>596891.18792863749</v>
      </c>
      <c r="AL19" s="18">
        <f t="shared" si="4"/>
        <v>577352.8807808432</v>
      </c>
      <c r="AM19" s="18">
        <f t="shared" si="4"/>
        <v>557573.80303683516</v>
      </c>
      <c r="AN19" s="18">
        <f t="shared" si="4"/>
        <v>537551.0376682363</v>
      </c>
      <c r="AO19" s="18">
        <f t="shared" si="4"/>
        <v>517281.63230574864</v>
      </c>
      <c r="AP19" s="18">
        <f t="shared" si="4"/>
        <v>496762.59881098475</v>
      </c>
      <c r="AQ19" s="18">
        <f t="shared" si="4"/>
        <v>475846.68207388039</v>
      </c>
      <c r="AR19" s="18">
        <f t="shared" si="4"/>
        <v>454677.36096092273</v>
      </c>
      <c r="AS19" s="18">
        <f t="shared" si="4"/>
        <v>433251.56538063491</v>
      </c>
      <c r="AT19" s="18">
        <f t="shared" si="4"/>
        <v>411566.18804620131</v>
      </c>
      <c r="AU19" s="18">
        <f t="shared" si="4"/>
        <v>389618.08402483136</v>
      </c>
      <c r="AV19" s="18">
        <f t="shared" si="4"/>
        <v>367404.07028166403</v>
      </c>
      <c r="AW19" s="18">
        <f t="shared" si="4"/>
        <v>344920.92521814676</v>
      </c>
      <c r="AX19" s="18">
        <f t="shared" si="4"/>
        <v>322165.38820482156</v>
      </c>
      <c r="AY19" s="18">
        <f t="shared" si="4"/>
        <v>299134.15910845023</v>
      </c>
      <c r="AZ19" s="18">
        <f t="shared" si="4"/>
        <v>275823.89781341137</v>
      </c>
      <c r="BA19" s="18">
        <f t="shared" si="4"/>
        <v>252231.22373729796</v>
      </c>
      <c r="BB19" s="18">
        <f t="shared" si="4"/>
        <v>228352.71534064706</v>
      </c>
      <c r="BC19" s="18">
        <f t="shared" si="4"/>
        <v>204184.90963072903</v>
      </c>
      <c r="BD19" s="18">
        <f t="shared" si="4"/>
        <v>179724.30165932546</v>
      </c>
      <c r="BE19" s="18">
        <f t="shared" si="4"/>
        <v>154967.34401442218</v>
      </c>
      <c r="BF19" s="18">
        <f t="shared" si="4"/>
        <v>129910.44630574412</v>
      </c>
      <c r="BG19" s="18">
        <f t="shared" si="4"/>
        <v>104549.97464405706</v>
      </c>
      <c r="BH19" s="18">
        <f t="shared" si="4"/>
        <v>78882.251114161118</v>
      </c>
      <c r="BI19" s="18">
        <f t="shared" si="4"/>
        <v>52903.553241499118</v>
      </c>
      <c r="BJ19" s="18">
        <f t="shared" si="4"/>
        <v>26610.11345230295</v>
      </c>
      <c r="BK19" s="18">
        <f t="shared" si="4"/>
        <v>0</v>
      </c>
      <c r="BL19" s="18">
        <f t="shared" si="4"/>
        <v>0</v>
      </c>
      <c r="BM19" s="18">
        <f t="shared" si="4"/>
        <v>0</v>
      </c>
      <c r="BN19" s="18">
        <f t="shared" si="4"/>
        <v>0</v>
      </c>
      <c r="BO19" s="18">
        <f t="shared" ref="BO19:CD19" si="5">BO18*$B$4/4</f>
        <v>0</v>
      </c>
      <c r="BP19" s="18">
        <f t="shared" si="5"/>
        <v>0</v>
      </c>
      <c r="BQ19" s="18">
        <f t="shared" si="5"/>
        <v>0</v>
      </c>
      <c r="BR19" s="18">
        <f t="shared" si="5"/>
        <v>0</v>
      </c>
      <c r="BS19" s="18">
        <f t="shared" si="5"/>
        <v>0</v>
      </c>
      <c r="BT19" s="18">
        <f t="shared" si="5"/>
        <v>0</v>
      </c>
      <c r="BU19" s="18">
        <f t="shared" si="5"/>
        <v>0</v>
      </c>
      <c r="BV19" s="18">
        <f t="shared" si="5"/>
        <v>0</v>
      </c>
      <c r="BW19" s="18">
        <f t="shared" si="5"/>
        <v>0</v>
      </c>
      <c r="BX19" s="18">
        <f t="shared" si="5"/>
        <v>0</v>
      </c>
      <c r="BY19" s="18">
        <f t="shared" si="5"/>
        <v>0</v>
      </c>
      <c r="BZ19" s="18">
        <f t="shared" si="5"/>
        <v>0</v>
      </c>
      <c r="CA19" s="18">
        <f t="shared" si="5"/>
        <v>0</v>
      </c>
      <c r="CB19" s="18">
        <f t="shared" si="5"/>
        <v>0</v>
      </c>
      <c r="CC19" s="18">
        <f t="shared" si="5"/>
        <v>0</v>
      </c>
      <c r="CD19" s="18">
        <f t="shared" si="5"/>
        <v>0</v>
      </c>
    </row>
    <row r="20" spans="1:82" x14ac:dyDescent="0.45">
      <c r="A20" t="s">
        <v>216</v>
      </c>
      <c r="C20" s="18">
        <f>Calc_CFADS!C5/$B$5</f>
        <v>1983962.1645377337</v>
      </c>
      <c r="D20" s="18">
        <f>Calc_CFADS!D5/$B$5</f>
        <v>1981781.3398950109</v>
      </c>
      <c r="E20" s="18">
        <f>Calc_CFADS!E5/$B$5</f>
        <v>1979570.0372325785</v>
      </c>
      <c r="F20" s="18">
        <f>Calc_CFADS!F5/$B$5</f>
        <v>1977327.887297505</v>
      </c>
      <c r="G20" s="18">
        <f>Calc_CFADS!G5/$B$5</f>
        <v>1975054.5163632184</v>
      </c>
      <c r="H20" s="18">
        <f>Calc_CFADS!H5/$B$5</f>
        <v>1972749.5461753046</v>
      </c>
      <c r="I20" s="18">
        <f>Calc_CFADS!I5/$B$5</f>
        <v>1970412.5938966526</v>
      </c>
      <c r="J20" s="18">
        <f>Calc_CFADS!J5/$B$5</f>
        <v>1968043.2720519323</v>
      </c>
      <c r="K20" s="18">
        <f>Calc_CFADS!K5/$B$5</f>
        <v>1965641.1884714006</v>
      </c>
      <c r="L20" s="18">
        <f>Calc_CFADS!L5/$B$5</f>
        <v>1963205.9462340283</v>
      </c>
      <c r="M20" s="18">
        <f>Calc_CFADS!M5/$B$5</f>
        <v>1960737.1436099343</v>
      </c>
      <c r="N20" s="18">
        <f>Calc_CFADS!N5/$B$5</f>
        <v>1958234.3740021246</v>
      </c>
      <c r="O20" s="18">
        <f>Calc_CFADS!O5/$B$5</f>
        <v>1955697.2258875286</v>
      </c>
      <c r="P20" s="18">
        <f>Calc_CFADS!P5/$B$5</f>
        <v>1953125.282757313</v>
      </c>
      <c r="Q20" s="18">
        <f>Calc_CFADS!Q5/$B$5</f>
        <v>1950518.1230564816</v>
      </c>
      <c r="R20" s="18">
        <f>Calc_CFADS!R5/$B$5</f>
        <v>1947875.3201227363</v>
      </c>
      <c r="S20" s="18">
        <f>Calc_CFADS!S5/$B$5</f>
        <v>1945196.442124601</v>
      </c>
      <c r="T20" s="18">
        <f>Calc_CFADS!T5/$B$5</f>
        <v>1942481.0519987964</v>
      </c>
      <c r="U20" s="18">
        <f>Calc_CFADS!U5/$B$5</f>
        <v>1939728.707386852</v>
      </c>
      <c r="V20" s="18">
        <f>Calc_CFADS!V5/$B$5</f>
        <v>1946554.3451863397</v>
      </c>
      <c r="W20" s="18">
        <f>Calc_CFADS!W5/$B$5</f>
        <v>1943699.0063380138</v>
      </c>
      <c r="X20" s="18">
        <f>Calc_CFADS!X5/$B$5</f>
        <v>1940805.0174709489</v>
      </c>
      <c r="Y20" s="18">
        <f>Calc_CFADS!Y5/$B$5</f>
        <v>1937871.9103253016</v>
      </c>
      <c r="Z20" s="18">
        <f>Calc_CFADS!Z5/$B$5</f>
        <v>1934899.2109680823</v>
      </c>
      <c r="AA20" s="18">
        <f>Calc_CFADS!AA5/$B$5</f>
        <v>1931886.4397244197</v>
      </c>
      <c r="AB20" s="18">
        <f>Calc_CFADS!AB5/$B$5</f>
        <v>1928833.1111079974</v>
      </c>
      <c r="AC20" s="18">
        <f>Calc_CFADS!AC5/$B$5</f>
        <v>1925738.7337506451</v>
      </c>
      <c r="AD20" s="18">
        <f>Calc_CFADS!AD5/$B$5</f>
        <v>1922602.8103310789</v>
      </c>
      <c r="AE20" s="18">
        <f>Calc_CFADS!AE5/$B$5</f>
        <v>1919424.8375027759</v>
      </c>
      <c r="AF20" s="18">
        <f>Calc_CFADS!AF5/$B$5</f>
        <v>1916204.3058209759</v>
      </c>
      <c r="AG20" s="18">
        <f>Calc_CFADS!AG5/$B$5</f>
        <v>1912940.6996688002</v>
      </c>
      <c r="AH20" s="18">
        <f>Calc_CFADS!AH5/$B$5</f>
        <v>1909633.4971824735</v>
      </c>
      <c r="AI20" s="18">
        <f>Calc_CFADS!AI5/$B$5</f>
        <v>1906282.1701756392</v>
      </c>
      <c r="AJ20" s="18">
        <f>Calc_CFADS!AJ5/$B$5</f>
        <v>1902886.1840627603</v>
      </c>
      <c r="AK20" s="18">
        <f>Calc_CFADS!AK5/$B$5</f>
        <v>1899444.997781591</v>
      </c>
      <c r="AL20" s="18">
        <f>Calc_CFADS!AL5/$B$5</f>
        <v>1895958.0637147077</v>
      </c>
      <c r="AM20" s="18">
        <f>Calc_CFADS!AM5/$B$5</f>
        <v>1892424.8276100906</v>
      </c>
      <c r="AN20" s="18">
        <f>Calc_CFADS!AN5/$B$5</f>
        <v>1888844.7285007448</v>
      </c>
      <c r="AO20" s="18">
        <f>Calc_CFADS!AO5/$B$5</f>
        <v>1885217.1986233431</v>
      </c>
      <c r="AP20" s="18">
        <f>Calc_CFADS!AP5/$B$5</f>
        <v>1891157.0479512734</v>
      </c>
      <c r="AQ20" s="18">
        <f>Calc_CFADS!AQ5/$B$5</f>
        <v>1887134.7562710608</v>
      </c>
      <c r="AR20" s="18">
        <f>Calc_CFADS!AR5/$B$5</f>
        <v>1883063.7329801074</v>
      </c>
      <c r="AS20" s="18">
        <f>Calc_CFADS!AS5/$B$5</f>
        <v>1878943.387676206</v>
      </c>
      <c r="AT20" s="18">
        <f>Calc_CFADS!AT5/$B$5</f>
        <v>1874773.1228041996</v>
      </c>
      <c r="AU20" s="18">
        <f>Calc_CFADS!AU5/$B$5</f>
        <v>1870552.3335693206</v>
      </c>
      <c r="AV20" s="18">
        <f>Calc_CFADS!AV5/$B$5</f>
        <v>1866280.4078494806</v>
      </c>
      <c r="AW20" s="18">
        <f>Calc_CFADS!AW5/$B$5</f>
        <v>1861956.7261064965</v>
      </c>
      <c r="AX20" s="18">
        <f>Calc_CFADS!AX5/$B$5</f>
        <v>1857580.6612962419</v>
      </c>
      <c r="AY20" s="18">
        <f>Calc_CFADS!AY5/$B$5</f>
        <v>1853151.5787777088</v>
      </c>
      <c r="AZ20" s="18">
        <f>Calc_CFADS!AZ5/$B$5</f>
        <v>1848668.8362209706</v>
      </c>
      <c r="BA20" s="18">
        <f>Calc_CFADS!BA5/$B$5</f>
        <v>1844131.7835140256</v>
      </c>
      <c r="BB20" s="18">
        <f>Calc_CFADS!BB5/$B$5</f>
        <v>1839539.762668516</v>
      </c>
      <c r="BC20" s="18">
        <f>Calc_CFADS!BC5/$B$5</f>
        <v>1834892.1077243008</v>
      </c>
      <c r="BD20" s="18">
        <f>Calc_CFADS!BD5/$B$5</f>
        <v>1830188.144652877</v>
      </c>
      <c r="BE20" s="18">
        <f>Calc_CFADS!BE5/$B$5</f>
        <v>1825427.1912596268</v>
      </c>
      <c r="BF20" s="18">
        <f>Calc_CFADS!BF5/$B$5</f>
        <v>1820608.5570848808</v>
      </c>
      <c r="BG20" s="18">
        <f>Calc_CFADS!BG5/$B$5</f>
        <v>1815731.5433037872</v>
      </c>
      <c r="BH20" s="18">
        <f>Calc_CFADS!BH5/$B$5</f>
        <v>1810795.442624961</v>
      </c>
      <c r="BI20" s="18">
        <f>Calc_CFADS!BI5/$B$5</f>
        <v>1805799.5391879105</v>
      </c>
      <c r="BJ20" s="18">
        <f>Calc_CFADS!BJ5/$B$5</f>
        <v>1800743.1084592189</v>
      </c>
      <c r="BK20" s="18">
        <f>0</f>
        <v>0</v>
      </c>
      <c r="BL20" s="18">
        <f>0</f>
        <v>0</v>
      </c>
      <c r="BM20" s="18">
        <f>0</f>
        <v>0</v>
      </c>
      <c r="BN20" s="18">
        <f>0</f>
        <v>0</v>
      </c>
      <c r="BO20" s="18">
        <f>0</f>
        <v>0</v>
      </c>
      <c r="BP20" s="18">
        <f>0</f>
        <v>0</v>
      </c>
      <c r="BQ20" s="18">
        <f>0</f>
        <v>0</v>
      </c>
      <c r="BR20" s="18">
        <f>0</f>
        <v>0</v>
      </c>
      <c r="BS20" s="18">
        <f>0</f>
        <v>0</v>
      </c>
      <c r="BT20" s="18">
        <f>0</f>
        <v>0</v>
      </c>
      <c r="BU20" s="18">
        <f>0</f>
        <v>0</v>
      </c>
      <c r="BV20" s="18">
        <f>0</f>
        <v>0</v>
      </c>
      <c r="BW20" s="18">
        <f>0</f>
        <v>0</v>
      </c>
      <c r="BX20" s="18">
        <f>0</f>
        <v>0</v>
      </c>
      <c r="BY20" s="18">
        <f>0</f>
        <v>0</v>
      </c>
      <c r="BZ20" s="18">
        <f>0</f>
        <v>0</v>
      </c>
      <c r="CA20" s="18">
        <f>0</f>
        <v>0</v>
      </c>
      <c r="CB20" s="18">
        <f>0</f>
        <v>0</v>
      </c>
      <c r="CC20" s="18">
        <f>0</f>
        <v>0</v>
      </c>
      <c r="CD20" s="18">
        <f>0</f>
        <v>0</v>
      </c>
    </row>
    <row r="21" spans="1:82" x14ac:dyDescent="0.45">
      <c r="A21" t="s">
        <v>217</v>
      </c>
      <c r="C21" s="18">
        <f>IF($B$3="DSCR Sculpted",MAX(C19,MIN(C20,C18+C19)),MIN(-PMT($B$4/4,$B$9*4,Calc_Financing_Cons!Z25),C18+C19))</f>
        <v>1983962.1645377337</v>
      </c>
      <c r="D21" s="18">
        <f>IF($B$3="DSCR Sculpted",MAX(D19,MIN(D20,D18+D19)),MIN(-PMT($B$4/4,$B$9*4,Calc_Financing_Cons!Z25),D18+D19))</f>
        <v>1981781.3398950109</v>
      </c>
      <c r="E21" s="18">
        <f>IF($B$3="DSCR Sculpted",MAX(E19,MIN(E20,E18+E19)),MIN(-PMT($B$4/4,$B$9*4,Calc_Financing_Cons!Z25),E18+E19))</f>
        <v>1979570.0372325785</v>
      </c>
      <c r="F21" s="18">
        <f>IF($B$3="DSCR Sculpted",MAX(F19,MIN(F20,F18+F19)),MIN(-PMT($B$4/4,$B$9*4,Calc_Financing_Cons!Z25),F18+F19))</f>
        <v>1977327.887297505</v>
      </c>
      <c r="G21" s="18">
        <f>IF($B$3="DSCR Sculpted",MAX(G19,MIN(G20,G18+G19)),MIN(-PMT($B$4/4,$B$9*4,Calc_Financing_Cons!Z25),G18+G19))</f>
        <v>1975054.5163632184</v>
      </c>
      <c r="H21" s="18">
        <f>IF($B$3="DSCR Sculpted",MAX(H19,MIN(H20,H18+H19)),MIN(-PMT($B$4/4,$B$9*4,Calc_Financing_Cons!Z25),H18+H19))</f>
        <v>1972749.5461753046</v>
      </c>
      <c r="I21" s="18">
        <f>IF($B$3="DSCR Sculpted",MAX(I19,MIN(I20,I18+I19)),MIN(-PMT($B$4/4,$B$9*4,Calc_Financing_Cons!Z25),I18+I19))</f>
        <v>1970412.5938966526</v>
      </c>
      <c r="J21" s="18">
        <f>IF($B$3="DSCR Sculpted",MAX(J19,MIN(J20,J18+J19)),MIN(-PMT($B$4/4,$B$9*4,Calc_Financing_Cons!Z25),J18+J19))</f>
        <v>1968043.2720519323</v>
      </c>
      <c r="K21" s="18">
        <f>IF($B$3="DSCR Sculpted",MAX(K19,MIN(K20,K18+K19)),MIN(-PMT($B$4/4,$B$9*4,Calc_Financing_Cons!Z25),K18+K19))</f>
        <v>1965641.1884714006</v>
      </c>
      <c r="L21" s="18">
        <f>IF($B$3="DSCR Sculpted",MAX(L19,MIN(L20,L18+L19)),MIN(-PMT($B$4/4,$B$9*4,Calc_Financing_Cons!Z25),L18+L19))</f>
        <v>1963205.9462340283</v>
      </c>
      <c r="M21" s="18">
        <f>IF($B$3="DSCR Sculpted",MAX(M19,MIN(M20,M18+M19)),MIN(-PMT($B$4/4,$B$9*4,Calc_Financing_Cons!Z25),M18+M19))</f>
        <v>1960737.1436099343</v>
      </c>
      <c r="N21" s="18">
        <f>IF($B$3="DSCR Sculpted",MAX(N19,MIN(N20,N18+N19)),MIN(-PMT($B$4/4,$B$9*4,Calc_Financing_Cons!Z25),N18+N19))</f>
        <v>1958234.3740021246</v>
      </c>
      <c r="O21" s="18">
        <f>IF($B$3="DSCR Sculpted",MAX(O19,MIN(O20,O18+O19)),MIN(-PMT($B$4/4,$B$9*4,Calc_Financing_Cons!Z25),O18+O19))</f>
        <v>1955697.2258875286</v>
      </c>
      <c r="P21" s="18">
        <f>IF($B$3="DSCR Sculpted",MAX(P19,MIN(P20,P18+P19)),MIN(-PMT($B$4/4,$B$9*4,Calc_Financing_Cons!Z25),P18+P19))</f>
        <v>1953125.282757313</v>
      </c>
      <c r="Q21" s="18">
        <f>IF($B$3="DSCR Sculpted",MAX(Q19,MIN(Q20,Q18+Q19)),MIN(-PMT($B$4/4,$B$9*4,Calc_Financing_Cons!Z25),Q18+Q19))</f>
        <v>1950518.1230564816</v>
      </c>
      <c r="R21" s="18">
        <f>IF($B$3="DSCR Sculpted",MAX(R19,MIN(R20,R18+R19)),MIN(-PMT($B$4/4,$B$9*4,Calc_Financing_Cons!Z25),R18+R19))</f>
        <v>1947875.3201227363</v>
      </c>
      <c r="S21" s="18">
        <f>IF($B$3="DSCR Sculpted",MAX(S19,MIN(S20,S18+S19)),MIN(-PMT($B$4/4,$B$9*4,Calc_Financing_Cons!Z25),S18+S19))</f>
        <v>1945196.442124601</v>
      </c>
      <c r="T21" s="18">
        <f>IF($B$3="DSCR Sculpted",MAX(T19,MIN(T20,T18+T19)),MIN(-PMT($B$4/4,$B$9*4,Calc_Financing_Cons!Z25),T18+T19))</f>
        <v>1942481.0519987964</v>
      </c>
      <c r="U21" s="18">
        <f>IF($B$3="DSCR Sculpted",MAX(U19,MIN(U20,U18+U19)),MIN(-PMT($B$4/4,$B$9*4,Calc_Financing_Cons!Z25),U18+U19))</f>
        <v>1939728.707386852</v>
      </c>
      <c r="V21" s="18">
        <f>IF($B$3="DSCR Sculpted",MAX(V19,MIN(V20,V18+V19)),MIN(-PMT($B$4/4,$B$9*4,Calc_Financing_Cons!Z25),V18+V19))</f>
        <v>1946554.3451863397</v>
      </c>
      <c r="W21" s="18">
        <f>IF($B$3="DSCR Sculpted",MAX(W19,MIN(W20,W18+W19)),MIN(-PMT($B$4/4,$B$9*4,Calc_Financing_Cons!Z25),W18+W19))</f>
        <v>1943699.0063380138</v>
      </c>
      <c r="X21" s="18">
        <f>IF($B$3="DSCR Sculpted",MAX(X19,MIN(X20,X18+X19)),MIN(-PMT($B$4/4,$B$9*4,Calc_Financing_Cons!Z25),X18+X19))</f>
        <v>1940805.0174709489</v>
      </c>
      <c r="Y21" s="18">
        <f>IF($B$3="DSCR Sculpted",MAX(Y19,MIN(Y20,Y18+Y19)),MIN(-PMT($B$4/4,$B$9*4,Calc_Financing_Cons!Z25),Y18+Y19))</f>
        <v>1937871.9103253016</v>
      </c>
      <c r="Z21" s="18">
        <f>IF($B$3="DSCR Sculpted",MAX(Z19,MIN(Z20,Z18+Z19)),MIN(-PMT($B$4/4,$B$9*4,Calc_Financing_Cons!Z25),Z18+Z19))</f>
        <v>1934899.2109680823</v>
      </c>
      <c r="AA21" s="18">
        <f>IF($B$3="DSCR Sculpted",MAX(AA19,MIN(AA20,AA18+AA19)),MIN(-PMT($B$4/4,$B$9*4,Calc_Financing_Cons!Z25),AA18+AA19))</f>
        <v>1931886.4397244197</v>
      </c>
      <c r="AB21" s="18">
        <f>IF($B$3="DSCR Sculpted",MAX(AB19,MIN(AB20,AB18+AB19)),MIN(-PMT($B$4/4,$B$9*4,Calc_Financing_Cons!Z25),AB18+AB19))</f>
        <v>1928833.1111079974</v>
      </c>
      <c r="AC21" s="18">
        <f>IF($B$3="DSCR Sculpted",MAX(AC19,MIN(AC20,AC18+AC19)),MIN(-PMT($B$4/4,$B$9*4,Calc_Financing_Cons!Z25),AC18+AC19))</f>
        <v>1925738.7337506451</v>
      </c>
      <c r="AD21" s="18">
        <f>IF($B$3="DSCR Sculpted",MAX(AD19,MIN(AD20,AD18+AD19)),MIN(-PMT($B$4/4,$B$9*4,Calc_Financing_Cons!Z25),AD18+AD19))</f>
        <v>1922602.8103310789</v>
      </c>
      <c r="AE21" s="18">
        <f>IF($B$3="DSCR Sculpted",MAX(AE19,MIN(AE20,AE18+AE19)),MIN(-PMT($B$4/4,$B$9*4,Calc_Financing_Cons!Z25),AE18+AE19))</f>
        <v>1919424.8375027759</v>
      </c>
      <c r="AF21" s="18">
        <f>IF($B$3="DSCR Sculpted",MAX(AF19,MIN(AF20,AF18+AF19)),MIN(-PMT($B$4/4,$B$9*4,Calc_Financing_Cons!Z25),AF18+AF19))</f>
        <v>1916204.3058209759</v>
      </c>
      <c r="AG21" s="18">
        <f>IF($B$3="DSCR Sculpted",MAX(AG19,MIN(AG20,AG18+AG19)),MIN(-PMT($B$4/4,$B$9*4,Calc_Financing_Cons!Z25),AG18+AG19))</f>
        <v>1912940.6996688002</v>
      </c>
      <c r="AH21" s="18">
        <f>IF($B$3="DSCR Sculpted",MAX(AH19,MIN(AH20,AH18+AH19)),MIN(-PMT($B$4/4,$B$9*4,Calc_Financing_Cons!Z25),AH18+AH19))</f>
        <v>1909633.4971824735</v>
      </c>
      <c r="AI21" s="18">
        <f>IF($B$3="DSCR Sculpted",MAX(AI19,MIN(AI20,AI18+AI19)),MIN(-PMT($B$4/4,$B$9*4,Calc_Financing_Cons!Z25),AI18+AI19))</f>
        <v>1906282.1701756392</v>
      </c>
      <c r="AJ21" s="18">
        <f>IF($B$3="DSCR Sculpted",MAX(AJ19,MIN(AJ20,AJ18+AJ19)),MIN(-PMT($B$4/4,$B$9*4,Calc_Financing_Cons!Z25),AJ18+AJ19))</f>
        <v>1902886.1840627603</v>
      </c>
      <c r="AK21" s="18">
        <f>IF($B$3="DSCR Sculpted",MAX(AK19,MIN(AK20,AK18+AK19)),MIN(-PMT($B$4/4,$B$9*4,Calc_Financing_Cons!Z25),AK18+AK19))</f>
        <v>1899444.997781591</v>
      </c>
      <c r="AL21" s="18">
        <f>IF($B$3="DSCR Sculpted",MAX(AL19,MIN(AL20,AL18+AL19)),MIN(-PMT($B$4/4,$B$9*4,Calc_Financing_Cons!Z25),AL18+AL19))</f>
        <v>1895958.0637147077</v>
      </c>
      <c r="AM21" s="18">
        <f>IF($B$3="DSCR Sculpted",MAX(AM19,MIN(AM20,AM18+AM19)),MIN(-PMT($B$4/4,$B$9*4,Calc_Financing_Cons!Z25),AM18+AM19))</f>
        <v>1892424.8276100906</v>
      </c>
      <c r="AN21" s="18">
        <f>IF($B$3="DSCR Sculpted",MAX(AN19,MIN(AN20,AN18+AN19)),MIN(-PMT($B$4/4,$B$9*4,Calc_Financing_Cons!Z25),AN18+AN19))</f>
        <v>1888844.7285007448</v>
      </c>
      <c r="AO21" s="18">
        <f>IF($B$3="DSCR Sculpted",MAX(AO19,MIN(AO20,AO18+AO19)),MIN(-PMT($B$4/4,$B$9*4,Calc_Financing_Cons!Z25),AO18+AO19))</f>
        <v>1885217.1986233431</v>
      </c>
      <c r="AP21" s="18">
        <f>IF($B$3="DSCR Sculpted",MAX(AP19,MIN(AP20,AP18+AP19)),MIN(-PMT($B$4/4,$B$9*4,Calc_Financing_Cons!Z25),AP18+AP19))</f>
        <v>1891157.0479512734</v>
      </c>
      <c r="AQ21" s="18">
        <f>IF($B$3="DSCR Sculpted",MAX(AQ19,MIN(AQ20,AQ18+AQ19)),MIN(-PMT($B$4/4,$B$9*4,Calc_Financing_Cons!Z25),AQ18+AQ19))</f>
        <v>1887134.7562710608</v>
      </c>
      <c r="AR21" s="18">
        <f>IF($B$3="DSCR Sculpted",MAX(AR19,MIN(AR20,AR18+AR19)),MIN(-PMT($B$4/4,$B$9*4,Calc_Financing_Cons!Z25),AR18+AR19))</f>
        <v>1883063.7329801074</v>
      </c>
      <c r="AS21" s="18">
        <f>IF($B$3="DSCR Sculpted",MAX(AS19,MIN(AS20,AS18+AS19)),MIN(-PMT($B$4/4,$B$9*4,Calc_Financing_Cons!Z25),AS18+AS19))</f>
        <v>1878943.387676206</v>
      </c>
      <c r="AT21" s="18">
        <f>IF($B$3="DSCR Sculpted",MAX(AT19,MIN(AT20,AT18+AT19)),MIN(-PMT($B$4/4,$B$9*4,Calc_Financing_Cons!Z25),AT18+AT19))</f>
        <v>1874773.1228041996</v>
      </c>
      <c r="AU21" s="18">
        <f>IF($B$3="DSCR Sculpted",MAX(AU19,MIN(AU20,AU18+AU19)),MIN(-PMT($B$4/4,$B$9*4,Calc_Financing_Cons!Z25),AU18+AU19))</f>
        <v>1870552.3335693206</v>
      </c>
      <c r="AV21" s="18">
        <f>IF($B$3="DSCR Sculpted",MAX(AV19,MIN(AV20,AV18+AV19)),MIN(-PMT($B$4/4,$B$9*4,Calc_Financing_Cons!Z25),AV18+AV19))</f>
        <v>1866280.4078494806</v>
      </c>
      <c r="AW21" s="18">
        <f>IF($B$3="DSCR Sculpted",MAX(AW19,MIN(AW20,AW18+AW19)),MIN(-PMT($B$4/4,$B$9*4,Calc_Financing_Cons!Z25),AW18+AW19))</f>
        <v>1861956.7261064965</v>
      </c>
      <c r="AX21" s="18">
        <f>IF($B$3="DSCR Sculpted",MAX(AX19,MIN(AX20,AX18+AX19)),MIN(-PMT($B$4/4,$B$9*4,Calc_Financing_Cons!Z25),AX18+AX19))</f>
        <v>1857580.6612962419</v>
      </c>
      <c r="AY21" s="18">
        <f>IF($B$3="DSCR Sculpted",MAX(AY19,MIN(AY20,AY18+AY19)),MIN(-PMT($B$4/4,$B$9*4,Calc_Financing_Cons!Z25),AY18+AY19))</f>
        <v>1853151.5787777088</v>
      </c>
      <c r="AZ21" s="18">
        <f>IF($B$3="DSCR Sculpted",MAX(AZ19,MIN(AZ20,AZ18+AZ19)),MIN(-PMT($B$4/4,$B$9*4,Calc_Financing_Cons!Z25),AZ18+AZ19))</f>
        <v>1848668.8362209706</v>
      </c>
      <c r="BA21" s="18">
        <f>IF($B$3="DSCR Sculpted",MAX(BA19,MIN(BA20,BA18+BA19)),MIN(-PMT($B$4/4,$B$9*4,Calc_Financing_Cons!Z25),BA18+BA19))</f>
        <v>1844131.7835140256</v>
      </c>
      <c r="BB21" s="18">
        <f>IF($B$3="DSCR Sculpted",MAX(BB19,MIN(BB20,BB18+BB19)),MIN(-PMT($B$4/4,$B$9*4,Calc_Financing_Cons!Z25),BB18+BB19))</f>
        <v>1839539.762668516</v>
      </c>
      <c r="BC21" s="18">
        <f>IF($B$3="DSCR Sculpted",MAX(BC19,MIN(BC20,BC18+BC19)),MIN(-PMT($B$4/4,$B$9*4,Calc_Financing_Cons!Z25),BC18+BC19))</f>
        <v>1834892.1077243008</v>
      </c>
      <c r="BD21" s="18">
        <f>IF($B$3="DSCR Sculpted",MAX(BD19,MIN(BD20,BD18+BD19)),MIN(-PMT($B$4/4,$B$9*4,Calc_Financing_Cons!Z25),BD18+BD19))</f>
        <v>1830188.144652877</v>
      </c>
      <c r="BE21" s="18">
        <f>IF($B$3="DSCR Sculpted",MAX(BE19,MIN(BE20,BE18+BE19)),MIN(-PMT($B$4/4,$B$9*4,Calc_Financing_Cons!Z25),BE18+BE19))</f>
        <v>1825427.1912596268</v>
      </c>
      <c r="BF21" s="18">
        <f>IF($B$3="DSCR Sculpted",MAX(BF19,MIN(BF20,BF18+BF19)),MIN(-PMT($B$4/4,$B$9*4,Calc_Financing_Cons!Z25),BF18+BF19))</f>
        <v>1820608.5570848808</v>
      </c>
      <c r="BG21" s="18">
        <f>IF($B$3="DSCR Sculpted",MAX(BG19,MIN(BG20,BG18+BG19)),MIN(-PMT($B$4/4,$B$9*4,Calc_Financing_Cons!Z25),BG18+BG19))</f>
        <v>1815731.5433037872</v>
      </c>
      <c r="BH21" s="18">
        <f>IF($B$3="DSCR Sculpted",MAX(BH19,MIN(BH20,BH18+BH19)),MIN(-PMT($B$4/4,$B$9*4,Calc_Financing_Cons!Z25),BH18+BH19))</f>
        <v>1810795.442624961</v>
      </c>
      <c r="BI21" s="18">
        <f>IF($B$3="DSCR Sculpted",MAX(BI19,MIN(BI20,BI18+BI19)),MIN(-PMT($B$4/4,$B$9*4,Calc_Financing_Cons!Z25),BI18+BI19))</f>
        <v>1805799.5391879105</v>
      </c>
      <c r="BJ21" s="18">
        <f>IF($B$3="DSCR Sculpted",MAX(BJ19,MIN(BJ20,BJ18+BJ19)),MIN(-PMT($B$4/4,$B$9*4,Calc_Financing_Cons!Z25),BJ18+BJ19))</f>
        <v>1800617.6769391664</v>
      </c>
      <c r="BK21" s="18">
        <f>0</f>
        <v>0</v>
      </c>
      <c r="BL21" s="18">
        <f>0</f>
        <v>0</v>
      </c>
      <c r="BM21" s="18">
        <f>0</f>
        <v>0</v>
      </c>
      <c r="BN21" s="18">
        <f>0</f>
        <v>0</v>
      </c>
      <c r="BO21" s="18">
        <f>0</f>
        <v>0</v>
      </c>
      <c r="BP21" s="18">
        <f>0</f>
        <v>0</v>
      </c>
      <c r="BQ21" s="18">
        <f>0</f>
        <v>0</v>
      </c>
      <c r="BR21" s="18">
        <f>0</f>
        <v>0</v>
      </c>
      <c r="BS21" s="18">
        <f>0</f>
        <v>0</v>
      </c>
      <c r="BT21" s="18">
        <f>0</f>
        <v>0</v>
      </c>
      <c r="BU21" s="18">
        <f>0</f>
        <v>0</v>
      </c>
      <c r="BV21" s="18">
        <f>0</f>
        <v>0</v>
      </c>
      <c r="BW21" s="18">
        <f>0</f>
        <v>0</v>
      </c>
      <c r="BX21" s="18">
        <f>0</f>
        <v>0</v>
      </c>
      <c r="BY21" s="18">
        <f>0</f>
        <v>0</v>
      </c>
      <c r="BZ21" s="18">
        <f>0</f>
        <v>0</v>
      </c>
      <c r="CA21" s="18">
        <f>0</f>
        <v>0</v>
      </c>
      <c r="CB21" s="18">
        <f>0</f>
        <v>0</v>
      </c>
      <c r="CC21" s="18">
        <f>0</f>
        <v>0</v>
      </c>
      <c r="CD21" s="18">
        <f>0</f>
        <v>0</v>
      </c>
    </row>
    <row r="22" spans="1:82" x14ac:dyDescent="0.45">
      <c r="A22" t="s">
        <v>218</v>
      </c>
      <c r="C22" s="18">
        <f t="shared" ref="C22:AH22" si="6">C21-C19</f>
        <v>849769.20947715477</v>
      </c>
      <c r="D22" s="18">
        <f t="shared" si="6"/>
        <v>860334.92297658953</v>
      </c>
      <c r="E22" s="18">
        <f t="shared" si="6"/>
        <v>871028.64415880572</v>
      </c>
      <c r="F22" s="18">
        <f t="shared" si="6"/>
        <v>881851.9238861145</v>
      </c>
      <c r="G22" s="18">
        <f t="shared" si="6"/>
        <v>892806.33181011956</v>
      </c>
      <c r="H22" s="18">
        <f t="shared" si="6"/>
        <v>903893.45659935754</v>
      </c>
      <c r="I22" s="18">
        <f t="shared" si="6"/>
        <v>915114.90616969578</v>
      </c>
      <c r="J22" s="18">
        <f t="shared" si="6"/>
        <v>926472.30791752099</v>
      </c>
      <c r="K22" s="18">
        <f t="shared" si="6"/>
        <v>937967.30895575217</v>
      </c>
      <c r="L22" s="18">
        <f t="shared" si="6"/>
        <v>949601.57635271631</v>
      </c>
      <c r="M22" s="18">
        <f t="shared" si="6"/>
        <v>961376.79737391288</v>
      </c>
      <c r="N22" s="18">
        <f t="shared" si="6"/>
        <v>973294.67972671206</v>
      </c>
      <c r="O22" s="18">
        <f t="shared" si="6"/>
        <v>985356.95180801663</v>
      </c>
      <c r="P22" s="18">
        <f t="shared" si="6"/>
        <v>997565.36295492121</v>
      </c>
      <c r="Q22" s="18">
        <f t="shared" si="6"/>
        <v>1009921.6836984137</v>
      </c>
      <c r="R22" s="18">
        <f t="shared" si="6"/>
        <v>1022427.7060201446</v>
      </c>
      <c r="S22" s="18">
        <f t="shared" si="6"/>
        <v>1035085.2436123115</v>
      </c>
      <c r="T22" s="18">
        <f t="shared" si="6"/>
        <v>1047896.1321406916</v>
      </c>
      <c r="U22" s="18">
        <f t="shared" si="6"/>
        <v>1060862.2295108575</v>
      </c>
      <c r="V22" s="18">
        <f t="shared" si="6"/>
        <v>1083600.8007530081</v>
      </c>
      <c r="W22" s="18">
        <f t="shared" si="6"/>
        <v>1096999.4739159774</v>
      </c>
      <c r="X22" s="18">
        <f t="shared" si="6"/>
        <v>1110560.4771576519</v>
      </c>
      <c r="Y22" s="18">
        <f t="shared" si="6"/>
        <v>1124285.7771693696</v>
      </c>
      <c r="Z22" s="18">
        <f t="shared" si="6"/>
        <v>1138177.3644696907</v>
      </c>
      <c r="AA22" s="18">
        <f t="shared" si="6"/>
        <v>1152237.2536930735</v>
      </c>
      <c r="AB22" s="18">
        <f t="shared" si="6"/>
        <v>1166467.4838820472</v>
      </c>
      <c r="AC22" s="18">
        <f t="shared" si="6"/>
        <v>1180870.1187829259</v>
      </c>
      <c r="AD22" s="18">
        <f t="shared" si="6"/>
        <v>1195447.2471451033</v>
      </c>
      <c r="AE22" s="18">
        <f t="shared" si="6"/>
        <v>1210200.9830239769</v>
      </c>
      <c r="AF22" s="18">
        <f t="shared" si="6"/>
        <v>1225133.4660875367</v>
      </c>
      <c r="AG22" s="18">
        <f t="shared" si="6"/>
        <v>1240246.8619266739</v>
      </c>
      <c r="AH22" s="18">
        <f t="shared" si="6"/>
        <v>1255543.3623692472</v>
      </c>
      <c r="AI22" s="18">
        <f t="shared" ref="AI22:BN22" si="7">AI21-AI19</f>
        <v>1271025.1857979516</v>
      </c>
      <c r="AJ22" s="18">
        <f t="shared" si="7"/>
        <v>1286694.5774720423</v>
      </c>
      <c r="AK22" s="18">
        <f t="shared" si="7"/>
        <v>1302553.8098529535</v>
      </c>
      <c r="AL22" s="18">
        <f t="shared" si="7"/>
        <v>1318605.1829338646</v>
      </c>
      <c r="AM22" s="18">
        <f t="shared" si="7"/>
        <v>1334851.0245732553</v>
      </c>
      <c r="AN22" s="18">
        <f t="shared" si="7"/>
        <v>1351293.6908325085</v>
      </c>
      <c r="AO22" s="18">
        <f t="shared" si="7"/>
        <v>1367935.5663175946</v>
      </c>
      <c r="AP22" s="18">
        <f t="shared" si="7"/>
        <v>1394394.4491402886</v>
      </c>
      <c r="AQ22" s="18">
        <f t="shared" si="7"/>
        <v>1411288.0741971803</v>
      </c>
      <c r="AR22" s="18">
        <f t="shared" si="7"/>
        <v>1428386.3720191848</v>
      </c>
      <c r="AS22" s="18">
        <f t="shared" si="7"/>
        <v>1445691.822295571</v>
      </c>
      <c r="AT22" s="18">
        <f t="shared" si="7"/>
        <v>1463206.9347579982</v>
      </c>
      <c r="AU22" s="18">
        <f t="shared" si="7"/>
        <v>1480934.2495444892</v>
      </c>
      <c r="AV22" s="18">
        <f t="shared" si="7"/>
        <v>1498876.3375678165</v>
      </c>
      <c r="AW22" s="18">
        <f t="shared" si="7"/>
        <v>1517035.8008883498</v>
      </c>
      <c r="AX22" s="18">
        <f t="shared" si="7"/>
        <v>1535415.2730914203</v>
      </c>
      <c r="AY22" s="18">
        <f t="shared" si="7"/>
        <v>1554017.4196692586</v>
      </c>
      <c r="AZ22" s="18">
        <f t="shared" si="7"/>
        <v>1572844.9384075592</v>
      </c>
      <c r="BA22" s="18">
        <f t="shared" si="7"/>
        <v>1591900.5597767276</v>
      </c>
      <c r="BB22" s="18">
        <f t="shared" si="7"/>
        <v>1611187.0473278689</v>
      </c>
      <c r="BC22" s="18">
        <f t="shared" si="7"/>
        <v>1630707.1980935717</v>
      </c>
      <c r="BD22" s="18">
        <f t="shared" si="7"/>
        <v>1650463.8429935516</v>
      </c>
      <c r="BE22" s="18">
        <f t="shared" si="7"/>
        <v>1670459.8472452045</v>
      </c>
      <c r="BF22" s="18">
        <f t="shared" si="7"/>
        <v>1690698.1107791367</v>
      </c>
      <c r="BG22" s="18">
        <f t="shared" si="7"/>
        <v>1711181.5686597303</v>
      </c>
      <c r="BH22" s="18">
        <f t="shared" si="7"/>
        <v>1731913.1915107998</v>
      </c>
      <c r="BI22" s="18">
        <f t="shared" si="7"/>
        <v>1752895.9859464113</v>
      </c>
      <c r="BJ22" s="18">
        <f t="shared" si="7"/>
        <v>1774007.5634868634</v>
      </c>
      <c r="BK22" s="18">
        <f t="shared" si="7"/>
        <v>0</v>
      </c>
      <c r="BL22" s="18">
        <f t="shared" si="7"/>
        <v>0</v>
      </c>
      <c r="BM22" s="18">
        <f t="shared" si="7"/>
        <v>0</v>
      </c>
      <c r="BN22" s="18">
        <f t="shared" si="7"/>
        <v>0</v>
      </c>
      <c r="BO22" s="18">
        <f t="shared" ref="BO22:CD22" si="8">BO21-BO19</f>
        <v>0</v>
      </c>
      <c r="BP22" s="18">
        <f t="shared" si="8"/>
        <v>0</v>
      </c>
      <c r="BQ22" s="18">
        <f t="shared" si="8"/>
        <v>0</v>
      </c>
      <c r="BR22" s="18">
        <f t="shared" si="8"/>
        <v>0</v>
      </c>
      <c r="BS22" s="18">
        <f t="shared" si="8"/>
        <v>0</v>
      </c>
      <c r="BT22" s="18">
        <f t="shared" si="8"/>
        <v>0</v>
      </c>
      <c r="BU22" s="18">
        <f t="shared" si="8"/>
        <v>0</v>
      </c>
      <c r="BV22" s="18">
        <f t="shared" si="8"/>
        <v>0</v>
      </c>
      <c r="BW22" s="18">
        <f t="shared" si="8"/>
        <v>0</v>
      </c>
      <c r="BX22" s="18">
        <f t="shared" si="8"/>
        <v>0</v>
      </c>
      <c r="BY22" s="18">
        <f t="shared" si="8"/>
        <v>0</v>
      </c>
      <c r="BZ22" s="18">
        <f t="shared" si="8"/>
        <v>0</v>
      </c>
      <c r="CA22" s="18">
        <f t="shared" si="8"/>
        <v>0</v>
      </c>
      <c r="CB22" s="18">
        <f t="shared" si="8"/>
        <v>0</v>
      </c>
      <c r="CC22" s="18">
        <f t="shared" si="8"/>
        <v>0</v>
      </c>
      <c r="CD22" s="18">
        <f t="shared" si="8"/>
        <v>0</v>
      </c>
    </row>
    <row r="23" spans="1:82" x14ac:dyDescent="0.45">
      <c r="A23" t="s">
        <v>166</v>
      </c>
      <c r="C23" s="18">
        <f t="shared" ref="C23:AH23" si="9">C18-C22</f>
        <v>74763094.461228102</v>
      </c>
      <c r="D23" s="18">
        <f t="shared" si="9"/>
        <v>73902759.538251519</v>
      </c>
      <c r="E23" s="18">
        <f t="shared" si="9"/>
        <v>73031730.894092709</v>
      </c>
      <c r="F23" s="18">
        <f t="shared" si="9"/>
        <v>72149878.970206589</v>
      </c>
      <c r="G23" s="18">
        <f t="shared" si="9"/>
        <v>71257072.638396472</v>
      </c>
      <c r="H23" s="18">
        <f t="shared" si="9"/>
        <v>70353179.181797117</v>
      </c>
      <c r="I23" s="18">
        <f t="shared" si="9"/>
        <v>69438064.275627419</v>
      </c>
      <c r="J23" s="18">
        <f t="shared" si="9"/>
        <v>68511591.967709899</v>
      </c>
      <c r="K23" s="18">
        <f t="shared" si="9"/>
        <v>67573624.65875414</v>
      </c>
      <c r="L23" s="18">
        <f t="shared" si="9"/>
        <v>66624023.082401425</v>
      </c>
      <c r="M23" s="18">
        <f t="shared" si="9"/>
        <v>65662646.285027511</v>
      </c>
      <c r="N23" s="18">
        <f t="shared" si="9"/>
        <v>64689351.605300799</v>
      </c>
      <c r="O23" s="18">
        <f t="shared" si="9"/>
        <v>63703994.653492786</v>
      </c>
      <c r="P23" s="18">
        <f t="shared" si="9"/>
        <v>62706429.290537864</v>
      </c>
      <c r="Q23" s="18">
        <f t="shared" si="9"/>
        <v>61696507.606839448</v>
      </c>
      <c r="R23" s="18">
        <f t="shared" si="9"/>
        <v>60674079.900819302</v>
      </c>
      <c r="S23" s="18">
        <f t="shared" si="9"/>
        <v>59638994.65720699</v>
      </c>
      <c r="T23" s="18">
        <f t="shared" si="9"/>
        <v>58591098.525066301</v>
      </c>
      <c r="U23" s="18">
        <f t="shared" si="9"/>
        <v>57530236.295555443</v>
      </c>
      <c r="V23" s="18">
        <f t="shared" si="9"/>
        <v>56446635.494802438</v>
      </c>
      <c r="W23" s="18">
        <f t="shared" si="9"/>
        <v>55349636.020886458</v>
      </c>
      <c r="X23" s="18">
        <f t="shared" si="9"/>
        <v>54239075.543728806</v>
      </c>
      <c r="Y23" s="18">
        <f t="shared" si="9"/>
        <v>53114789.766559437</v>
      </c>
      <c r="Z23" s="18">
        <f t="shared" si="9"/>
        <v>51976612.402089745</v>
      </c>
      <c r="AA23" s="18">
        <f t="shared" si="9"/>
        <v>50824375.148396671</v>
      </c>
      <c r="AB23" s="18">
        <f t="shared" si="9"/>
        <v>49657907.664514624</v>
      </c>
      <c r="AC23" s="18">
        <f t="shared" si="9"/>
        <v>48477037.545731701</v>
      </c>
      <c r="AD23" s="18">
        <f t="shared" si="9"/>
        <v>47281590.2985866</v>
      </c>
      <c r="AE23" s="18">
        <f t="shared" si="9"/>
        <v>46071389.315562621</v>
      </c>
      <c r="AF23" s="18">
        <f t="shared" si="9"/>
        <v>44846255.849475086</v>
      </c>
      <c r="AG23" s="18">
        <f t="shared" si="9"/>
        <v>43606008.987548411</v>
      </c>
      <c r="AH23" s="18">
        <f t="shared" si="9"/>
        <v>42350465.625179164</v>
      </c>
      <c r="AI23" s="18">
        <f t="shared" ref="AI23:BN23" si="10">AI18-AI22</f>
        <v>41079440.439381212</v>
      </c>
      <c r="AJ23" s="18">
        <f t="shared" si="10"/>
        <v>39792745.861909166</v>
      </c>
      <c r="AK23" s="18">
        <f t="shared" si="10"/>
        <v>38490192.052056216</v>
      </c>
      <c r="AL23" s="18">
        <f t="shared" si="10"/>
        <v>37171586.869122349</v>
      </c>
      <c r="AM23" s="18">
        <f t="shared" si="10"/>
        <v>35836735.84454909</v>
      </c>
      <c r="AN23" s="18">
        <f t="shared" si="10"/>
        <v>34485442.153716579</v>
      </c>
      <c r="AO23" s="18">
        <f t="shared" si="10"/>
        <v>33117506.587398984</v>
      </c>
      <c r="AP23" s="18">
        <f t="shared" si="10"/>
        <v>31723112.138258696</v>
      </c>
      <c r="AQ23" s="18">
        <f t="shared" si="10"/>
        <v>30311824.064061515</v>
      </c>
      <c r="AR23" s="18">
        <f t="shared" si="10"/>
        <v>28883437.692042328</v>
      </c>
      <c r="AS23" s="18">
        <f t="shared" si="10"/>
        <v>27437745.869746756</v>
      </c>
      <c r="AT23" s="18">
        <f t="shared" si="10"/>
        <v>25974538.934988759</v>
      </c>
      <c r="AU23" s="18">
        <f t="shared" si="10"/>
        <v>24493604.685444269</v>
      </c>
      <c r="AV23" s="18">
        <f t="shared" si="10"/>
        <v>22994728.347876452</v>
      </c>
      <c r="AW23" s="18">
        <f t="shared" si="10"/>
        <v>21477692.546988104</v>
      </c>
      <c r="AX23" s="18">
        <f t="shared" si="10"/>
        <v>19942277.273896683</v>
      </c>
      <c r="AY23" s="18">
        <f t="shared" si="10"/>
        <v>18388259.854227424</v>
      </c>
      <c r="AZ23" s="18">
        <f t="shared" si="10"/>
        <v>16815414.915819865</v>
      </c>
      <c r="BA23" s="18">
        <f t="shared" si="10"/>
        <v>15223514.356043138</v>
      </c>
      <c r="BB23" s="18">
        <f t="shared" si="10"/>
        <v>13612327.308715269</v>
      </c>
      <c r="BC23" s="18">
        <f t="shared" si="10"/>
        <v>11981620.110621698</v>
      </c>
      <c r="BD23" s="18">
        <f t="shared" si="10"/>
        <v>10331156.267628146</v>
      </c>
      <c r="BE23" s="18">
        <f t="shared" si="10"/>
        <v>8660696.4203829411</v>
      </c>
      <c r="BF23" s="18">
        <f t="shared" si="10"/>
        <v>6969998.3096038047</v>
      </c>
      <c r="BG23" s="18">
        <f t="shared" si="10"/>
        <v>5258816.7409440745</v>
      </c>
      <c r="BH23" s="18">
        <f t="shared" si="10"/>
        <v>3526903.5494332747</v>
      </c>
      <c r="BI23" s="18">
        <f t="shared" si="10"/>
        <v>1774007.5634868634</v>
      </c>
      <c r="BJ23" s="18">
        <f t="shared" si="10"/>
        <v>0</v>
      </c>
      <c r="BK23" s="18">
        <f t="shared" si="10"/>
        <v>0</v>
      </c>
      <c r="BL23" s="18">
        <f t="shared" si="10"/>
        <v>0</v>
      </c>
      <c r="BM23" s="18">
        <f t="shared" si="10"/>
        <v>0</v>
      </c>
      <c r="BN23" s="18">
        <f t="shared" si="10"/>
        <v>0</v>
      </c>
      <c r="BO23" s="18">
        <f t="shared" ref="BO23:CD23" si="11">BO18-BO22</f>
        <v>0</v>
      </c>
      <c r="BP23" s="18">
        <f t="shared" si="11"/>
        <v>0</v>
      </c>
      <c r="BQ23" s="18">
        <f t="shared" si="11"/>
        <v>0</v>
      </c>
      <c r="BR23" s="18">
        <f t="shared" si="11"/>
        <v>0</v>
      </c>
      <c r="BS23" s="18">
        <f t="shared" si="11"/>
        <v>0</v>
      </c>
      <c r="BT23" s="18">
        <f t="shared" si="11"/>
        <v>0</v>
      </c>
      <c r="BU23" s="18">
        <f t="shared" si="11"/>
        <v>0</v>
      </c>
      <c r="BV23" s="18">
        <f t="shared" si="11"/>
        <v>0</v>
      </c>
      <c r="BW23" s="18">
        <f t="shared" si="11"/>
        <v>0</v>
      </c>
      <c r="BX23" s="18">
        <f t="shared" si="11"/>
        <v>0</v>
      </c>
      <c r="BY23" s="18">
        <f t="shared" si="11"/>
        <v>0</v>
      </c>
      <c r="BZ23" s="18">
        <f t="shared" si="11"/>
        <v>0</v>
      </c>
      <c r="CA23" s="18">
        <f t="shared" si="11"/>
        <v>0</v>
      </c>
      <c r="CB23" s="18">
        <f t="shared" si="11"/>
        <v>0</v>
      </c>
      <c r="CC23" s="18">
        <f t="shared" si="11"/>
        <v>0</v>
      </c>
      <c r="CD23" s="18">
        <f t="shared" si="11"/>
        <v>0</v>
      </c>
    </row>
    <row r="24" spans="1:82" x14ac:dyDescent="0.45">
      <c r="A24" t="s">
        <v>219</v>
      </c>
      <c r="C24" s="15">
        <f>IF(C21=0,"",Calc_CFADS!C5/C21)</f>
        <v>1.3</v>
      </c>
      <c r="D24" s="15">
        <f>IF(D21=0,"",Calc_CFADS!D5/D21)</f>
        <v>1.3</v>
      </c>
      <c r="E24" s="15">
        <f>IF(E21=0,"",Calc_CFADS!E5/E21)</f>
        <v>1.3</v>
      </c>
      <c r="F24" s="15">
        <f>IF(F21=0,"",Calc_CFADS!F5/F21)</f>
        <v>1.3</v>
      </c>
      <c r="G24" s="15">
        <f>IF(G21=0,"",Calc_CFADS!G5/G21)</f>
        <v>1.3</v>
      </c>
      <c r="H24" s="15">
        <f>IF(H21=0,"",Calc_CFADS!H5/H21)</f>
        <v>1.3</v>
      </c>
      <c r="I24" s="15">
        <f>IF(I21=0,"",Calc_CFADS!I5/I21)</f>
        <v>1.3</v>
      </c>
      <c r="J24" s="15">
        <f>IF(J21=0,"",Calc_CFADS!J5/J21)</f>
        <v>1.3</v>
      </c>
      <c r="K24" s="15">
        <f>IF(K21=0,"",Calc_CFADS!K5/K21)</f>
        <v>1.3</v>
      </c>
      <c r="L24" s="15">
        <f>IF(L21=0,"",Calc_CFADS!L5/L21)</f>
        <v>1.3</v>
      </c>
      <c r="M24" s="15">
        <f>IF(M21=0,"",Calc_CFADS!M5/M21)</f>
        <v>1.3</v>
      </c>
      <c r="N24" s="15">
        <f>IF(N21=0,"",Calc_CFADS!N5/N21)</f>
        <v>1.3</v>
      </c>
      <c r="O24" s="15">
        <f>IF(O21=0,"",Calc_CFADS!O5/O21)</f>
        <v>1.3</v>
      </c>
      <c r="P24" s="15">
        <f>IF(P21=0,"",Calc_CFADS!P5/P21)</f>
        <v>1.3</v>
      </c>
      <c r="Q24" s="15">
        <f>IF(Q21=0,"",Calc_CFADS!Q5/Q21)</f>
        <v>1.3</v>
      </c>
      <c r="R24" s="15">
        <f>IF(R21=0,"",Calc_CFADS!R5/R21)</f>
        <v>1.3</v>
      </c>
      <c r="S24" s="15">
        <f>IF(S21=0,"",Calc_CFADS!S5/S21)</f>
        <v>1.3</v>
      </c>
      <c r="T24" s="15">
        <f>IF(T21=0,"",Calc_CFADS!T5/T21)</f>
        <v>1.3</v>
      </c>
      <c r="U24" s="15">
        <f>IF(U21=0,"",Calc_CFADS!U5/U21)</f>
        <v>1.3</v>
      </c>
      <c r="V24" s="15">
        <f>IF(V21=0,"",Calc_CFADS!V5/V21)</f>
        <v>1.3</v>
      </c>
      <c r="W24" s="15">
        <f>IF(W21=0,"",Calc_CFADS!W5/W21)</f>
        <v>1.3</v>
      </c>
      <c r="X24" s="15">
        <f>IF(X21=0,"",Calc_CFADS!X5/X21)</f>
        <v>1.3</v>
      </c>
      <c r="Y24" s="15">
        <f>IF(Y21=0,"",Calc_CFADS!Y5/Y21)</f>
        <v>1.3</v>
      </c>
      <c r="Z24" s="15">
        <f>IF(Z21=0,"",Calc_CFADS!Z5/Z21)</f>
        <v>1.3</v>
      </c>
      <c r="AA24" s="15">
        <f>IF(AA21=0,"",Calc_CFADS!AA5/AA21)</f>
        <v>1.3</v>
      </c>
      <c r="AB24" s="15">
        <f>IF(AB21=0,"",Calc_CFADS!AB5/AB21)</f>
        <v>1.3</v>
      </c>
      <c r="AC24" s="15">
        <f>IF(AC21=0,"",Calc_CFADS!AC5/AC21)</f>
        <v>1.3</v>
      </c>
      <c r="AD24" s="15">
        <f>IF(AD21=0,"",Calc_CFADS!AD5/AD21)</f>
        <v>1.3</v>
      </c>
      <c r="AE24" s="15">
        <f>IF(AE21=0,"",Calc_CFADS!AE5/AE21)</f>
        <v>1.3</v>
      </c>
      <c r="AF24" s="15">
        <f>IF(AF21=0,"",Calc_CFADS!AF5/AF21)</f>
        <v>1.3</v>
      </c>
      <c r="AG24" s="15">
        <f>IF(AG21=0,"",Calc_CFADS!AG5/AG21)</f>
        <v>1.3</v>
      </c>
      <c r="AH24" s="15">
        <f>IF(AH21=0,"",Calc_CFADS!AH5/AH21)</f>
        <v>1.3</v>
      </c>
      <c r="AI24" s="15">
        <f>IF(AI21=0,"",Calc_CFADS!AI5/AI21)</f>
        <v>1.3</v>
      </c>
      <c r="AJ24" s="15">
        <f>IF(AJ21=0,"",Calc_CFADS!AJ5/AJ21)</f>
        <v>1.3</v>
      </c>
      <c r="AK24" s="15">
        <f>IF(AK21=0,"",Calc_CFADS!AK5/AK21)</f>
        <v>1.3</v>
      </c>
      <c r="AL24" s="15">
        <f>IF(AL21=0,"",Calc_CFADS!AL5/AL21)</f>
        <v>1.3</v>
      </c>
      <c r="AM24" s="15">
        <f>IF(AM21=0,"",Calc_CFADS!AM5/AM21)</f>
        <v>1.3</v>
      </c>
      <c r="AN24" s="15">
        <f>IF(AN21=0,"",Calc_CFADS!AN5/AN21)</f>
        <v>1.3</v>
      </c>
      <c r="AO24" s="15">
        <f>IF(AO21=0,"",Calc_CFADS!AO5/AO21)</f>
        <v>1.3</v>
      </c>
      <c r="AP24" s="15">
        <f>IF(AP21=0,"",Calc_CFADS!AP5/AP21)</f>
        <v>1.3</v>
      </c>
      <c r="AQ24" s="15">
        <f>IF(AQ21=0,"",Calc_CFADS!AQ5/AQ21)</f>
        <v>1.3</v>
      </c>
      <c r="AR24" s="15">
        <f>IF(AR21=0,"",Calc_CFADS!AR5/AR21)</f>
        <v>1.3</v>
      </c>
      <c r="AS24" s="15">
        <f>IF(AS21=0,"",Calc_CFADS!AS5/AS21)</f>
        <v>1.3</v>
      </c>
      <c r="AT24" s="15">
        <f>IF(AT21=0,"",Calc_CFADS!AT5/AT21)</f>
        <v>1.3</v>
      </c>
      <c r="AU24" s="15">
        <f>IF(AU21=0,"",Calc_CFADS!AU5/AU21)</f>
        <v>1.3</v>
      </c>
      <c r="AV24" s="15">
        <f>IF(AV21=0,"",Calc_CFADS!AV5/AV21)</f>
        <v>1.3</v>
      </c>
      <c r="AW24" s="15">
        <f>IF(AW21=0,"",Calc_CFADS!AW5/AW21)</f>
        <v>1.3</v>
      </c>
      <c r="AX24" s="15">
        <f>IF(AX21=0,"",Calc_CFADS!AX5/AX21)</f>
        <v>1.3</v>
      </c>
      <c r="AY24" s="15">
        <f>IF(AY21=0,"",Calc_CFADS!AY5/AY21)</f>
        <v>1.3</v>
      </c>
      <c r="AZ24" s="15">
        <f>IF(AZ21=0,"",Calc_CFADS!AZ5/AZ21)</f>
        <v>1.3</v>
      </c>
      <c r="BA24" s="15">
        <f>IF(BA21=0,"",Calc_CFADS!BA5/BA21)</f>
        <v>1.3</v>
      </c>
      <c r="BB24" s="15">
        <f>IF(BB21=0,"",Calc_CFADS!BB5/BB21)</f>
        <v>1.3</v>
      </c>
      <c r="BC24" s="15">
        <f>IF(BC21=0,"",Calc_CFADS!BC5/BC21)</f>
        <v>1.3</v>
      </c>
      <c r="BD24" s="15">
        <f>IF(BD21=0,"",Calc_CFADS!BD5/BD21)</f>
        <v>1.3</v>
      </c>
      <c r="BE24" s="15">
        <f>IF(BE21=0,"",Calc_CFADS!BE5/BE21)</f>
        <v>1.3</v>
      </c>
      <c r="BF24" s="15">
        <f>IF(BF21=0,"",Calc_CFADS!BF5/BF21)</f>
        <v>1.3</v>
      </c>
      <c r="BG24" s="15">
        <f>IF(BG21=0,"",Calc_CFADS!BG5/BG21)</f>
        <v>1.3</v>
      </c>
      <c r="BH24" s="15">
        <f>IF(BH21=0,"",Calc_CFADS!BH5/BH21)</f>
        <v>1.3</v>
      </c>
      <c r="BI24" s="15">
        <f>IF(BI21=0,"",Calc_CFADS!BI5/BI21)</f>
        <v>1.3</v>
      </c>
      <c r="BJ24" s="15">
        <f>IF(BJ21=0,"",Calc_CFADS!BJ5/BJ21)</f>
        <v>1.3000905583557001</v>
      </c>
      <c r="BK24" s="15" t="str">
        <f>IF(BK21=0,"",Calc_CFADS!BK5/BK21)</f>
        <v/>
      </c>
      <c r="BL24" s="15" t="str">
        <f>IF(BL21=0,"",Calc_CFADS!BL5/BL21)</f>
        <v/>
      </c>
      <c r="BM24" s="15" t="str">
        <f>IF(BM21=0,"",Calc_CFADS!BM5/BM21)</f>
        <v/>
      </c>
      <c r="BN24" s="15" t="str">
        <f>IF(BN21=0,"",Calc_CFADS!BN5/BN21)</f>
        <v/>
      </c>
      <c r="BO24" s="15" t="str">
        <f>IF(BO21=0,"",Calc_CFADS!BO5/BO21)</f>
        <v/>
      </c>
      <c r="BP24" s="15" t="str">
        <f>IF(BP21=0,"",Calc_CFADS!BP5/BP21)</f>
        <v/>
      </c>
      <c r="BQ24" s="15" t="str">
        <f>IF(BQ21=0,"",Calc_CFADS!BQ5/BQ21)</f>
        <v/>
      </c>
      <c r="BR24" s="15" t="str">
        <f>IF(BR21=0,"",Calc_CFADS!BR5/BR21)</f>
        <v/>
      </c>
      <c r="BS24" s="15" t="str">
        <f>IF(BS21=0,"",Calc_CFADS!BS5/BS21)</f>
        <v/>
      </c>
      <c r="BT24" s="15" t="str">
        <f>IF(BT21=0,"",Calc_CFADS!BT5/BT21)</f>
        <v/>
      </c>
      <c r="BU24" s="15" t="str">
        <f>IF(BU21=0,"",Calc_CFADS!BU5/BU21)</f>
        <v/>
      </c>
      <c r="BV24" s="15" t="str">
        <f>IF(BV21=0,"",Calc_CFADS!BV5/BV21)</f>
        <v/>
      </c>
      <c r="BW24" s="15" t="str">
        <f>IF(BW21=0,"",Calc_CFADS!BW5/BW21)</f>
        <v/>
      </c>
      <c r="BX24" s="15" t="str">
        <f>IF(BX21=0,"",Calc_CFADS!BX5/BX21)</f>
        <v/>
      </c>
      <c r="BY24" s="15" t="str">
        <f>IF(BY21=0,"",Calc_CFADS!BY5/BY21)</f>
        <v/>
      </c>
      <c r="BZ24" s="15" t="str">
        <f>IF(BZ21=0,"",Calc_CFADS!BZ5/BZ21)</f>
        <v/>
      </c>
      <c r="CA24" s="15" t="str">
        <f>IF(CA21=0,"",Calc_CFADS!CA5/CA21)</f>
        <v/>
      </c>
      <c r="CB24" s="15" t="str">
        <f>IF(CB21=0,"",Calc_CFADS!CB5/CB21)</f>
        <v/>
      </c>
      <c r="CC24" s="15" t="str">
        <f>IF(CC21=0,"",Calc_CFADS!CC5/CC21)</f>
        <v/>
      </c>
      <c r="CD24" s="15" t="str">
        <f>IF(CD21=0,"",Calc_CFADS!CD5/CD21)</f>
        <v/>
      </c>
    </row>
    <row r="26" spans="1:82" x14ac:dyDescent="0.45">
      <c r="A26" t="s">
        <v>220</v>
      </c>
      <c r="C26" s="18">
        <f t="shared" ref="C26:AH26" si="12">SUM(D21:E21)</f>
        <v>3961351.3771275897</v>
      </c>
      <c r="D26" s="18">
        <f t="shared" si="12"/>
        <v>3956897.9245300833</v>
      </c>
      <c r="E26" s="18">
        <f t="shared" si="12"/>
        <v>3952382.4036607235</v>
      </c>
      <c r="F26" s="18">
        <f t="shared" si="12"/>
        <v>3947804.0625385232</v>
      </c>
      <c r="G26" s="18">
        <f t="shared" si="12"/>
        <v>3943162.1400719574</v>
      </c>
      <c r="H26" s="18">
        <f t="shared" si="12"/>
        <v>3938455.8659485849</v>
      </c>
      <c r="I26" s="18">
        <f t="shared" si="12"/>
        <v>3933684.4605233329</v>
      </c>
      <c r="J26" s="18">
        <f t="shared" si="12"/>
        <v>3928847.134705429</v>
      </c>
      <c r="K26" s="18">
        <f t="shared" si="12"/>
        <v>3923943.0898439623</v>
      </c>
      <c r="L26" s="18">
        <f t="shared" si="12"/>
        <v>3918971.5176120587</v>
      </c>
      <c r="M26" s="18">
        <f t="shared" si="12"/>
        <v>3913931.5998896533</v>
      </c>
      <c r="N26" s="18">
        <f t="shared" si="12"/>
        <v>3908822.5086448416</v>
      </c>
      <c r="O26" s="18">
        <f t="shared" si="12"/>
        <v>3903643.4058137946</v>
      </c>
      <c r="P26" s="18">
        <f t="shared" si="12"/>
        <v>3898393.4431792181</v>
      </c>
      <c r="Q26" s="18">
        <f t="shared" si="12"/>
        <v>3893071.762247337</v>
      </c>
      <c r="R26" s="18">
        <f t="shared" si="12"/>
        <v>3887677.4941233974</v>
      </c>
      <c r="S26" s="18">
        <f t="shared" si="12"/>
        <v>3882209.7593856482</v>
      </c>
      <c r="T26" s="18">
        <f t="shared" si="12"/>
        <v>3886283.0525731919</v>
      </c>
      <c r="U26" s="18">
        <f t="shared" si="12"/>
        <v>3890253.3515243535</v>
      </c>
      <c r="V26" s="18">
        <f t="shared" si="12"/>
        <v>3884504.0238089627</v>
      </c>
      <c r="W26" s="18">
        <f t="shared" si="12"/>
        <v>3878676.9277962502</v>
      </c>
      <c r="X26" s="18">
        <f t="shared" si="12"/>
        <v>3872771.1212933837</v>
      </c>
      <c r="Y26" s="18">
        <f t="shared" si="12"/>
        <v>3866785.650692502</v>
      </c>
      <c r="Z26" s="18">
        <f t="shared" si="12"/>
        <v>3860719.5508324169</v>
      </c>
      <c r="AA26" s="18">
        <f t="shared" si="12"/>
        <v>3854571.8448586427</v>
      </c>
      <c r="AB26" s="18">
        <f t="shared" si="12"/>
        <v>3848341.5440817242</v>
      </c>
      <c r="AC26" s="18">
        <f t="shared" si="12"/>
        <v>3842027.6478338549</v>
      </c>
      <c r="AD26" s="18">
        <f t="shared" si="12"/>
        <v>3835629.1433237521</v>
      </c>
      <c r="AE26" s="18">
        <f t="shared" si="12"/>
        <v>3829145.0054897759</v>
      </c>
      <c r="AF26" s="18">
        <f t="shared" si="12"/>
        <v>3822574.196851274</v>
      </c>
      <c r="AG26" s="18">
        <f t="shared" si="12"/>
        <v>3815915.6673581125</v>
      </c>
      <c r="AH26" s="18">
        <f t="shared" si="12"/>
        <v>3809168.3542383993</v>
      </c>
      <c r="AI26" s="18">
        <f t="shared" ref="AI26:BN26" si="13">SUM(AJ21:AK21)</f>
        <v>3802331.1818443513</v>
      </c>
      <c r="AJ26" s="18">
        <f t="shared" si="13"/>
        <v>3795403.0614962988</v>
      </c>
      <c r="AK26" s="18">
        <f t="shared" si="13"/>
        <v>3788382.8913247986</v>
      </c>
      <c r="AL26" s="18">
        <f t="shared" si="13"/>
        <v>3781269.5561108356</v>
      </c>
      <c r="AM26" s="18">
        <f t="shared" si="13"/>
        <v>3774061.9271240877</v>
      </c>
      <c r="AN26" s="18">
        <f t="shared" si="13"/>
        <v>3776374.2465746165</v>
      </c>
      <c r="AO26" s="18">
        <f t="shared" si="13"/>
        <v>3778291.8042223342</v>
      </c>
      <c r="AP26" s="18">
        <f t="shared" si="13"/>
        <v>3770198.4892511684</v>
      </c>
      <c r="AQ26" s="18">
        <f t="shared" si="13"/>
        <v>3762007.1206563134</v>
      </c>
      <c r="AR26" s="18">
        <f t="shared" si="13"/>
        <v>3753716.5104804058</v>
      </c>
      <c r="AS26" s="18">
        <f t="shared" si="13"/>
        <v>3745325.4563735202</v>
      </c>
      <c r="AT26" s="18">
        <f t="shared" si="13"/>
        <v>3736832.7414188012</v>
      </c>
      <c r="AU26" s="18">
        <f t="shared" si="13"/>
        <v>3728237.1339559769</v>
      </c>
      <c r="AV26" s="18">
        <f t="shared" si="13"/>
        <v>3719537.3874027384</v>
      </c>
      <c r="AW26" s="18">
        <f t="shared" si="13"/>
        <v>3710732.240073951</v>
      </c>
      <c r="AX26" s="18">
        <f t="shared" si="13"/>
        <v>3701820.4149986794</v>
      </c>
      <c r="AY26" s="18">
        <f t="shared" si="13"/>
        <v>3692800.619734996</v>
      </c>
      <c r="AZ26" s="18">
        <f t="shared" si="13"/>
        <v>3683671.5461825416</v>
      </c>
      <c r="BA26" s="18">
        <f t="shared" si="13"/>
        <v>3674431.8703928171</v>
      </c>
      <c r="BB26" s="18">
        <f t="shared" si="13"/>
        <v>3665080.2523771776</v>
      </c>
      <c r="BC26" s="18">
        <f t="shared" si="13"/>
        <v>3655615.3359125038</v>
      </c>
      <c r="BD26" s="18">
        <f t="shared" si="13"/>
        <v>3646035.7483445075</v>
      </c>
      <c r="BE26" s="18">
        <f t="shared" si="13"/>
        <v>3636340.100388668</v>
      </c>
      <c r="BF26" s="18">
        <f t="shared" si="13"/>
        <v>3626526.9859287483</v>
      </c>
      <c r="BG26" s="18">
        <f t="shared" si="13"/>
        <v>3616594.9818128715</v>
      </c>
      <c r="BH26" s="18">
        <f t="shared" si="13"/>
        <v>3606417.2161270771</v>
      </c>
      <c r="BI26" s="18">
        <f t="shared" si="13"/>
        <v>1800617.6769391664</v>
      </c>
      <c r="BJ26" s="18">
        <f t="shared" si="13"/>
        <v>0</v>
      </c>
      <c r="BK26" s="18">
        <f t="shared" si="13"/>
        <v>0</v>
      </c>
      <c r="BL26" s="18">
        <f t="shared" si="13"/>
        <v>0</v>
      </c>
      <c r="BM26" s="18">
        <f t="shared" si="13"/>
        <v>0</v>
      </c>
      <c r="BN26" s="18">
        <f t="shared" si="13"/>
        <v>0</v>
      </c>
      <c r="BO26" s="18">
        <f t="shared" ref="BO26:CB26" si="14">SUM(BP21:BQ21)</f>
        <v>0</v>
      </c>
      <c r="BP26" s="18">
        <f t="shared" si="14"/>
        <v>0</v>
      </c>
      <c r="BQ26" s="18">
        <f t="shared" si="14"/>
        <v>0</v>
      </c>
      <c r="BR26" s="18">
        <f t="shared" si="14"/>
        <v>0</v>
      </c>
      <c r="BS26" s="18">
        <f t="shared" si="14"/>
        <v>0</v>
      </c>
      <c r="BT26" s="18">
        <f t="shared" si="14"/>
        <v>0</v>
      </c>
      <c r="BU26" s="18">
        <f t="shared" si="14"/>
        <v>0</v>
      </c>
      <c r="BV26" s="18">
        <f t="shared" si="14"/>
        <v>0</v>
      </c>
      <c r="BW26" s="18">
        <f t="shared" si="14"/>
        <v>0</v>
      </c>
      <c r="BX26" s="18">
        <f t="shared" si="14"/>
        <v>0</v>
      </c>
      <c r="BY26" s="18">
        <f t="shared" si="14"/>
        <v>0</v>
      </c>
      <c r="BZ26" s="18">
        <f t="shared" si="14"/>
        <v>0</v>
      </c>
      <c r="CA26" s="18">
        <f t="shared" si="14"/>
        <v>0</v>
      </c>
      <c r="CB26" s="18">
        <f t="shared" si="14"/>
        <v>0</v>
      </c>
      <c r="CC26" s="18">
        <f>SUM(CD21:CD21)</f>
        <v>0</v>
      </c>
      <c r="CD26" s="18">
        <f>0</f>
        <v>0</v>
      </c>
    </row>
    <row r="27" spans="1:82" x14ac:dyDescent="0.45">
      <c r="A27" t="s">
        <v>221</v>
      </c>
      <c r="C27" s="18">
        <f t="shared" ref="C27:AH27" si="15">IF($B$13="Cash Funded",C26,0)</f>
        <v>3961351.3771275897</v>
      </c>
      <c r="D27" s="18">
        <f t="shared" si="15"/>
        <v>3956897.9245300833</v>
      </c>
      <c r="E27" s="18">
        <f t="shared" si="15"/>
        <v>3952382.4036607235</v>
      </c>
      <c r="F27" s="18">
        <f t="shared" si="15"/>
        <v>3947804.0625385232</v>
      </c>
      <c r="G27" s="18">
        <f t="shared" si="15"/>
        <v>3943162.1400719574</v>
      </c>
      <c r="H27" s="18">
        <f t="shared" si="15"/>
        <v>3938455.8659485849</v>
      </c>
      <c r="I27" s="18">
        <f t="shared" si="15"/>
        <v>3933684.4605233329</v>
      </c>
      <c r="J27" s="18">
        <f t="shared" si="15"/>
        <v>3928847.134705429</v>
      </c>
      <c r="K27" s="18">
        <f t="shared" si="15"/>
        <v>3923943.0898439623</v>
      </c>
      <c r="L27" s="18">
        <f t="shared" si="15"/>
        <v>3918971.5176120587</v>
      </c>
      <c r="M27" s="18">
        <f t="shared" si="15"/>
        <v>3913931.5998896533</v>
      </c>
      <c r="N27" s="18">
        <f t="shared" si="15"/>
        <v>3908822.5086448416</v>
      </c>
      <c r="O27" s="18">
        <f t="shared" si="15"/>
        <v>3903643.4058137946</v>
      </c>
      <c r="P27" s="18">
        <f t="shared" si="15"/>
        <v>3898393.4431792181</v>
      </c>
      <c r="Q27" s="18">
        <f t="shared" si="15"/>
        <v>3893071.762247337</v>
      </c>
      <c r="R27" s="18">
        <f t="shared" si="15"/>
        <v>3887677.4941233974</v>
      </c>
      <c r="S27" s="18">
        <f t="shared" si="15"/>
        <v>3882209.7593856482</v>
      </c>
      <c r="T27" s="18">
        <f t="shared" si="15"/>
        <v>3886283.0525731919</v>
      </c>
      <c r="U27" s="18">
        <f t="shared" si="15"/>
        <v>3890253.3515243535</v>
      </c>
      <c r="V27" s="18">
        <f t="shared" si="15"/>
        <v>3884504.0238089627</v>
      </c>
      <c r="W27" s="18">
        <f t="shared" si="15"/>
        <v>3878676.9277962502</v>
      </c>
      <c r="X27" s="18">
        <f t="shared" si="15"/>
        <v>3872771.1212933837</v>
      </c>
      <c r="Y27" s="18">
        <f t="shared" si="15"/>
        <v>3866785.650692502</v>
      </c>
      <c r="Z27" s="18">
        <f t="shared" si="15"/>
        <v>3860719.5508324169</v>
      </c>
      <c r="AA27" s="18">
        <f t="shared" si="15"/>
        <v>3854571.8448586427</v>
      </c>
      <c r="AB27" s="18">
        <f t="shared" si="15"/>
        <v>3848341.5440817242</v>
      </c>
      <c r="AC27" s="18">
        <f t="shared" si="15"/>
        <v>3842027.6478338549</v>
      </c>
      <c r="AD27" s="18">
        <f t="shared" si="15"/>
        <v>3835629.1433237521</v>
      </c>
      <c r="AE27" s="18">
        <f t="shared" si="15"/>
        <v>3829145.0054897759</v>
      </c>
      <c r="AF27" s="18">
        <f t="shared" si="15"/>
        <v>3822574.196851274</v>
      </c>
      <c r="AG27" s="18">
        <f t="shared" si="15"/>
        <v>3815915.6673581125</v>
      </c>
      <c r="AH27" s="18">
        <f t="shared" si="15"/>
        <v>3809168.3542383993</v>
      </c>
      <c r="AI27" s="18">
        <f t="shared" ref="AI27:BN27" si="16">IF($B$13="Cash Funded",AI26,0)</f>
        <v>3802331.1818443513</v>
      </c>
      <c r="AJ27" s="18">
        <f t="shared" si="16"/>
        <v>3795403.0614962988</v>
      </c>
      <c r="AK27" s="18">
        <f t="shared" si="16"/>
        <v>3788382.8913247986</v>
      </c>
      <c r="AL27" s="18">
        <f t="shared" si="16"/>
        <v>3781269.5561108356</v>
      </c>
      <c r="AM27" s="18">
        <f t="shared" si="16"/>
        <v>3774061.9271240877</v>
      </c>
      <c r="AN27" s="18">
        <f t="shared" si="16"/>
        <v>3776374.2465746165</v>
      </c>
      <c r="AO27" s="18">
        <f t="shared" si="16"/>
        <v>3778291.8042223342</v>
      </c>
      <c r="AP27" s="18">
        <f t="shared" si="16"/>
        <v>3770198.4892511684</v>
      </c>
      <c r="AQ27" s="18">
        <f t="shared" si="16"/>
        <v>3762007.1206563134</v>
      </c>
      <c r="AR27" s="18">
        <f t="shared" si="16"/>
        <v>3753716.5104804058</v>
      </c>
      <c r="AS27" s="18">
        <f t="shared" si="16"/>
        <v>3745325.4563735202</v>
      </c>
      <c r="AT27" s="18">
        <f t="shared" si="16"/>
        <v>3736832.7414188012</v>
      </c>
      <c r="AU27" s="18">
        <f t="shared" si="16"/>
        <v>3728237.1339559769</v>
      </c>
      <c r="AV27" s="18">
        <f t="shared" si="16"/>
        <v>3719537.3874027384</v>
      </c>
      <c r="AW27" s="18">
        <f t="shared" si="16"/>
        <v>3710732.240073951</v>
      </c>
      <c r="AX27" s="18">
        <f t="shared" si="16"/>
        <v>3701820.4149986794</v>
      </c>
      <c r="AY27" s="18">
        <f t="shared" si="16"/>
        <v>3692800.619734996</v>
      </c>
      <c r="AZ27" s="18">
        <f t="shared" si="16"/>
        <v>3683671.5461825416</v>
      </c>
      <c r="BA27" s="18">
        <f t="shared" si="16"/>
        <v>3674431.8703928171</v>
      </c>
      <c r="BB27" s="18">
        <f t="shared" si="16"/>
        <v>3665080.2523771776</v>
      </c>
      <c r="BC27" s="18">
        <f t="shared" si="16"/>
        <v>3655615.3359125038</v>
      </c>
      <c r="BD27" s="18">
        <f t="shared" si="16"/>
        <v>3646035.7483445075</v>
      </c>
      <c r="BE27" s="18">
        <f t="shared" si="16"/>
        <v>3636340.100388668</v>
      </c>
      <c r="BF27" s="18">
        <f t="shared" si="16"/>
        <v>3626526.9859287483</v>
      </c>
      <c r="BG27" s="18">
        <f t="shared" si="16"/>
        <v>3616594.9818128715</v>
      </c>
      <c r="BH27" s="18">
        <f t="shared" si="16"/>
        <v>3606417.2161270771</v>
      </c>
      <c r="BI27" s="18">
        <f t="shared" si="16"/>
        <v>1800617.6769391664</v>
      </c>
      <c r="BJ27" s="18">
        <f t="shared" si="16"/>
        <v>0</v>
      </c>
      <c r="BK27" s="18">
        <f t="shared" si="16"/>
        <v>0</v>
      </c>
      <c r="BL27" s="18">
        <f t="shared" si="16"/>
        <v>0</v>
      </c>
      <c r="BM27" s="18">
        <f t="shared" si="16"/>
        <v>0</v>
      </c>
      <c r="BN27" s="18">
        <f t="shared" si="16"/>
        <v>0</v>
      </c>
      <c r="BO27" s="18">
        <f t="shared" ref="BO27:CD27" si="17">IF($B$13="Cash Funded",BO26,0)</f>
        <v>0</v>
      </c>
      <c r="BP27" s="18">
        <f t="shared" si="17"/>
        <v>0</v>
      </c>
      <c r="BQ27" s="18">
        <f t="shared" si="17"/>
        <v>0</v>
      </c>
      <c r="BR27" s="18">
        <f t="shared" si="17"/>
        <v>0</v>
      </c>
      <c r="BS27" s="18">
        <f t="shared" si="17"/>
        <v>0</v>
      </c>
      <c r="BT27" s="18">
        <f t="shared" si="17"/>
        <v>0</v>
      </c>
      <c r="BU27" s="18">
        <f t="shared" si="17"/>
        <v>0</v>
      </c>
      <c r="BV27" s="18">
        <f t="shared" si="17"/>
        <v>0</v>
      </c>
      <c r="BW27" s="18">
        <f t="shared" si="17"/>
        <v>0</v>
      </c>
      <c r="BX27" s="18">
        <f t="shared" si="17"/>
        <v>0</v>
      </c>
      <c r="BY27" s="18">
        <f t="shared" si="17"/>
        <v>0</v>
      </c>
      <c r="BZ27" s="18">
        <f t="shared" si="17"/>
        <v>0</v>
      </c>
      <c r="CA27" s="18">
        <f t="shared" si="17"/>
        <v>0</v>
      </c>
      <c r="CB27" s="18">
        <f t="shared" si="17"/>
        <v>0</v>
      </c>
      <c r="CC27" s="18">
        <f t="shared" si="17"/>
        <v>0</v>
      </c>
      <c r="CD27" s="18">
        <f t="shared" si="17"/>
        <v>0</v>
      </c>
    </row>
    <row r="28" spans="1:82" x14ac:dyDescent="0.45">
      <c r="A28" t="s">
        <v>222</v>
      </c>
      <c r="C28" s="18">
        <f>C27</f>
        <v>3961351.3771275897</v>
      </c>
      <c r="D28" s="18">
        <f t="shared" ref="D28:AI28" si="18">D27-C27</f>
        <v>-4453.4525975063443</v>
      </c>
      <c r="E28" s="18">
        <f t="shared" si="18"/>
        <v>-4515.5208693598397</v>
      </c>
      <c r="F28" s="18">
        <f t="shared" si="18"/>
        <v>-4578.3411222002469</v>
      </c>
      <c r="G28" s="18">
        <f t="shared" si="18"/>
        <v>-4641.9224665658548</v>
      </c>
      <c r="H28" s="18">
        <f t="shared" si="18"/>
        <v>-4706.2741233725101</v>
      </c>
      <c r="I28" s="18">
        <f t="shared" si="18"/>
        <v>-4771.4054252519272</v>
      </c>
      <c r="J28" s="18">
        <f t="shared" si="18"/>
        <v>-4837.3258179039694</v>
      </c>
      <c r="K28" s="18">
        <f t="shared" si="18"/>
        <v>-4904.0448614666238</v>
      </c>
      <c r="L28" s="18">
        <f t="shared" si="18"/>
        <v>-4971.5722319036722</v>
      </c>
      <c r="M28" s="18">
        <f t="shared" si="18"/>
        <v>-5039.9177224054001</v>
      </c>
      <c r="N28" s="18">
        <f t="shared" si="18"/>
        <v>-5109.0912448116578</v>
      </c>
      <c r="O28" s="18">
        <f t="shared" si="18"/>
        <v>-5179.1028310470283</v>
      </c>
      <c r="P28" s="18">
        <f t="shared" si="18"/>
        <v>-5249.9626345764846</v>
      </c>
      <c r="Q28" s="18">
        <f t="shared" si="18"/>
        <v>-5321.6809318810701</v>
      </c>
      <c r="R28" s="18">
        <f t="shared" si="18"/>
        <v>-5394.2681239396334</v>
      </c>
      <c r="S28" s="18">
        <f t="shared" si="18"/>
        <v>-5467.7347377492115</v>
      </c>
      <c r="T28" s="18">
        <f t="shared" si="18"/>
        <v>4073.2931875437498</v>
      </c>
      <c r="U28" s="18">
        <f t="shared" si="18"/>
        <v>3970.2989511615597</v>
      </c>
      <c r="V28" s="18">
        <f t="shared" si="18"/>
        <v>-5749.3277153908275</v>
      </c>
      <c r="W28" s="18">
        <f t="shared" si="18"/>
        <v>-5827.0960127124563</v>
      </c>
      <c r="X28" s="18">
        <f t="shared" si="18"/>
        <v>-5905.8065028665587</v>
      </c>
      <c r="Y28" s="18">
        <f t="shared" si="18"/>
        <v>-5985.4706008816138</v>
      </c>
      <c r="Z28" s="18">
        <f t="shared" si="18"/>
        <v>-6066.0998600851744</v>
      </c>
      <c r="AA28" s="18">
        <f t="shared" si="18"/>
        <v>-6147.7059737741947</v>
      </c>
      <c r="AB28" s="18">
        <f t="shared" si="18"/>
        <v>-6230.3007769184187</v>
      </c>
      <c r="AC28" s="18">
        <f t="shared" si="18"/>
        <v>-6313.8962478693575</v>
      </c>
      <c r="AD28" s="18">
        <f t="shared" si="18"/>
        <v>-6398.5045101027936</v>
      </c>
      <c r="AE28" s="18">
        <f t="shared" si="18"/>
        <v>-6484.1378339761868</v>
      </c>
      <c r="AF28" s="18">
        <f t="shared" si="18"/>
        <v>-6570.8086385019124</v>
      </c>
      <c r="AG28" s="18">
        <f t="shared" si="18"/>
        <v>-6658.5294931614771</v>
      </c>
      <c r="AH28" s="18">
        <f t="shared" si="18"/>
        <v>-6747.313119713217</v>
      </c>
      <c r="AI28" s="18">
        <f t="shared" si="18"/>
        <v>-6837.1723940479569</v>
      </c>
      <c r="AJ28" s="18">
        <f t="shared" ref="AJ28:BO28" si="19">AJ27-AI27</f>
        <v>-6928.1203480525874</v>
      </c>
      <c r="AK28" s="18">
        <f t="shared" si="19"/>
        <v>-7020.1701715001836</v>
      </c>
      <c r="AL28" s="18">
        <f t="shared" si="19"/>
        <v>-7113.3352139629424</v>
      </c>
      <c r="AM28" s="18">
        <f t="shared" si="19"/>
        <v>-7207.6289867479354</v>
      </c>
      <c r="AN28" s="18">
        <f t="shared" si="19"/>
        <v>2312.3194505288266</v>
      </c>
      <c r="AO28" s="18">
        <f t="shared" si="19"/>
        <v>1917.557647717651</v>
      </c>
      <c r="AP28" s="18">
        <f t="shared" si="19"/>
        <v>-8093.3149711657315</v>
      </c>
      <c r="AQ28" s="18">
        <f t="shared" si="19"/>
        <v>-8191.3685948550701</v>
      </c>
      <c r="AR28" s="18">
        <f t="shared" si="19"/>
        <v>-8290.6101759076118</v>
      </c>
      <c r="AS28" s="18">
        <f t="shared" si="19"/>
        <v>-8391.0541068855673</v>
      </c>
      <c r="AT28" s="18">
        <f t="shared" si="19"/>
        <v>-8492.7149547189474</v>
      </c>
      <c r="AU28" s="18">
        <f t="shared" si="19"/>
        <v>-8595.6074628243223</v>
      </c>
      <c r="AV28" s="18">
        <f t="shared" si="19"/>
        <v>-8699.7465532384813</v>
      </c>
      <c r="AW28" s="18">
        <f t="shared" si="19"/>
        <v>-8805.1473287874833</v>
      </c>
      <c r="AX28" s="18">
        <f t="shared" si="19"/>
        <v>-8911.8250752715394</v>
      </c>
      <c r="AY28" s="18">
        <f t="shared" si="19"/>
        <v>-9019.7952636834234</v>
      </c>
      <c r="AZ28" s="18">
        <f t="shared" si="19"/>
        <v>-9129.0735524543561</v>
      </c>
      <c r="BA28" s="18">
        <f t="shared" si="19"/>
        <v>-9239.6757897245698</v>
      </c>
      <c r="BB28" s="18">
        <f t="shared" si="19"/>
        <v>-9351.6180156394839</v>
      </c>
      <c r="BC28" s="18">
        <f t="shared" si="19"/>
        <v>-9464.9164646738209</v>
      </c>
      <c r="BD28" s="18">
        <f t="shared" si="19"/>
        <v>-9579.5875679962337</v>
      </c>
      <c r="BE28" s="18">
        <f t="shared" si="19"/>
        <v>-9695.6479558395222</v>
      </c>
      <c r="BF28" s="18">
        <f t="shared" si="19"/>
        <v>-9813.1144599197432</v>
      </c>
      <c r="BG28" s="18">
        <f t="shared" si="19"/>
        <v>-9932.0041158767417</v>
      </c>
      <c r="BH28" s="18">
        <f t="shared" si="19"/>
        <v>-10177.765685794409</v>
      </c>
      <c r="BI28" s="18">
        <f t="shared" si="19"/>
        <v>-1805799.5391879107</v>
      </c>
      <c r="BJ28" s="18">
        <f t="shared" si="19"/>
        <v>-1800617.6769391664</v>
      </c>
      <c r="BK28" s="18">
        <f t="shared" si="19"/>
        <v>0</v>
      </c>
      <c r="BL28" s="18">
        <f t="shared" si="19"/>
        <v>0</v>
      </c>
      <c r="BM28" s="18">
        <f t="shared" si="19"/>
        <v>0</v>
      </c>
      <c r="BN28" s="18">
        <f t="shared" si="19"/>
        <v>0</v>
      </c>
      <c r="BO28" s="18">
        <f t="shared" si="19"/>
        <v>0</v>
      </c>
      <c r="BP28" s="18">
        <f t="shared" ref="BP28:CD28" si="20">BP27-BO27</f>
        <v>0</v>
      </c>
      <c r="BQ28" s="18">
        <f t="shared" si="20"/>
        <v>0</v>
      </c>
      <c r="BR28" s="18">
        <f t="shared" si="20"/>
        <v>0</v>
      </c>
      <c r="BS28" s="18">
        <f t="shared" si="20"/>
        <v>0</v>
      </c>
      <c r="BT28" s="18">
        <f t="shared" si="20"/>
        <v>0</v>
      </c>
      <c r="BU28" s="18">
        <f t="shared" si="20"/>
        <v>0</v>
      </c>
      <c r="BV28" s="18">
        <f t="shared" si="20"/>
        <v>0</v>
      </c>
      <c r="BW28" s="18">
        <f t="shared" si="20"/>
        <v>0</v>
      </c>
      <c r="BX28" s="18">
        <f t="shared" si="20"/>
        <v>0</v>
      </c>
      <c r="BY28" s="18">
        <f t="shared" si="20"/>
        <v>0</v>
      </c>
      <c r="BZ28" s="18">
        <f t="shared" si="20"/>
        <v>0</v>
      </c>
      <c r="CA28" s="18">
        <f t="shared" si="20"/>
        <v>0</v>
      </c>
      <c r="CB28" s="18">
        <f t="shared" si="20"/>
        <v>0</v>
      </c>
      <c r="CC28" s="18">
        <f t="shared" si="20"/>
        <v>0</v>
      </c>
      <c r="CD28" s="18">
        <f t="shared" si="20"/>
        <v>0</v>
      </c>
    </row>
    <row r="29" spans="1:82" x14ac:dyDescent="0.45">
      <c r="A29" t="s">
        <v>223</v>
      </c>
      <c r="C29" s="18">
        <f t="shared" ref="C29:AH29" si="21">IF($B$13="Cash Funded",0,C26*$B$12/4)</f>
        <v>0</v>
      </c>
      <c r="D29" s="18">
        <f t="shared" si="21"/>
        <v>0</v>
      </c>
      <c r="E29" s="18">
        <f t="shared" si="21"/>
        <v>0</v>
      </c>
      <c r="F29" s="18">
        <f t="shared" si="21"/>
        <v>0</v>
      </c>
      <c r="G29" s="18">
        <f t="shared" si="21"/>
        <v>0</v>
      </c>
      <c r="H29" s="18">
        <f t="shared" si="21"/>
        <v>0</v>
      </c>
      <c r="I29" s="18">
        <f t="shared" si="21"/>
        <v>0</v>
      </c>
      <c r="J29" s="18">
        <f t="shared" si="21"/>
        <v>0</v>
      </c>
      <c r="K29" s="18">
        <f t="shared" si="21"/>
        <v>0</v>
      </c>
      <c r="L29" s="18">
        <f t="shared" si="21"/>
        <v>0</v>
      </c>
      <c r="M29" s="18">
        <f t="shared" si="21"/>
        <v>0</v>
      </c>
      <c r="N29" s="18">
        <f t="shared" si="21"/>
        <v>0</v>
      </c>
      <c r="O29" s="18">
        <f t="shared" si="21"/>
        <v>0</v>
      </c>
      <c r="P29" s="18">
        <f t="shared" si="21"/>
        <v>0</v>
      </c>
      <c r="Q29" s="18">
        <f t="shared" si="21"/>
        <v>0</v>
      </c>
      <c r="R29" s="18">
        <f t="shared" si="21"/>
        <v>0</v>
      </c>
      <c r="S29" s="18">
        <f t="shared" si="21"/>
        <v>0</v>
      </c>
      <c r="T29" s="18">
        <f t="shared" si="21"/>
        <v>0</v>
      </c>
      <c r="U29" s="18">
        <f t="shared" si="21"/>
        <v>0</v>
      </c>
      <c r="V29" s="18">
        <f t="shared" si="21"/>
        <v>0</v>
      </c>
      <c r="W29" s="18">
        <f t="shared" si="21"/>
        <v>0</v>
      </c>
      <c r="X29" s="18">
        <f t="shared" si="21"/>
        <v>0</v>
      </c>
      <c r="Y29" s="18">
        <f t="shared" si="21"/>
        <v>0</v>
      </c>
      <c r="Z29" s="18">
        <f t="shared" si="21"/>
        <v>0</v>
      </c>
      <c r="AA29" s="18">
        <f t="shared" si="21"/>
        <v>0</v>
      </c>
      <c r="AB29" s="18">
        <f t="shared" si="21"/>
        <v>0</v>
      </c>
      <c r="AC29" s="18">
        <f t="shared" si="21"/>
        <v>0</v>
      </c>
      <c r="AD29" s="18">
        <f t="shared" si="21"/>
        <v>0</v>
      </c>
      <c r="AE29" s="18">
        <f t="shared" si="21"/>
        <v>0</v>
      </c>
      <c r="AF29" s="18">
        <f t="shared" si="21"/>
        <v>0</v>
      </c>
      <c r="AG29" s="18">
        <f t="shared" si="21"/>
        <v>0</v>
      </c>
      <c r="AH29" s="18">
        <f t="shared" si="21"/>
        <v>0</v>
      </c>
      <c r="AI29" s="18">
        <f t="shared" ref="AI29:BN29" si="22">IF($B$13="Cash Funded",0,AI26*$B$12/4)</f>
        <v>0</v>
      </c>
      <c r="AJ29" s="18">
        <f t="shared" si="22"/>
        <v>0</v>
      </c>
      <c r="AK29" s="18">
        <f t="shared" si="22"/>
        <v>0</v>
      </c>
      <c r="AL29" s="18">
        <f t="shared" si="22"/>
        <v>0</v>
      </c>
      <c r="AM29" s="18">
        <f t="shared" si="22"/>
        <v>0</v>
      </c>
      <c r="AN29" s="18">
        <f t="shared" si="22"/>
        <v>0</v>
      </c>
      <c r="AO29" s="18">
        <f t="shared" si="22"/>
        <v>0</v>
      </c>
      <c r="AP29" s="18">
        <f t="shared" si="22"/>
        <v>0</v>
      </c>
      <c r="AQ29" s="18">
        <f t="shared" si="22"/>
        <v>0</v>
      </c>
      <c r="AR29" s="18">
        <f t="shared" si="22"/>
        <v>0</v>
      </c>
      <c r="AS29" s="18">
        <f t="shared" si="22"/>
        <v>0</v>
      </c>
      <c r="AT29" s="18">
        <f t="shared" si="22"/>
        <v>0</v>
      </c>
      <c r="AU29" s="18">
        <f t="shared" si="22"/>
        <v>0</v>
      </c>
      <c r="AV29" s="18">
        <f t="shared" si="22"/>
        <v>0</v>
      </c>
      <c r="AW29" s="18">
        <f t="shared" si="22"/>
        <v>0</v>
      </c>
      <c r="AX29" s="18">
        <f t="shared" si="22"/>
        <v>0</v>
      </c>
      <c r="AY29" s="18">
        <f t="shared" si="22"/>
        <v>0</v>
      </c>
      <c r="AZ29" s="18">
        <f t="shared" si="22"/>
        <v>0</v>
      </c>
      <c r="BA29" s="18">
        <f t="shared" si="22"/>
        <v>0</v>
      </c>
      <c r="BB29" s="18">
        <f t="shared" si="22"/>
        <v>0</v>
      </c>
      <c r="BC29" s="18">
        <f t="shared" si="22"/>
        <v>0</v>
      </c>
      <c r="BD29" s="18">
        <f t="shared" si="22"/>
        <v>0</v>
      </c>
      <c r="BE29" s="18">
        <f t="shared" si="22"/>
        <v>0</v>
      </c>
      <c r="BF29" s="18">
        <f t="shared" si="22"/>
        <v>0</v>
      </c>
      <c r="BG29" s="18">
        <f t="shared" si="22"/>
        <v>0</v>
      </c>
      <c r="BH29" s="18">
        <f t="shared" si="22"/>
        <v>0</v>
      </c>
      <c r="BI29" s="18">
        <f t="shared" si="22"/>
        <v>0</v>
      </c>
      <c r="BJ29" s="18">
        <f t="shared" si="22"/>
        <v>0</v>
      </c>
      <c r="BK29" s="18">
        <f t="shared" si="22"/>
        <v>0</v>
      </c>
      <c r="BL29" s="18">
        <f t="shared" si="22"/>
        <v>0</v>
      </c>
      <c r="BM29" s="18">
        <f t="shared" si="22"/>
        <v>0</v>
      </c>
      <c r="BN29" s="18">
        <f t="shared" si="22"/>
        <v>0</v>
      </c>
      <c r="BO29" s="18">
        <f t="shared" ref="BO29:CD29" si="23">IF($B$13="Cash Funded",0,BO26*$B$12/4)</f>
        <v>0</v>
      </c>
      <c r="BP29" s="18">
        <f t="shared" si="23"/>
        <v>0</v>
      </c>
      <c r="BQ29" s="18">
        <f t="shared" si="23"/>
        <v>0</v>
      </c>
      <c r="BR29" s="18">
        <f t="shared" si="23"/>
        <v>0</v>
      </c>
      <c r="BS29" s="18">
        <f t="shared" si="23"/>
        <v>0</v>
      </c>
      <c r="BT29" s="18">
        <f t="shared" si="23"/>
        <v>0</v>
      </c>
      <c r="BU29" s="18">
        <f t="shared" si="23"/>
        <v>0</v>
      </c>
      <c r="BV29" s="18">
        <f t="shared" si="23"/>
        <v>0</v>
      </c>
      <c r="BW29" s="18">
        <f t="shared" si="23"/>
        <v>0</v>
      </c>
      <c r="BX29" s="18">
        <f t="shared" si="23"/>
        <v>0</v>
      </c>
      <c r="BY29" s="18">
        <f t="shared" si="23"/>
        <v>0</v>
      </c>
      <c r="BZ29" s="18">
        <f t="shared" si="23"/>
        <v>0</v>
      </c>
      <c r="CA29" s="18">
        <f t="shared" si="23"/>
        <v>0</v>
      </c>
      <c r="CB29" s="18">
        <f t="shared" si="23"/>
        <v>0</v>
      </c>
      <c r="CC29" s="18">
        <f t="shared" si="23"/>
        <v>0</v>
      </c>
      <c r="CD29" s="18">
        <f t="shared" si="23"/>
        <v>0</v>
      </c>
    </row>
    <row r="30" spans="1:82" x14ac:dyDescent="0.45">
      <c r="A30" t="s">
        <v>224</v>
      </c>
      <c r="C30" s="18">
        <f t="shared" ref="C30:AH30" si="24">C28+C29</f>
        <v>3961351.3771275897</v>
      </c>
      <c r="D30" s="18">
        <f t="shared" si="24"/>
        <v>-4453.4525975063443</v>
      </c>
      <c r="E30" s="18">
        <f t="shared" si="24"/>
        <v>-4515.5208693598397</v>
      </c>
      <c r="F30" s="18">
        <f t="shared" si="24"/>
        <v>-4578.3411222002469</v>
      </c>
      <c r="G30" s="18">
        <f t="shared" si="24"/>
        <v>-4641.9224665658548</v>
      </c>
      <c r="H30" s="18">
        <f t="shared" si="24"/>
        <v>-4706.2741233725101</v>
      </c>
      <c r="I30" s="18">
        <f t="shared" si="24"/>
        <v>-4771.4054252519272</v>
      </c>
      <c r="J30" s="18">
        <f t="shared" si="24"/>
        <v>-4837.3258179039694</v>
      </c>
      <c r="K30" s="18">
        <f t="shared" si="24"/>
        <v>-4904.0448614666238</v>
      </c>
      <c r="L30" s="18">
        <f t="shared" si="24"/>
        <v>-4971.5722319036722</v>
      </c>
      <c r="M30" s="18">
        <f t="shared" si="24"/>
        <v>-5039.9177224054001</v>
      </c>
      <c r="N30" s="18">
        <f t="shared" si="24"/>
        <v>-5109.0912448116578</v>
      </c>
      <c r="O30" s="18">
        <f t="shared" si="24"/>
        <v>-5179.1028310470283</v>
      </c>
      <c r="P30" s="18">
        <f t="shared" si="24"/>
        <v>-5249.9626345764846</v>
      </c>
      <c r="Q30" s="18">
        <f t="shared" si="24"/>
        <v>-5321.6809318810701</v>
      </c>
      <c r="R30" s="18">
        <f t="shared" si="24"/>
        <v>-5394.2681239396334</v>
      </c>
      <c r="S30" s="18">
        <f t="shared" si="24"/>
        <v>-5467.7347377492115</v>
      </c>
      <c r="T30" s="18">
        <f t="shared" si="24"/>
        <v>4073.2931875437498</v>
      </c>
      <c r="U30" s="18">
        <f t="shared" si="24"/>
        <v>3970.2989511615597</v>
      </c>
      <c r="V30" s="18">
        <f t="shared" si="24"/>
        <v>-5749.3277153908275</v>
      </c>
      <c r="W30" s="18">
        <f t="shared" si="24"/>
        <v>-5827.0960127124563</v>
      </c>
      <c r="X30" s="18">
        <f t="shared" si="24"/>
        <v>-5905.8065028665587</v>
      </c>
      <c r="Y30" s="18">
        <f t="shared" si="24"/>
        <v>-5985.4706008816138</v>
      </c>
      <c r="Z30" s="18">
        <f t="shared" si="24"/>
        <v>-6066.0998600851744</v>
      </c>
      <c r="AA30" s="18">
        <f t="shared" si="24"/>
        <v>-6147.7059737741947</v>
      </c>
      <c r="AB30" s="18">
        <f t="shared" si="24"/>
        <v>-6230.3007769184187</v>
      </c>
      <c r="AC30" s="18">
        <f t="shared" si="24"/>
        <v>-6313.8962478693575</v>
      </c>
      <c r="AD30" s="18">
        <f t="shared" si="24"/>
        <v>-6398.5045101027936</v>
      </c>
      <c r="AE30" s="18">
        <f t="shared" si="24"/>
        <v>-6484.1378339761868</v>
      </c>
      <c r="AF30" s="18">
        <f t="shared" si="24"/>
        <v>-6570.8086385019124</v>
      </c>
      <c r="AG30" s="18">
        <f t="shared" si="24"/>
        <v>-6658.5294931614771</v>
      </c>
      <c r="AH30" s="18">
        <f t="shared" si="24"/>
        <v>-6747.313119713217</v>
      </c>
      <c r="AI30" s="18">
        <f t="shared" ref="AI30:BN30" si="25">AI28+AI29</f>
        <v>-6837.1723940479569</v>
      </c>
      <c r="AJ30" s="18">
        <f t="shared" si="25"/>
        <v>-6928.1203480525874</v>
      </c>
      <c r="AK30" s="18">
        <f t="shared" si="25"/>
        <v>-7020.1701715001836</v>
      </c>
      <c r="AL30" s="18">
        <f t="shared" si="25"/>
        <v>-7113.3352139629424</v>
      </c>
      <c r="AM30" s="18">
        <f t="shared" si="25"/>
        <v>-7207.6289867479354</v>
      </c>
      <c r="AN30" s="18">
        <f t="shared" si="25"/>
        <v>2312.3194505288266</v>
      </c>
      <c r="AO30" s="18">
        <f t="shared" si="25"/>
        <v>1917.557647717651</v>
      </c>
      <c r="AP30" s="18">
        <f t="shared" si="25"/>
        <v>-8093.3149711657315</v>
      </c>
      <c r="AQ30" s="18">
        <f t="shared" si="25"/>
        <v>-8191.3685948550701</v>
      </c>
      <c r="AR30" s="18">
        <f t="shared" si="25"/>
        <v>-8290.6101759076118</v>
      </c>
      <c r="AS30" s="18">
        <f t="shared" si="25"/>
        <v>-8391.0541068855673</v>
      </c>
      <c r="AT30" s="18">
        <f t="shared" si="25"/>
        <v>-8492.7149547189474</v>
      </c>
      <c r="AU30" s="18">
        <f t="shared" si="25"/>
        <v>-8595.6074628243223</v>
      </c>
      <c r="AV30" s="18">
        <f t="shared" si="25"/>
        <v>-8699.7465532384813</v>
      </c>
      <c r="AW30" s="18">
        <f t="shared" si="25"/>
        <v>-8805.1473287874833</v>
      </c>
      <c r="AX30" s="18">
        <f t="shared" si="25"/>
        <v>-8911.8250752715394</v>
      </c>
      <c r="AY30" s="18">
        <f t="shared" si="25"/>
        <v>-9019.7952636834234</v>
      </c>
      <c r="AZ30" s="18">
        <f t="shared" si="25"/>
        <v>-9129.0735524543561</v>
      </c>
      <c r="BA30" s="18">
        <f t="shared" si="25"/>
        <v>-9239.6757897245698</v>
      </c>
      <c r="BB30" s="18">
        <f t="shared" si="25"/>
        <v>-9351.6180156394839</v>
      </c>
      <c r="BC30" s="18">
        <f t="shared" si="25"/>
        <v>-9464.9164646738209</v>
      </c>
      <c r="BD30" s="18">
        <f t="shared" si="25"/>
        <v>-9579.5875679962337</v>
      </c>
      <c r="BE30" s="18">
        <f t="shared" si="25"/>
        <v>-9695.6479558395222</v>
      </c>
      <c r="BF30" s="18">
        <f t="shared" si="25"/>
        <v>-9813.1144599197432</v>
      </c>
      <c r="BG30" s="18">
        <f t="shared" si="25"/>
        <v>-9932.0041158767417</v>
      </c>
      <c r="BH30" s="18">
        <f t="shared" si="25"/>
        <v>-10177.765685794409</v>
      </c>
      <c r="BI30" s="18">
        <f t="shared" si="25"/>
        <v>-1805799.5391879107</v>
      </c>
      <c r="BJ30" s="18">
        <f t="shared" si="25"/>
        <v>-1800617.6769391664</v>
      </c>
      <c r="BK30" s="18">
        <f t="shared" si="25"/>
        <v>0</v>
      </c>
      <c r="BL30" s="18">
        <f t="shared" si="25"/>
        <v>0</v>
      </c>
      <c r="BM30" s="18">
        <f t="shared" si="25"/>
        <v>0</v>
      </c>
      <c r="BN30" s="18">
        <f t="shared" si="25"/>
        <v>0</v>
      </c>
      <c r="BO30" s="18">
        <f t="shared" ref="BO30:CD30" si="26">BO28+BO29</f>
        <v>0</v>
      </c>
      <c r="BP30" s="18">
        <f t="shared" si="26"/>
        <v>0</v>
      </c>
      <c r="BQ30" s="18">
        <f t="shared" si="26"/>
        <v>0</v>
      </c>
      <c r="BR30" s="18">
        <f t="shared" si="26"/>
        <v>0</v>
      </c>
      <c r="BS30" s="18">
        <f t="shared" si="26"/>
        <v>0</v>
      </c>
      <c r="BT30" s="18">
        <f t="shared" si="26"/>
        <v>0</v>
      </c>
      <c r="BU30" s="18">
        <f t="shared" si="26"/>
        <v>0</v>
      </c>
      <c r="BV30" s="18">
        <f t="shared" si="26"/>
        <v>0</v>
      </c>
      <c r="BW30" s="18">
        <f t="shared" si="26"/>
        <v>0</v>
      </c>
      <c r="BX30" s="18">
        <f t="shared" si="26"/>
        <v>0</v>
      </c>
      <c r="BY30" s="18">
        <f t="shared" si="26"/>
        <v>0</v>
      </c>
      <c r="BZ30" s="18">
        <f t="shared" si="26"/>
        <v>0</v>
      </c>
      <c r="CA30" s="18">
        <f t="shared" si="26"/>
        <v>0</v>
      </c>
      <c r="CB30" s="18">
        <f t="shared" si="26"/>
        <v>0</v>
      </c>
      <c r="CC30" s="18">
        <f t="shared" si="26"/>
        <v>0</v>
      </c>
      <c r="CD30" s="18">
        <f t="shared" si="26"/>
        <v>0</v>
      </c>
    </row>
    <row r="32" spans="1:82" x14ac:dyDescent="0.45">
      <c r="A32" t="s">
        <v>225</v>
      </c>
      <c r="C32" s="24">
        <f>IF(C23&lt;=1,0,(NPV($B$4/4,Calc_CFADS!D5:'Calc_CFADS'!BJ5)+C27)/C23)</f>
        <v>1.3529862915249589</v>
      </c>
      <c r="D32" s="24">
        <f>IF(D23&lt;=1,0,(NPV($B$4/4,Calc_CFADS!E5:'Calc_CFADS'!BJ5)+D27)/D23)</f>
        <v>1.3535428813034327</v>
      </c>
      <c r="E32" s="24">
        <f>IF(E23&lt;=1,0,(NPV($B$4/4,Calc_CFADS!F5:'Calc_CFADS'!BJ5)+E27)/E23)</f>
        <v>1.3541196565391054</v>
      </c>
      <c r="F32" s="24">
        <f>IF(F23&lt;=1,0,(NPV($B$4/4,Calc_CFADS!G5:'Calc_CFADS'!BJ5)+F27)/F23)</f>
        <v>1.3547176925935589</v>
      </c>
      <c r="G32" s="24">
        <f>IF(G23&lt;=1,0,(NPV($B$4/4,Calc_CFADS!H5:'Calc_CFADS'!BJ5)+G27)/G23)</f>
        <v>1.3553381424779039</v>
      </c>
      <c r="H32" s="24">
        <f>IF(H23&lt;=1,0,(NPV($B$4/4,Calc_CFADS!I5:'Calc_CFADS'!BJ5)+H27)/H23)</f>
        <v>1.3559822439920355</v>
      </c>
      <c r="I32" s="24">
        <f>IF(I23&lt;=1,0,(NPV($B$4/4,Calc_CFADS!J5:'Calc_CFADS'!BJ5)+I27)/I23)</f>
        <v>1.3566513276663383</v>
      </c>
      <c r="J32" s="24">
        <f>IF(J23&lt;=1,0,(NPV($B$4/4,Calc_CFADS!K5:'Calc_CFADS'!BJ5)+J27)/J23)</f>
        <v>1.3573468256130687</v>
      </c>
      <c r="K32" s="24">
        <f>IF(K23&lt;=1,0,(NPV($B$4/4,Calc_CFADS!L5:'Calc_CFADS'!BJ5)+K27)/K23)</f>
        <v>1.3580702814113614</v>
      </c>
      <c r="L32" s="24">
        <f>IF(L23&lt;=1,0,(NPV($B$4/4,Calc_CFADS!M5:'Calc_CFADS'!BJ5)+L27)/L23)</f>
        <v>1.3588233611694644</v>
      </c>
      <c r="M32" s="24">
        <f>IF(M23&lt;=1,0,(NPV($B$4/4,Calc_CFADS!N5:'Calc_CFADS'!BJ5)+M27)/M23)</f>
        <v>1.3596078659310717</v>
      </c>
      <c r="N32" s="24">
        <f>IF(N23&lt;=1,0,(NPV($B$4/4,Calc_CFADS!O5:'Calc_CFADS'!BJ5)+N27)/N23)</f>
        <v>1.3604257456202491</v>
      </c>
      <c r="O32" s="24">
        <f>IF(O23&lt;=1,0,(NPV($B$4/4,Calc_CFADS!P5:'Calc_CFADS'!BJ5)+O27)/O23)</f>
        <v>1.3612791147522265</v>
      </c>
      <c r="P32" s="24">
        <f>IF(P23&lt;=1,0,(NPV($B$4/4,Calc_CFADS!Q5:'Calc_CFADS'!BJ5)+P27)/P23)</f>
        <v>1.3621702701766065</v>
      </c>
      <c r="Q32" s="24">
        <f>IF(Q23&lt;=1,0,(NPV($B$4/4,Calc_CFADS!R5:'Calc_CFADS'!BJ5)+Q27)/Q23)</f>
        <v>1.3631017111664496</v>
      </c>
      <c r="R32" s="24">
        <f>IF(R23&lt;=1,0,(NPV($B$4/4,Calc_CFADS!S5:'Calc_CFADS'!BJ5)+R27)/R23)</f>
        <v>1.3640761622232713</v>
      </c>
      <c r="S32" s="24">
        <f>IF(S23&lt;=1,0,(NPV($B$4/4,Calc_CFADS!T5:'Calc_CFADS'!BJ5)+S27)/S23)</f>
        <v>1.3650965990361636</v>
      </c>
      <c r="T32" s="24">
        <f>IF(T23&lt;=1,0,(NPV($B$4/4,Calc_CFADS!U5:'Calc_CFADS'!BJ5)+T27)/T23)</f>
        <v>1.3663303881064111</v>
      </c>
      <c r="U32" s="24">
        <f>IF(U23&lt;=1,0,(NPV($B$4/4,Calc_CFADS!V5:'Calc_CFADS'!BJ5)+U27)/U23)</f>
        <v>1.3676225609868207</v>
      </c>
      <c r="V32" s="24">
        <f>IF(V23&lt;=1,0,(NPV($B$4/4,Calc_CFADS!W5:'Calc_CFADS'!BJ5)+V27)/V23)</f>
        <v>1.3688188743072043</v>
      </c>
      <c r="W32" s="24">
        <f>IF(W23&lt;=1,0,(NPV($B$4/4,Calc_CFADS!X5:'Calc_CFADS'!BJ5)+W27)/W23)</f>
        <v>1.3700775731216295</v>
      </c>
      <c r="X32" s="24">
        <f>IF(X23&lt;=1,0,(NPV($B$4/4,Calc_CFADS!Y5:'Calc_CFADS'!BJ5)+X27)/X23)</f>
        <v>1.3714035718483015</v>
      </c>
      <c r="Y32" s="24">
        <f>IF(Y23&lt;=1,0,(NPV($B$4/4,Calc_CFADS!Z5:'Calc_CFADS'!BJ5)+Y27)/Y23)</f>
        <v>1.3728023148177821</v>
      </c>
      <c r="Z32" s="24">
        <f>IF(Z23&lt;=1,0,(NPV($B$4/4,Calc_CFADS!AA5:'Calc_CFADS'!BJ5)+Z27)/Z23)</f>
        <v>1.3742798496806359</v>
      </c>
      <c r="AA32" s="24">
        <f>IF(AA23&lt;=1,0,(NPV($B$4/4,Calc_CFADS!AB5:'Calc_CFADS'!BJ5)+AA27)/AA23)</f>
        <v>1.37584291336562</v>
      </c>
      <c r="AB32" s="24">
        <f>IF(AB23&lt;=1,0,(NPV($B$4/4,Calc_CFADS!AC5:'Calc_CFADS'!BJ5)+AB27)/AB23)</f>
        <v>1.3774990331652772</v>
      </c>
      <c r="AC32" s="24">
        <f>IF(AC23&lt;=1,0,(NPV($B$4/4,Calc_CFADS!AD5:'Calc_CFADS'!BJ5)+AC27)/AC23)</f>
        <v>1.3792566461486426</v>
      </c>
      <c r="AD32" s="24">
        <f>IF(AD23&lt;=1,0,(NPV($B$4/4,Calc_CFADS!AE5:'Calc_CFADS'!BJ5)+AD27)/AD23)</f>
        <v>1.3811252408984642</v>
      </c>
      <c r="AE32" s="24">
        <f>IF(AE23&lt;=1,0,(NPV($B$4/4,Calc_CFADS!AF5:'Calc_CFADS'!BJ5)+AE27)/AE23)</f>
        <v>1.383115526598707</v>
      </c>
      <c r="AF32" s="24">
        <f>IF(AF23&lt;=1,0,(NPV($B$4/4,Calc_CFADS!AG5:'Calc_CFADS'!BJ5)+AF27)/AF23)</f>
        <v>1.3852396358342232</v>
      </c>
      <c r="AG32" s="24">
        <f>IF(AG23&lt;=1,0,(NPV($B$4/4,Calc_CFADS!AH5:'Calc_CFADS'!BJ5)+AG27)/AG23)</f>
        <v>1.3875113692137802</v>
      </c>
      <c r="AH32" s="24">
        <f>IF(AH23&lt;=1,0,(NPV($B$4/4,Calc_CFADS!AI5:'Calc_CFADS'!BJ5)+AH27)/AH23)</f>
        <v>1.3899464922373987</v>
      </c>
      <c r="AI32" s="24">
        <f>IF(AI23&lt;=1,0,(NPV($B$4/4,Calc_CFADS!AJ5:'Calc_CFADS'!BJ5)+AI27)/AI23)</f>
        <v>1.3925630979059445</v>
      </c>
      <c r="AJ32" s="24">
        <f>IF(AJ23&lt;=1,0,(NPV($B$4/4,Calc_CFADS!AK5:'Calc_CFADS'!BJ5)+AJ27)/AJ23)</f>
        <v>1.3953820527092353</v>
      </c>
      <c r="AK32" s="24">
        <f>IF(AK23&lt;=1,0,(NPV($B$4/4,Calc_CFADS!AL5:'Calc_CFADS'!BJ5)+AK27)/AK23)</f>
        <v>1.3984275492514242</v>
      </c>
      <c r="AL32" s="24">
        <f>IF(AL23&lt;=1,0,(NPV($B$4/4,Calc_CFADS!AM5:'Calc_CFADS'!BJ5)+AL27)/AL23)</f>
        <v>1.4017277964951862</v>
      </c>
      <c r="AM32" s="24">
        <f>IF(AM23&lt;=1,0,(NPV($B$4/4,Calc_CFADS!AN5:'Calc_CFADS'!BJ5)+AM27)/AM23)</f>
        <v>1.4053158893386561</v>
      </c>
      <c r="AN32" s="24">
        <f>IF(AN23&lt;=1,0,(NPV($B$4/4,Calc_CFADS!AO5:'Calc_CFADS'!BJ5)+AN27)/AN23)</f>
        <v>1.4095097387984854</v>
      </c>
      <c r="AO32" s="24">
        <f>IF(AO23&lt;=1,0,(NPV($B$4/4,Calc_CFADS!AP5:'Calc_CFADS'!BJ5)+AO27)/AO23)</f>
        <v>1.414091049488297</v>
      </c>
      <c r="AP32" s="24">
        <f>IF(AP23&lt;=1,0,(NPV($B$4/4,Calc_CFADS!AQ5:'Calc_CFADS'!BJ5)+AP27)/AP23)</f>
        <v>1.4188508725364066</v>
      </c>
      <c r="AQ32" s="24">
        <f>IF(AQ23&lt;=1,0,(NPV($B$4/4,Calc_CFADS!AR5:'Calc_CFADS'!BJ5)+AQ27)/AQ23)</f>
        <v>1.4241142729212133</v>
      </c>
      <c r="AR32" s="24">
        <f>IF(AR23&lt;=1,0,(NPV($B$4/4,Calc_CFADS!AS5:'Calc_CFADS'!BJ5)+AR27)/AR23)</f>
        <v>1.4299651820442614</v>
      </c>
      <c r="AS32" s="24">
        <f>IF(AS23&lt;=1,0,(NPV($B$4/4,Calc_CFADS!AT5:'Calc_CFADS'!BJ5)+AS27)/AS23)</f>
        <v>1.4365072798724956</v>
      </c>
      <c r="AT32" s="24">
        <f>IF(AT23&lt;=1,0,(NPV($B$4/4,Calc_CFADS!AU5:'Calc_CFADS'!BJ5)+AT27)/AT23)</f>
        <v>1.4438701663918827</v>
      </c>
      <c r="AU32" s="24">
        <f>IF(AU23&lt;=1,0,(NPV($B$4/4,Calc_CFADS!AV5:'Calc_CFADS'!BJ5)+AU27)/AU23)</f>
        <v>1.4522180016540709</v>
      </c>
      <c r="AV32" s="24">
        <f>IF(AV23&lt;=1,0,(NPV($B$4/4,Calc_CFADS!AW5:'Calc_CFADS'!BJ5)+AV27)/AV23)</f>
        <v>1.4617618487187689</v>
      </c>
      <c r="AW32" s="24">
        <f>IF(AW23&lt;=1,0,(NPV($B$4/4,Calc_CFADS!AX5:'Calc_CFADS'!BJ5)+AW27)/AW23)</f>
        <v>1.4727777133695867</v>
      </c>
      <c r="AX32" s="24">
        <f>IF(AX23&lt;=1,0,(NPV($B$4/4,Calc_CFADS!AY5:'Calc_CFADS'!BJ5)+AX27)/AX23)</f>
        <v>1.4856336037406188</v>
      </c>
      <c r="AY32" s="24">
        <f>IF(AY23&lt;=1,0,(NPV($B$4/4,Calc_CFADS!AZ5:'Calc_CFADS'!BJ5)+AY27)/AY23)</f>
        <v>1.5008313498336627</v>
      </c>
      <c r="AZ32" s="24">
        <f>IF(AZ23&lt;=1,0,(NPV($B$4/4,Calc_CFADS!BA5:'Calc_CFADS'!BJ5)+AZ27)/AZ23)</f>
        <v>1.5190735149221146</v>
      </c>
      <c r="BA32" s="24">
        <f>IF(BA23&lt;=1,0,(NPV($B$4/4,Calc_CFADS!BB5:'Calc_CFADS'!BJ5)+BA27)/BA23)</f>
        <v>1.5413749149058029</v>
      </c>
      <c r="BB32" s="24">
        <f>IF(BB23&lt;=1,0,(NPV($B$4/4,Calc_CFADS!BC5:'Calc_CFADS'!BJ5)+BB27)/BB23)</f>
        <v>1.569257777916701</v>
      </c>
      <c r="BC32" s="24">
        <f>IF(BC23&lt;=1,0,(NPV($B$4/4,Calc_CFADS!BD5:'Calc_CFADS'!BJ5)+BC27)/BC23)</f>
        <v>1.6051141852661168</v>
      </c>
      <c r="BD32" s="24">
        <f>IF(BD23&lt;=1,0,(NPV($B$4/4,Calc_CFADS!BE5:'Calc_CFADS'!BJ5)+BD27)/BD23)</f>
        <v>1.6529309575843036</v>
      </c>
      <c r="BE32" s="24">
        <f>IF(BE23&lt;=1,0,(NPV($B$4/4,Calc_CFADS!BF5:'Calc_CFADS'!BJ5)+BE27)/BE23)</f>
        <v>1.7198844165539509</v>
      </c>
      <c r="BF32" s="24">
        <f>IF(BF23&lt;=1,0,(NPV($B$4/4,Calc_CFADS!BG5:'Calc_CFADS'!BJ5)+BF27)/BF23)</f>
        <v>1.8203273312723554</v>
      </c>
      <c r="BG32" s="24">
        <f>IF(BG23&lt;=1,0,(NPV($B$4/4,Calc_CFADS!BH5:'Calc_CFADS'!BJ5)+BG27)/BG23)</f>
        <v>1.9877499441340136</v>
      </c>
      <c r="BH32" s="24">
        <f>IF(BH23&lt;=1,0,(NPV($B$4/4,Calc_CFADS!BI5:'Calc_CFADS'!BJ5)+BH27)/BH23)</f>
        <v>2.3225897710638477</v>
      </c>
      <c r="BI32" s="24">
        <f>IF(BI23&lt;=1,0,(NPV($B$4/4,Calc_CFADS!BJ5:'Calc_CFADS'!BJ5)+BI27)/BI23)</f>
        <v>2.3150905583557004</v>
      </c>
      <c r="BJ32" s="24">
        <f>0</f>
        <v>0</v>
      </c>
      <c r="BK32" s="24">
        <f>0</f>
        <v>0</v>
      </c>
      <c r="BL32" s="24">
        <f>0</f>
        <v>0</v>
      </c>
      <c r="BM32" s="24">
        <f>0</f>
        <v>0</v>
      </c>
      <c r="BN32" s="24">
        <f>0</f>
        <v>0</v>
      </c>
      <c r="BO32" s="24">
        <f>0</f>
        <v>0</v>
      </c>
      <c r="BP32" s="24">
        <f>0</f>
        <v>0</v>
      </c>
      <c r="BQ32" s="24">
        <f>0</f>
        <v>0</v>
      </c>
      <c r="BR32" s="24">
        <f>0</f>
        <v>0</v>
      </c>
      <c r="BS32" s="24">
        <f>0</f>
        <v>0</v>
      </c>
      <c r="BT32" s="24">
        <f>0</f>
        <v>0</v>
      </c>
      <c r="BU32" s="24">
        <f>0</f>
        <v>0</v>
      </c>
      <c r="BV32" s="24">
        <f>0</f>
        <v>0</v>
      </c>
      <c r="BW32" s="24">
        <f>0</f>
        <v>0</v>
      </c>
      <c r="BX32" s="24">
        <f>0</f>
        <v>0</v>
      </c>
      <c r="BY32" s="24">
        <f>0</f>
        <v>0</v>
      </c>
      <c r="BZ32" s="24">
        <f>0</f>
        <v>0</v>
      </c>
      <c r="CA32" s="24">
        <f>0</f>
        <v>0</v>
      </c>
      <c r="CB32" s="24">
        <f>0</f>
        <v>0</v>
      </c>
      <c r="CC32" s="24">
        <f>0</f>
        <v>0</v>
      </c>
      <c r="CD32" s="24">
        <f>0</f>
        <v>0</v>
      </c>
    </row>
    <row r="33" spans="1:82" x14ac:dyDescent="0.45">
      <c r="A33" t="s">
        <v>226</v>
      </c>
      <c r="C33" s="24">
        <f>IF(C23&lt;=1,0,(NPV($B$4/4,Calc_CFADS!D5:'Calc_CFADS'!CD5)+C27)/C23)</f>
        <v>1.5756817119759206</v>
      </c>
      <c r="D33" s="24">
        <f>IF(D23&lt;=1,0,(NPV($B$4/4,Calc_CFADS!E5:'Calc_CFADS'!CD5)+D27)/D23)</f>
        <v>1.5822101170355458</v>
      </c>
      <c r="E33" s="24">
        <f>IF(E23&lt;=1,0,(NPV($B$4/4,Calc_CFADS!F5:'Calc_CFADS'!CD5)+E27)/E23)</f>
        <v>1.5889850585040377</v>
      </c>
      <c r="F33" s="24">
        <f>IF(F23&lt;=1,0,(NPV($B$4/4,Calc_CFADS!G5:'Calc_CFADS'!CD5)+F27)/F23)</f>
        <v>1.5960197776921989</v>
      </c>
      <c r="G33" s="24">
        <f>IF(G23&lt;=1,0,(NPV($B$4/4,Calc_CFADS!H5:'Calc_CFADS'!CD5)+G27)/G23)</f>
        <v>1.6033284727616981</v>
      </c>
      <c r="H33" s="24">
        <f>IF(H23&lt;=1,0,(NPV($B$4/4,Calc_CFADS!I5:'Calc_CFADS'!CD5)+H27)/H23)</f>
        <v>1.610926386700696</v>
      </c>
      <c r="I33" s="24">
        <f>IF(I23&lt;=1,0,(NPV($B$4/4,Calc_CFADS!J5:'Calc_CFADS'!CD5)+I27)/I23)</f>
        <v>1.6188299051878605</v>
      </c>
      <c r="J33" s="24">
        <f>IF(J23&lt;=1,0,(NPV($B$4/4,Calc_CFADS!K5:'Calc_CFADS'!CD5)+J27)/J23)</f>
        <v>1.6270566656662009</v>
      </c>
      <c r="K33" s="24">
        <f>IF(K23&lt;=1,0,(NPV($B$4/4,Calc_CFADS!L5:'Calc_CFADS'!CD5)+K27)/K23)</f>
        <v>1.6356256791539283</v>
      </c>
      <c r="L33" s="24">
        <f>IF(L23&lt;=1,0,(NPV($B$4/4,Calc_CFADS!M5:'Calc_CFADS'!CD5)+L27)/L23)</f>
        <v>1.6445574665620273</v>
      </c>
      <c r="M33" s="24">
        <f>IF(M23&lt;=1,0,(NPV($B$4/4,Calc_CFADS!N5:'Calc_CFADS'!CD5)+M27)/M23)</f>
        <v>1.653874211574925</v>
      </c>
      <c r="N33" s="24">
        <f>IF(N23&lt;=1,0,(NPV($B$4/4,Calc_CFADS!O5:'Calc_CFADS'!CD5)+N27)/N23)</f>
        <v>1.6635999324907029</v>
      </c>
      <c r="O33" s="24">
        <f>IF(O23&lt;=1,0,(NPV($B$4/4,Calc_CFADS!P5:'Calc_CFADS'!CD5)+O27)/O23)</f>
        <v>1.6737606758218706</v>
      </c>
      <c r="P33" s="24">
        <f>IF(P23&lt;=1,0,(NPV($B$4/4,Calc_CFADS!Q5:'Calc_CFADS'!CD5)+P27)/P23)</f>
        <v>1.6843847349409069</v>
      </c>
      <c r="Q33" s="24">
        <f>IF(Q23&lt;=1,0,(NPV($B$4/4,Calc_CFADS!R5:'Calc_CFADS'!CD5)+Q27)/Q23)</f>
        <v>1.6955028976336823</v>
      </c>
      <c r="R33" s="24">
        <f>IF(R23&lt;=1,0,(NPV($B$4/4,Calc_CFADS!S5:'Calc_CFADS'!CD5)+R27)/R23)</f>
        <v>1.7071487271202621</v>
      </c>
      <c r="S33" s="24">
        <f>IF(S23&lt;=1,0,(NPV($B$4/4,Calc_CFADS!T5:'Calc_CFADS'!CD5)+S27)/S23)</f>
        <v>1.7193588819433918</v>
      </c>
      <c r="T33" s="24">
        <f>IF(T23&lt;=1,0,(NPV($B$4/4,Calc_CFADS!U5:'Calc_CFADS'!CD5)+T27)/T23)</f>
        <v>1.7323375911347514</v>
      </c>
      <c r="U33" s="24">
        <f>IF(U23&lt;=1,0,(NPV($B$4/4,Calc_CFADS!V5:'Calc_CFADS'!CD5)+U27)/U23)</f>
        <v>1.7459703126473121</v>
      </c>
      <c r="V33" s="24">
        <f>IF(V23&lt;=1,0,(NPV($B$4/4,Calc_CFADS!W5:'Calc_CFADS'!CD5)+V27)/V23)</f>
        <v>1.760213895367021</v>
      </c>
      <c r="W33" s="24">
        <f>IF(W23&lt;=1,0,(NPV($B$4/4,Calc_CFADS!X5:'Calc_CFADS'!CD5)+W27)/W23)</f>
        <v>1.775217112993323</v>
      </c>
      <c r="X33" s="24">
        <f>IF(X23&lt;=1,0,(NPV($B$4/4,Calc_CFADS!Y5:'Calc_CFADS'!CD5)+X27)/X23)</f>
        <v>1.7910399821750402</v>
      </c>
      <c r="Y33" s="24">
        <f>IF(Y23&lt;=1,0,(NPV($B$4/4,Calc_CFADS!Z5:'Calc_CFADS'!CD5)+Y27)/Y23)</f>
        <v>1.807748992128462</v>
      </c>
      <c r="Z33" s="24">
        <f>IF(Z23&lt;=1,0,(NPV($B$4/4,Calc_CFADS!AA5:'Calc_CFADS'!CD5)+Z27)/Z23)</f>
        <v>1.8254180012688461</v>
      </c>
      <c r="AA33" s="24">
        <f>IF(AA23&lt;=1,0,(NPV($B$4/4,Calc_CFADS!AB5:'Calc_CFADS'!CD5)+AA27)/AA23)</f>
        <v>1.8441292871395609</v>
      </c>
      <c r="AB33" s="24">
        <f>IF(AB23&lt;=1,0,(NPV($B$4/4,Calc_CFADS!AC5:'Calc_CFADS'!CD5)+AB27)/AB23)</f>
        <v>1.86397478111338</v>
      </c>
      <c r="AC33" s="24">
        <f>IF(AC23&lt;=1,0,(NPV($B$4/4,Calc_CFADS!AD5:'Calc_CFADS'!CD5)+AC27)/AC23)</f>
        <v>1.8850575269489789</v>
      </c>
      <c r="AD33" s="24">
        <f>IF(AD23&lt;=1,0,(NPV($B$4/4,Calc_CFADS!AE5:'Calc_CFADS'!CD5)+AD27)/AD23)</f>
        <v>1.9074934120279445</v>
      </c>
      <c r="AE33" s="24">
        <f>IF(AE23&lt;=1,0,(NPV($B$4/4,Calc_CFADS!AF5:'Calc_CFADS'!CD5)+AE27)/AE23)</f>
        <v>1.9314132326596543</v>
      </c>
      <c r="AF33" s="24">
        <f>IF(AF23&lt;=1,0,(NPV($B$4/4,Calc_CFADS!AG5:'Calc_CFADS'!CD5)+AF27)/AF23)</f>
        <v>1.9569651711603873</v>
      </c>
      <c r="AG33" s="24">
        <f>IF(AG23&lt;=1,0,(NPV($B$4/4,Calc_CFADS!AH5:'Calc_CFADS'!CD5)+AG27)/AG23)</f>
        <v>1.98431778378018</v>
      </c>
      <c r="AH33" s="24">
        <f>IF(AH23&lt;=1,0,(NPV($B$4/4,Calc_CFADS!AI5:'Calc_CFADS'!CD5)+AH27)/AH23)</f>
        <v>2.0136636267631984</v>
      </c>
      <c r="AI33" s="24">
        <f>IF(AI23&lt;=1,0,(NPV($B$4/4,Calc_CFADS!AJ5:'Calc_CFADS'!CD5)+AI27)/AI23)</f>
        <v>2.0452236854111994</v>
      </c>
      <c r="AJ33" s="24">
        <f>IF(AJ23&lt;=1,0,(NPV($B$4/4,Calc_CFADS!AK5:'Calc_CFADS'!CD5)+AJ27)/AJ23)</f>
        <v>2.0792528215665356</v>
      </c>
      <c r="AK33" s="24">
        <f>IF(AK23&lt;=1,0,(NPV($B$4/4,Calc_CFADS!AL5:'Calc_CFADS'!CD5)+AK27)/AK23)</f>
        <v>2.116046523606848</v>
      </c>
      <c r="AL33" s="24">
        <f>IF(AL23&lt;=1,0,(NPV($B$4/4,Calc_CFADS!AM5:'Calc_CFADS'!CD5)+AL27)/AL23)</f>
        <v>2.1559493373725696</v>
      </c>
      <c r="AM33" s="24">
        <f>IF(AM23&lt;=1,0,(NPV($B$4/4,Calc_CFADS!AN5:'Calc_CFADS'!CD5)+AM27)/AM23)</f>
        <v>2.1993654875387265</v>
      </c>
      <c r="AN33" s="24">
        <f>IF(AN23&lt;=1,0,(NPV($B$4/4,Calc_CFADS!AO5:'Calc_CFADS'!CD5)+AN27)/AN23)</f>
        <v>2.2470512078883917</v>
      </c>
      <c r="AO33" s="24">
        <f>IF(AO23&lt;=1,0,(NPV($B$4/4,Calc_CFADS!AP5:'Calc_CFADS'!CD5)+AO27)/AO23)</f>
        <v>2.2993096460189912</v>
      </c>
      <c r="AP33" s="24">
        <f>IF(AP23&lt;=1,0,(NPV($B$4/4,Calc_CFADS!AQ5:'Calc_CFADS'!CD5)+AP27)/AP23)</f>
        <v>2.3568413213529165</v>
      </c>
      <c r="AQ33" s="24">
        <f>IF(AQ23&lt;=1,0,(NPV($B$4/4,Calc_CFADS!AR5:'Calc_CFADS'!CD5)+AQ27)/AQ23)</f>
        <v>2.4205015497633453</v>
      </c>
      <c r="AR33" s="24">
        <f>IF(AR23&lt;=1,0,(NPV($B$4/4,Calc_CFADS!AS5:'Calc_CFADS'!CD5)+AR27)/AR23)</f>
        <v>2.4913122038111175</v>
      </c>
      <c r="AS33" s="24">
        <f>IF(AS23&lt;=1,0,(NPV($B$4/4,Calc_CFADS!AT5:'Calc_CFADS'!CD5)+AS27)/AS23)</f>
        <v>2.5705355990770369</v>
      </c>
      <c r="AT33" s="24">
        <f>IF(AT23&lt;=1,0,(NPV($B$4/4,Calc_CFADS!AU5:'Calc_CFADS'!CD5)+AT27)/AT23)</f>
        <v>2.6597496329320802</v>
      </c>
      <c r="AU33" s="24">
        <f>IF(AU23&lt;=1,0,(NPV($B$4/4,Calc_CFADS!AV5:'Calc_CFADS'!CD5)+AU27)/AU23)</f>
        <v>2.7609529789565257</v>
      </c>
      <c r="AV33" s="24">
        <f>IF(AV23&lt;=1,0,(NPV($B$4/4,Calc_CFADS!AW5:'Calc_CFADS'!CD5)+AV27)/AV23)</f>
        <v>2.8767153649078763</v>
      </c>
      <c r="AW33" s="24">
        <f>IF(AW23&lt;=1,0,(NPV($B$4/4,Calc_CFADS!AX5:'Calc_CFADS'!CD5)+AW27)/AW23)</f>
        <v>3.0103972101258569</v>
      </c>
      <c r="AX33" s="24">
        <f>IF(AX23&lt;=1,0,(NPV($B$4/4,Calc_CFADS!AY5:'Calc_CFADS'!CD5)+AX27)/AX23)</f>
        <v>3.1664790822830904</v>
      </c>
      <c r="AY33" s="24">
        <f>IF(AY23&lt;=1,0,(NPV($B$4/4,Calc_CFADS!AZ5:'Calc_CFADS'!CD5)+AY27)/AY23)</f>
        <v>3.3510708589660521</v>
      </c>
      <c r="AZ33" s="24">
        <f>IF(AZ23&lt;=1,0,(NPV($B$4/4,Calc_CFADS!BA5:'Calc_CFADS'!CD5)+AZ27)/AZ23)</f>
        <v>3.572726388351561</v>
      </c>
      <c r="BA33" s="24">
        <f>IF(BA23&lt;=1,0,(NPV($B$4/4,Calc_CFADS!BB5:'Calc_CFADS'!CD5)+BA27)/BA23)</f>
        <v>3.8438012612418366</v>
      </c>
      <c r="BB33" s="24">
        <f>IF(BB23&lt;=1,0,(NPV($B$4/4,Calc_CFADS!BC5:'Calc_CFADS'!CD5)+BB27)/BB23)</f>
        <v>4.1828289210714988</v>
      </c>
      <c r="BC33" s="24">
        <f>IF(BC23&lt;=1,0,(NPV($B$4/4,Calc_CFADS!BD5:'Calc_CFADS'!CD5)+BC27)/BC23)</f>
        <v>4.6189334600821237</v>
      </c>
      <c r="BD33" s="24">
        <f>IF(BD23&lt;=1,0,(NPV($B$4/4,Calc_CFADS!BE5:'Calc_CFADS'!CD5)+BD27)/BD23)</f>
        <v>5.2006552633577927</v>
      </c>
      <c r="BE33" s="24">
        <f>IF(BE23&lt;=1,0,(NPV($B$4/4,Calc_CFADS!BF5:'Calc_CFADS'!CD5)+BE27)/BE23)</f>
        <v>6.0153675745613171</v>
      </c>
      <c r="BF33" s="24">
        <f>IF(BF23&lt;=1,0,(NPV($B$4/4,Calc_CFADS!BG5:'Calc_CFADS'!CD5)+BF27)/BF23)</f>
        <v>7.2378184219798847</v>
      </c>
      <c r="BG33" s="24">
        <f>IF(BG23&lt;=1,0,(NPV($B$4/4,Calc_CFADS!BH5:'Calc_CFADS'!CD5)+BG27)/BG23)</f>
        <v>9.2757586709436488</v>
      </c>
      <c r="BH33" s="24">
        <f>IF(BH23&lt;=1,0,(NPV($B$4/4,Calc_CFADS!BI5:'Calc_CFADS'!CD5)+BH27)/BH23)</f>
        <v>13.352434021115512</v>
      </c>
      <c r="BI33" s="24">
        <f>IF(BI23&lt;=1,0,(NPV($B$4/4,Calc_CFADS!BJ5:'Calc_CFADS'!CD5)+BI27)/BI23)</f>
        <v>24.572444811188255</v>
      </c>
      <c r="BJ33" s="24">
        <f>IF(BJ23&lt;=1,0,(NPV($B$4/4,Calc_CFADS!BK5:'Calc_CFADS'!CD5)+BJ27)/BJ23)</f>
        <v>0</v>
      </c>
      <c r="BK33" s="24">
        <f>IF(BK23&lt;=1,0,(NPV($B$4/4,Calc_CFADS!BL5:'Calc_CFADS'!CD5)+BK27)/BK23)</f>
        <v>0</v>
      </c>
      <c r="BL33" s="24">
        <f>IF(BL23&lt;=1,0,(NPV($B$4/4,Calc_CFADS!BM5:'Calc_CFADS'!CD5)+BL27)/BL23)</f>
        <v>0</v>
      </c>
      <c r="BM33" s="24">
        <f>IF(BM23&lt;=1,0,(NPV($B$4/4,Calc_CFADS!BN5:'Calc_CFADS'!CD5)+BM27)/BM23)</f>
        <v>0</v>
      </c>
      <c r="BN33" s="24">
        <f>IF(BN23&lt;=1,0,(NPV($B$4/4,Calc_CFADS!BO5:'Calc_CFADS'!CD5)+BN27)/BN23)</f>
        <v>0</v>
      </c>
      <c r="BO33" s="24">
        <f>IF(BO23&lt;=1,0,(NPV($B$4/4,Calc_CFADS!BP5:'Calc_CFADS'!CD5)+BO27)/BO23)</f>
        <v>0</v>
      </c>
      <c r="BP33" s="24">
        <f>IF(BP23&lt;=1,0,(NPV($B$4/4,Calc_CFADS!BQ5:'Calc_CFADS'!CD5)+BP27)/BP23)</f>
        <v>0</v>
      </c>
      <c r="BQ33" s="24">
        <f>IF(BQ23&lt;=1,0,(NPV($B$4/4,Calc_CFADS!BR5:'Calc_CFADS'!CD5)+BQ27)/BQ23)</f>
        <v>0</v>
      </c>
      <c r="BR33" s="24">
        <f>IF(BR23&lt;=1,0,(NPV($B$4/4,Calc_CFADS!BS5:'Calc_CFADS'!CD5)+BR27)/BR23)</f>
        <v>0</v>
      </c>
      <c r="BS33" s="24">
        <f>IF(BS23&lt;=1,0,(NPV($B$4/4,Calc_CFADS!BT5:'Calc_CFADS'!CD5)+BS27)/BS23)</f>
        <v>0</v>
      </c>
      <c r="BT33" s="24">
        <f>IF(BT23&lt;=1,0,(NPV($B$4/4,Calc_CFADS!BU5:'Calc_CFADS'!CD5)+BT27)/BT23)</f>
        <v>0</v>
      </c>
      <c r="BU33" s="24">
        <f>IF(BU23&lt;=1,0,(NPV($B$4/4,Calc_CFADS!BV5:'Calc_CFADS'!CD5)+BU27)/BU23)</f>
        <v>0</v>
      </c>
      <c r="BV33" s="24">
        <f>IF(BV23&lt;=1,0,(NPV($B$4/4,Calc_CFADS!BW5:'Calc_CFADS'!CD5)+BV27)/BV23)</f>
        <v>0</v>
      </c>
      <c r="BW33" s="24">
        <f>IF(BW23&lt;=1,0,(NPV($B$4/4,Calc_CFADS!BX5:'Calc_CFADS'!CD5)+BW27)/BW23)</f>
        <v>0</v>
      </c>
      <c r="BX33" s="24">
        <f>IF(BX23&lt;=1,0,(NPV($B$4/4,Calc_CFADS!BY5:'Calc_CFADS'!CD5)+BX27)/BX23)</f>
        <v>0</v>
      </c>
      <c r="BY33" s="24">
        <f>IF(BY23&lt;=1,0,(NPV($B$4/4,Calc_CFADS!BZ5:'Calc_CFADS'!CD5)+BY27)/BY23)</f>
        <v>0</v>
      </c>
      <c r="BZ33" s="24">
        <f>IF(BZ23&lt;=1,0,(NPV($B$4/4,Calc_CFADS!CA5:'Calc_CFADS'!CD5)+BZ27)/BZ23)</f>
        <v>0</v>
      </c>
      <c r="CA33" s="24">
        <f>IF(CA23&lt;=1,0,(NPV($B$4/4,Calc_CFADS!CB5:'Calc_CFADS'!CD5)+CA27)/CA23)</f>
        <v>0</v>
      </c>
      <c r="CB33" s="24">
        <f>IF(CB23&lt;=1,0,(NPV($B$4/4,Calc_CFADS!CC5:'Calc_CFADS'!CD5)+CB27)/CB23)</f>
        <v>0</v>
      </c>
      <c r="CC33" s="24">
        <f>IF(CC23&lt;=1,0,(NPV($B$4/4,Calc_CFADS!CD5:'Calc_CFADS'!CD5)+CC27)/CC23)</f>
        <v>0</v>
      </c>
      <c r="CD33" s="24">
        <f>0</f>
        <v>0</v>
      </c>
    </row>
    <row r="36" spans="1:82" x14ac:dyDescent="0.45">
      <c r="A36" s="3" t="s">
        <v>85</v>
      </c>
    </row>
    <row r="37" spans="1:82" x14ac:dyDescent="0.45">
      <c r="A37" t="s">
        <v>227</v>
      </c>
      <c r="CD37" s="26">
        <f>IF(ABS(BJ23)&lt;=MAX(Cover!$B$6,C18*0.00001),1,0)</f>
        <v>1</v>
      </c>
    </row>
    <row r="38" spans="1:82" x14ac:dyDescent="0.45">
      <c r="A38" t="s">
        <v>228</v>
      </c>
      <c r="CD38" s="26">
        <f>IF($B$3&lt;&gt;"DSCR Sculpted",1,IF(ABS($B$10)&lt;=Cover!$B$6,1,0))</f>
        <v>1</v>
      </c>
    </row>
    <row r="39" spans="1:82" x14ac:dyDescent="0.45">
      <c r="A39" t="s">
        <v>229</v>
      </c>
      <c r="CD39" s="26">
        <f>IF(MIN(C24:BJ24)&gt;=$B$5-0.001,1,0)</f>
        <v>1</v>
      </c>
    </row>
    <row r="40" spans="1:82" x14ac:dyDescent="0.45">
      <c r="A40" t="s">
        <v>230</v>
      </c>
      <c r="CD40" s="26">
        <f>SUMPRODUCT(--(C20:BJ20&lt;C19:BJ19))</f>
        <v>0</v>
      </c>
    </row>
    <row r="41" spans="1:82" x14ac:dyDescent="0.45">
      <c r="A41" t="s">
        <v>231</v>
      </c>
      <c r="CD41" s="26">
        <f>IF(NPV($B$4/4,C20:BJ20)&gt;$B$6*Calc_Capex!$Z$17,1,0)</f>
        <v>0</v>
      </c>
    </row>
    <row r="42" spans="1:82" x14ac:dyDescent="0.45">
      <c r="A42" t="s">
        <v>232</v>
      </c>
      <c r="CD42" s="26">
        <f>IF(SUMPRODUCT(--(C32:CD32&gt;C33:CD33+0.000001))=0,1,0)</f>
        <v>1</v>
      </c>
    </row>
    <row r="43" spans="1:82" x14ac:dyDescent="0.45">
      <c r="A43" t="s">
        <v>233</v>
      </c>
      <c r="CD43" s="26">
        <f>IF(SUMPRODUCT((C32:CD32&gt;0)*(C32:CD32&lt;1))=0,1,0)</f>
        <v>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808080"/>
  </sheetPr>
  <dimension ref="A1:CD23"/>
  <sheetViews>
    <sheetView workbookViewId="0">
      <pane xSplit="2" ySplit="17" topLeftCell="BR21" activePane="bottomRight" state="frozen"/>
      <selection pane="topRight"/>
      <selection pane="bottomLeft"/>
      <selection pane="bottomRight" activeCell="CD21" sqref="CD21"/>
    </sheetView>
  </sheetViews>
  <sheetFormatPr defaultRowHeight="14.25" x14ac:dyDescent="0.45"/>
  <cols>
    <col min="1" max="1" width="58" customWidth="1"/>
  </cols>
  <sheetData>
    <row r="1" spans="1:82" ht="15.75" x14ac:dyDescent="0.5">
      <c r="A1" s="10" t="s">
        <v>234</v>
      </c>
    </row>
    <row r="2" spans="1:82" x14ac:dyDescent="0.45">
      <c r="A2" t="s">
        <v>63</v>
      </c>
      <c r="C2" s="16">
        <v>47208</v>
      </c>
      <c r="D2" s="16">
        <v>47299</v>
      </c>
      <c r="E2" s="16">
        <v>47391</v>
      </c>
      <c r="F2" s="16">
        <v>47483</v>
      </c>
      <c r="G2" s="16">
        <v>47573</v>
      </c>
      <c r="H2" s="16">
        <v>47664</v>
      </c>
      <c r="I2" s="16">
        <v>47756</v>
      </c>
      <c r="J2" s="16">
        <v>47848</v>
      </c>
      <c r="K2" s="16">
        <v>47938</v>
      </c>
      <c r="L2" s="16">
        <v>48029</v>
      </c>
      <c r="M2" s="16">
        <v>48121</v>
      </c>
      <c r="N2" s="16">
        <v>48213</v>
      </c>
      <c r="O2" s="16">
        <v>48304</v>
      </c>
      <c r="P2" s="16">
        <v>48395</v>
      </c>
      <c r="Q2" s="16">
        <v>48487</v>
      </c>
      <c r="R2" s="16">
        <v>48579</v>
      </c>
      <c r="S2" s="16">
        <v>48669</v>
      </c>
      <c r="T2" s="16">
        <v>48760</v>
      </c>
      <c r="U2" s="16">
        <v>48852</v>
      </c>
      <c r="V2" s="16">
        <v>48944</v>
      </c>
      <c r="W2" s="16">
        <v>49034</v>
      </c>
      <c r="X2" s="16">
        <v>49125</v>
      </c>
      <c r="Y2" s="16">
        <v>49217</v>
      </c>
      <c r="Z2" s="16">
        <v>49309</v>
      </c>
      <c r="AA2" s="16">
        <v>49399</v>
      </c>
      <c r="AB2" s="16">
        <v>49490</v>
      </c>
      <c r="AC2" s="16">
        <v>49582</v>
      </c>
      <c r="AD2" s="16">
        <v>49674</v>
      </c>
      <c r="AE2" s="16">
        <v>49765</v>
      </c>
      <c r="AF2" s="16">
        <v>49856</v>
      </c>
      <c r="AG2" s="16">
        <v>49948</v>
      </c>
      <c r="AH2" s="16">
        <v>50040</v>
      </c>
      <c r="AI2" s="16">
        <v>50130</v>
      </c>
      <c r="AJ2" s="16">
        <v>50221</v>
      </c>
      <c r="AK2" s="16">
        <v>50313</v>
      </c>
      <c r="AL2" s="16">
        <v>50405</v>
      </c>
      <c r="AM2" s="16">
        <v>50495</v>
      </c>
      <c r="AN2" s="16">
        <v>50586</v>
      </c>
      <c r="AO2" s="16">
        <v>50678</v>
      </c>
      <c r="AP2" s="16">
        <v>50770</v>
      </c>
      <c r="AQ2" s="16">
        <v>50860</v>
      </c>
      <c r="AR2" s="16">
        <v>50951</v>
      </c>
      <c r="AS2" s="16">
        <v>51043</v>
      </c>
      <c r="AT2" s="16">
        <v>51135</v>
      </c>
      <c r="AU2" s="16">
        <v>51226</v>
      </c>
      <c r="AV2" s="16">
        <v>51317</v>
      </c>
      <c r="AW2" s="16">
        <v>51409</v>
      </c>
      <c r="AX2" s="16">
        <v>51501</v>
      </c>
      <c r="AY2" s="16">
        <v>51591</v>
      </c>
      <c r="AZ2" s="16">
        <v>51682</v>
      </c>
      <c r="BA2" s="16">
        <v>51774</v>
      </c>
      <c r="BB2" s="16">
        <v>51866</v>
      </c>
      <c r="BC2" s="16">
        <v>51956</v>
      </c>
      <c r="BD2" s="16">
        <v>52047</v>
      </c>
      <c r="BE2" s="16">
        <v>52139</v>
      </c>
      <c r="BF2" s="16">
        <v>52231</v>
      </c>
      <c r="BG2" s="16">
        <v>52321</v>
      </c>
      <c r="BH2" s="16">
        <v>52412</v>
      </c>
      <c r="BI2" s="16">
        <v>52504</v>
      </c>
      <c r="BJ2" s="16">
        <v>52596</v>
      </c>
      <c r="BK2" s="16">
        <v>52687</v>
      </c>
      <c r="BL2" s="16">
        <v>52778</v>
      </c>
      <c r="BM2" s="16">
        <v>52870</v>
      </c>
      <c r="BN2" s="16">
        <v>52962</v>
      </c>
      <c r="BO2" s="16">
        <v>53052</v>
      </c>
      <c r="BP2" s="16">
        <v>53143</v>
      </c>
      <c r="BQ2" s="16">
        <v>53235</v>
      </c>
      <c r="BR2" s="16">
        <v>53327</v>
      </c>
      <c r="BS2" s="16">
        <v>53417</v>
      </c>
      <c r="BT2" s="16">
        <v>53508</v>
      </c>
      <c r="BU2" s="16">
        <v>53600</v>
      </c>
      <c r="BV2" s="16">
        <v>53692</v>
      </c>
      <c r="BW2" s="16">
        <v>53782</v>
      </c>
      <c r="BX2" s="16">
        <v>53873</v>
      </c>
      <c r="BY2" s="16">
        <v>53965</v>
      </c>
      <c r="BZ2" s="16">
        <v>54057</v>
      </c>
      <c r="CA2" s="16">
        <v>54148</v>
      </c>
      <c r="CB2" s="16">
        <v>54239</v>
      </c>
      <c r="CC2" s="16">
        <v>54331</v>
      </c>
      <c r="CD2" s="16">
        <v>54423</v>
      </c>
    </row>
    <row r="3" spans="1:82" x14ac:dyDescent="0.45">
      <c r="A3" t="s">
        <v>111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5" spans="1:82" x14ac:dyDescent="0.45">
      <c r="A5" t="s">
        <v>235</v>
      </c>
      <c r="C5" s="12">
        <f>Calc_Tax!C10-Calc_Tax!C17</f>
        <v>2579150.8138990537</v>
      </c>
      <c r="D5" s="12">
        <f>Calc_Tax!D10-Calc_Tax!D17</f>
        <v>2576315.7418635143</v>
      </c>
      <c r="E5" s="12">
        <f>Calc_Tax!E10-Calc_Tax!E17</f>
        <v>2573441.0484023523</v>
      </c>
      <c r="F5" s="12">
        <f>Calc_Tax!F10-Calc_Tax!F17</f>
        <v>2570526.2534867567</v>
      </c>
      <c r="G5" s="12">
        <f>Calc_Tax!G10-Calc_Tax!G17</f>
        <v>2567570.871272184</v>
      </c>
      <c r="H5" s="12">
        <f>Calc_Tax!H10-Calc_Tax!H17</f>
        <v>2564574.4100278961</v>
      </c>
      <c r="I5" s="12">
        <f>Calc_Tax!I10-Calc_Tax!I17</f>
        <v>2561536.3720656484</v>
      </c>
      <c r="J5" s="12">
        <f>Calc_Tax!J10-Calc_Tax!J17</f>
        <v>2558456.253667512</v>
      </c>
      <c r="K5" s="12">
        <f>Calc_Tax!K10-Calc_Tax!K17</f>
        <v>2555333.545012821</v>
      </c>
      <c r="L5" s="12">
        <f>Calc_Tax!L10-Calc_Tax!L17</f>
        <v>2552167.7301042369</v>
      </c>
      <c r="M5" s="12">
        <f>Calc_Tax!M10-Calc_Tax!M17</f>
        <v>2548958.2866929146</v>
      </c>
      <c r="N5" s="12">
        <f>Calc_Tax!N10-Calc_Tax!N17</f>
        <v>2545704.6862027622</v>
      </c>
      <c r="O5" s="12">
        <f>Calc_Tax!O10-Calc_Tax!O17</f>
        <v>2542406.3936537872</v>
      </c>
      <c r="P5" s="12">
        <f>Calc_Tax!P10-Calc_Tax!P17</f>
        <v>2539062.867584507</v>
      </c>
      <c r="Q5" s="12">
        <f>Calc_Tax!Q10-Calc_Tax!Q17</f>
        <v>2535673.5599734262</v>
      </c>
      <c r="R5" s="12">
        <f>Calc_Tax!R10-Calc_Tax!R17</f>
        <v>2532237.9161595572</v>
      </c>
      <c r="S5" s="12">
        <f>Calc_Tax!S10-Calc_Tax!S17</f>
        <v>2528755.3747619814</v>
      </c>
      <c r="T5" s="12">
        <f>Calc_Tax!T10-Calc_Tax!T17</f>
        <v>2525225.3675984354</v>
      </c>
      <c r="U5" s="12">
        <f>Calc_Tax!U10-Calc_Tax!U17</f>
        <v>2521647.3196029076</v>
      </c>
      <c r="V5" s="12">
        <f>Calc_Tax!V10-Calc_Tax!V17</f>
        <v>2530520.6487422418</v>
      </c>
      <c r="W5" s="12">
        <f>Calc_Tax!W10-Calc_Tax!W17</f>
        <v>2526808.708239418</v>
      </c>
      <c r="X5" s="12">
        <f>Calc_Tax!X10-Calc_Tax!X17</f>
        <v>2523046.5227122335</v>
      </c>
      <c r="Y5" s="12">
        <f>Calc_Tax!Y10-Calc_Tax!Y17</f>
        <v>2519233.4834228922</v>
      </c>
      <c r="Z5" s="12">
        <f>Calc_Tax!Z10-Calc_Tax!Z17</f>
        <v>2515368.9742585071</v>
      </c>
      <c r="AA5" s="12">
        <f>Calc_Tax!AA10-Calc_Tax!AA17</f>
        <v>2511452.3716417458</v>
      </c>
      <c r="AB5" s="12">
        <f>Calc_Tax!AB10-Calc_Tax!AB17</f>
        <v>2507483.0444403966</v>
      </c>
      <c r="AC5" s="12">
        <f>Calc_Tax!AC10-Calc_Tax!AC17</f>
        <v>2503460.3538758387</v>
      </c>
      <c r="AD5" s="12">
        <f>Calc_Tax!AD10-Calc_Tax!AD17</f>
        <v>2499383.6534304027</v>
      </c>
      <c r="AE5" s="12">
        <f>Calc_Tax!AE10-Calc_Tax!AE17</f>
        <v>2495252.2887536087</v>
      </c>
      <c r="AF5" s="12">
        <f>Calc_Tax!AF10-Calc_Tax!AF17</f>
        <v>2491065.5975672686</v>
      </c>
      <c r="AG5" s="12">
        <f>Calc_Tax!AG10-Calc_Tax!AG17</f>
        <v>2486822.9095694404</v>
      </c>
      <c r="AH5" s="12">
        <f>Calc_Tax!AH10-Calc_Tax!AH17</f>
        <v>2482523.5463372157</v>
      </c>
      <c r="AI5" s="12">
        <f>Calc_Tax!AI10-Calc_Tax!AI17</f>
        <v>2478166.821228331</v>
      </c>
      <c r="AJ5" s="12">
        <f>Calc_Tax!AJ10-Calc_Tax!AJ17</f>
        <v>2473752.0392815885</v>
      </c>
      <c r="AK5" s="12">
        <f>Calc_Tax!AK10-Calc_Tax!AK17</f>
        <v>2469278.4971160684</v>
      </c>
      <c r="AL5" s="12">
        <f>Calc_Tax!AL10-Calc_Tax!AL17</f>
        <v>2464745.48282912</v>
      </c>
      <c r="AM5" s="12">
        <f>Calc_Tax!AM10-Calc_Tax!AM17</f>
        <v>2460152.2758931178</v>
      </c>
      <c r="AN5" s="12">
        <f>Calc_Tax!AN10-Calc_Tax!AN17</f>
        <v>2455498.1470509684</v>
      </c>
      <c r="AO5" s="12">
        <f>Calc_Tax!AO10-Calc_Tax!AO17</f>
        <v>2450782.3582103462</v>
      </c>
      <c r="AP5" s="12">
        <f>Calc_Tax!AP10-Calc_Tax!AP17</f>
        <v>2458504.1623366554</v>
      </c>
      <c r="AQ5" s="12">
        <f>Calc_Tax!AQ10-Calc_Tax!AQ17</f>
        <v>2453275.183152379</v>
      </c>
      <c r="AR5" s="12">
        <f>Calc_Tax!AR10-Calc_Tax!AR17</f>
        <v>2447982.8528741398</v>
      </c>
      <c r="AS5" s="12">
        <f>Calc_Tax!AS10-Calc_Tax!AS17</f>
        <v>2442626.4039790677</v>
      </c>
      <c r="AT5" s="12">
        <f>Calc_Tax!AT10-Calc_Tax!AT17</f>
        <v>2437205.0596454595</v>
      </c>
      <c r="AU5" s="12">
        <f>Calc_Tax!AU10-Calc_Tax!AU17</f>
        <v>2431718.0336401169</v>
      </c>
      <c r="AV5" s="12">
        <f>Calc_Tax!AV10-Calc_Tax!AV17</f>
        <v>2426164.530204325</v>
      </c>
      <c r="AW5" s="12">
        <f>Calc_Tax!AW10-Calc_Tax!AW17</f>
        <v>2420543.7439384456</v>
      </c>
      <c r="AX5" s="12">
        <f>Calc_Tax!AX10-Calc_Tax!AX17</f>
        <v>2414854.8596851146</v>
      </c>
      <c r="AY5" s="12">
        <f>Calc_Tax!AY10-Calc_Tax!AY17</f>
        <v>2409097.0524110217</v>
      </c>
      <c r="AZ5" s="12">
        <f>Calc_Tax!AZ10-Calc_Tax!AZ17</f>
        <v>2403269.4870872619</v>
      </c>
      <c r="BA5" s="12">
        <f>Calc_Tax!BA10-Calc_Tax!BA17</f>
        <v>2397371.3185682334</v>
      </c>
      <c r="BB5" s="12">
        <f>Calc_Tax!BB10-Calc_Tax!BB17</f>
        <v>2391401.691469071</v>
      </c>
      <c r="BC5" s="12">
        <f>Calc_Tax!BC10-Calc_Tax!BC17</f>
        <v>2385359.7400415912</v>
      </c>
      <c r="BD5" s="12">
        <f>Calc_Tax!BD10-Calc_Tax!BD17</f>
        <v>2379244.5880487403</v>
      </c>
      <c r="BE5" s="12">
        <f>Calc_Tax!BE10-Calc_Tax!BE17</f>
        <v>2373055.3486375147</v>
      </c>
      <c r="BF5" s="12">
        <f>Calc_Tax!BF10-Calc_Tax!BF17</f>
        <v>2366791.1242103451</v>
      </c>
      <c r="BG5" s="12">
        <f>Calc_Tax!BG10-Calc_Tax!BG17</f>
        <v>2360451.0062949234</v>
      </c>
      <c r="BH5" s="12">
        <f>Calc_Tax!BH10-Calc_Tax!BH17</f>
        <v>2354034.0754124494</v>
      </c>
      <c r="BI5" s="12">
        <f>Calc_Tax!BI10-Calc_Tax!BI17</f>
        <v>2347539.4009442837</v>
      </c>
      <c r="BJ5" s="12">
        <f>Calc_Tax!BJ10-Calc_Tax!BJ17</f>
        <v>2340966.0409969846</v>
      </c>
      <c r="BK5" s="12">
        <f>Calc_Tax!BK10-Calc_Tax!BK17</f>
        <v>2334313.512633909</v>
      </c>
      <c r="BL5" s="12">
        <f>Calc_Tax!BL10-Calc_Tax!BL17</f>
        <v>2334313.512633909</v>
      </c>
      <c r="BM5" s="12">
        <f>Calc_Tax!BM10-Calc_Tax!BM17</f>
        <v>2334313.512633909</v>
      </c>
      <c r="BN5" s="12">
        <f>Calc_Tax!BN10-Calc_Tax!BN17</f>
        <v>2334313.512633909</v>
      </c>
      <c r="BO5" s="12">
        <f>Calc_Tax!BO10-Calc_Tax!BO17</f>
        <v>2334313.512633909</v>
      </c>
      <c r="BP5" s="12">
        <f>Calc_Tax!BP10-Calc_Tax!BP17</f>
        <v>2334313.512633909</v>
      </c>
      <c r="BQ5" s="12">
        <f>Calc_Tax!BQ10-Calc_Tax!BQ17</f>
        <v>2334313.512633909</v>
      </c>
      <c r="BR5" s="12">
        <f>Calc_Tax!BR10-Calc_Tax!BR17</f>
        <v>2334313.512633909</v>
      </c>
      <c r="BS5" s="12">
        <f>Calc_Tax!BS10-Calc_Tax!BS17</f>
        <v>2334313.512633909</v>
      </c>
      <c r="BT5" s="12">
        <f>Calc_Tax!BT10-Calc_Tax!BT17</f>
        <v>2334313.512633909</v>
      </c>
      <c r="BU5" s="12">
        <f>Calc_Tax!BU10-Calc_Tax!BU17</f>
        <v>2334313.512633909</v>
      </c>
      <c r="BV5" s="12">
        <f>Calc_Tax!BV10-Calc_Tax!BV17</f>
        <v>2334313.512633909</v>
      </c>
      <c r="BW5" s="12">
        <f>Calc_Tax!BW10-Calc_Tax!BW17</f>
        <v>2334313.512633909</v>
      </c>
      <c r="BX5" s="12">
        <f>Calc_Tax!BX10-Calc_Tax!BX17</f>
        <v>2334313.512633909</v>
      </c>
      <c r="BY5" s="12">
        <f>Calc_Tax!BY10-Calc_Tax!BY17</f>
        <v>2334313.512633909</v>
      </c>
      <c r="BZ5" s="12">
        <f>Calc_Tax!BZ10-Calc_Tax!BZ17</f>
        <v>2334313.512633909</v>
      </c>
      <c r="CA5" s="12">
        <f>Calc_Tax!CA10-Calc_Tax!CA17</f>
        <v>2334313.512633909</v>
      </c>
      <c r="CB5" s="12">
        <f>Calc_Tax!CB10-Calc_Tax!CB17</f>
        <v>2334313.512633909</v>
      </c>
      <c r="CC5" s="12">
        <f>Calc_Tax!CC10-Calc_Tax!CC17</f>
        <v>2334313.512633909</v>
      </c>
      <c r="CD5" s="12">
        <f>Calc_Tax!CD10-Calc_Tax!CD17</f>
        <v>2334313.512633909</v>
      </c>
    </row>
    <row r="6" spans="1:82" x14ac:dyDescent="0.45">
      <c r="A6" t="s">
        <v>236</v>
      </c>
      <c r="C6" s="12">
        <f>Calc_Financing_Ops!C21</f>
        <v>1983962.1645377337</v>
      </c>
      <c r="D6" s="12">
        <f>Calc_Financing_Ops!D21</f>
        <v>1981781.3398950109</v>
      </c>
      <c r="E6" s="12">
        <f>Calc_Financing_Ops!E21</f>
        <v>1979570.0372325785</v>
      </c>
      <c r="F6" s="12">
        <f>Calc_Financing_Ops!F21</f>
        <v>1977327.887297505</v>
      </c>
      <c r="G6" s="12">
        <f>Calc_Financing_Ops!G21</f>
        <v>1975054.5163632184</v>
      </c>
      <c r="H6" s="12">
        <f>Calc_Financing_Ops!H21</f>
        <v>1972749.5461753046</v>
      </c>
      <c r="I6" s="12">
        <f>Calc_Financing_Ops!I21</f>
        <v>1970412.5938966526</v>
      </c>
      <c r="J6" s="12">
        <f>Calc_Financing_Ops!J21</f>
        <v>1968043.2720519323</v>
      </c>
      <c r="K6" s="12">
        <f>Calc_Financing_Ops!K21</f>
        <v>1965641.1884714006</v>
      </c>
      <c r="L6" s="12">
        <f>Calc_Financing_Ops!L21</f>
        <v>1963205.9462340283</v>
      </c>
      <c r="M6" s="12">
        <f>Calc_Financing_Ops!M21</f>
        <v>1960737.1436099343</v>
      </c>
      <c r="N6" s="12">
        <f>Calc_Financing_Ops!N21</f>
        <v>1958234.3740021246</v>
      </c>
      <c r="O6" s="12">
        <f>Calc_Financing_Ops!O21</f>
        <v>1955697.2258875286</v>
      </c>
      <c r="P6" s="12">
        <f>Calc_Financing_Ops!P21</f>
        <v>1953125.282757313</v>
      </c>
      <c r="Q6" s="12">
        <f>Calc_Financing_Ops!Q21</f>
        <v>1950518.1230564816</v>
      </c>
      <c r="R6" s="12">
        <f>Calc_Financing_Ops!R21</f>
        <v>1947875.3201227363</v>
      </c>
      <c r="S6" s="12">
        <f>Calc_Financing_Ops!S21</f>
        <v>1945196.442124601</v>
      </c>
      <c r="T6" s="12">
        <f>Calc_Financing_Ops!T21</f>
        <v>1942481.0519987964</v>
      </c>
      <c r="U6" s="12">
        <f>Calc_Financing_Ops!U21</f>
        <v>1939728.707386852</v>
      </c>
      <c r="V6" s="12">
        <f>Calc_Financing_Ops!V21</f>
        <v>1946554.3451863397</v>
      </c>
      <c r="W6" s="12">
        <f>Calc_Financing_Ops!W21</f>
        <v>1943699.0063380138</v>
      </c>
      <c r="X6" s="12">
        <f>Calc_Financing_Ops!X21</f>
        <v>1940805.0174709489</v>
      </c>
      <c r="Y6" s="12">
        <f>Calc_Financing_Ops!Y21</f>
        <v>1937871.9103253016</v>
      </c>
      <c r="Z6" s="12">
        <f>Calc_Financing_Ops!Z21</f>
        <v>1934899.2109680823</v>
      </c>
      <c r="AA6" s="12">
        <f>Calc_Financing_Ops!AA21</f>
        <v>1931886.4397244197</v>
      </c>
      <c r="AB6" s="12">
        <f>Calc_Financing_Ops!AB21</f>
        <v>1928833.1111079974</v>
      </c>
      <c r="AC6" s="12">
        <f>Calc_Financing_Ops!AC21</f>
        <v>1925738.7337506451</v>
      </c>
      <c r="AD6" s="12">
        <f>Calc_Financing_Ops!AD21</f>
        <v>1922602.8103310789</v>
      </c>
      <c r="AE6" s="12">
        <f>Calc_Financing_Ops!AE21</f>
        <v>1919424.8375027759</v>
      </c>
      <c r="AF6" s="12">
        <f>Calc_Financing_Ops!AF21</f>
        <v>1916204.3058209759</v>
      </c>
      <c r="AG6" s="12">
        <f>Calc_Financing_Ops!AG21</f>
        <v>1912940.6996688002</v>
      </c>
      <c r="AH6" s="12">
        <f>Calc_Financing_Ops!AH21</f>
        <v>1909633.4971824735</v>
      </c>
      <c r="AI6" s="12">
        <f>Calc_Financing_Ops!AI21</f>
        <v>1906282.1701756392</v>
      </c>
      <c r="AJ6" s="12">
        <f>Calc_Financing_Ops!AJ21</f>
        <v>1902886.1840627603</v>
      </c>
      <c r="AK6" s="12">
        <f>Calc_Financing_Ops!AK21</f>
        <v>1899444.997781591</v>
      </c>
      <c r="AL6" s="12">
        <f>Calc_Financing_Ops!AL21</f>
        <v>1895958.0637147077</v>
      </c>
      <c r="AM6" s="12">
        <f>Calc_Financing_Ops!AM21</f>
        <v>1892424.8276100906</v>
      </c>
      <c r="AN6" s="12">
        <f>Calc_Financing_Ops!AN21</f>
        <v>1888844.7285007448</v>
      </c>
      <c r="AO6" s="12">
        <f>Calc_Financing_Ops!AO21</f>
        <v>1885217.1986233431</v>
      </c>
      <c r="AP6" s="12">
        <f>Calc_Financing_Ops!AP21</f>
        <v>1891157.0479512734</v>
      </c>
      <c r="AQ6" s="12">
        <f>Calc_Financing_Ops!AQ21</f>
        <v>1887134.7562710608</v>
      </c>
      <c r="AR6" s="12">
        <f>Calc_Financing_Ops!AR21</f>
        <v>1883063.7329801074</v>
      </c>
      <c r="AS6" s="12">
        <f>Calc_Financing_Ops!AS21</f>
        <v>1878943.387676206</v>
      </c>
      <c r="AT6" s="12">
        <f>Calc_Financing_Ops!AT21</f>
        <v>1874773.1228041996</v>
      </c>
      <c r="AU6" s="12">
        <f>Calc_Financing_Ops!AU21</f>
        <v>1870552.3335693206</v>
      </c>
      <c r="AV6" s="12">
        <f>Calc_Financing_Ops!AV21</f>
        <v>1866280.4078494806</v>
      </c>
      <c r="AW6" s="12">
        <f>Calc_Financing_Ops!AW21</f>
        <v>1861956.7261064965</v>
      </c>
      <c r="AX6" s="12">
        <f>Calc_Financing_Ops!AX21</f>
        <v>1857580.6612962419</v>
      </c>
      <c r="AY6" s="12">
        <f>Calc_Financing_Ops!AY21</f>
        <v>1853151.5787777088</v>
      </c>
      <c r="AZ6" s="12">
        <f>Calc_Financing_Ops!AZ21</f>
        <v>1848668.8362209706</v>
      </c>
      <c r="BA6" s="12">
        <f>Calc_Financing_Ops!BA21</f>
        <v>1844131.7835140256</v>
      </c>
      <c r="BB6" s="12">
        <f>Calc_Financing_Ops!BB21</f>
        <v>1839539.762668516</v>
      </c>
      <c r="BC6" s="12">
        <f>Calc_Financing_Ops!BC21</f>
        <v>1834892.1077243008</v>
      </c>
      <c r="BD6" s="12">
        <f>Calc_Financing_Ops!BD21</f>
        <v>1830188.144652877</v>
      </c>
      <c r="BE6" s="12">
        <f>Calc_Financing_Ops!BE21</f>
        <v>1825427.1912596268</v>
      </c>
      <c r="BF6" s="12">
        <f>Calc_Financing_Ops!BF21</f>
        <v>1820608.5570848808</v>
      </c>
      <c r="BG6" s="12">
        <f>Calc_Financing_Ops!BG21</f>
        <v>1815731.5433037872</v>
      </c>
      <c r="BH6" s="12">
        <f>Calc_Financing_Ops!BH21</f>
        <v>1810795.442624961</v>
      </c>
      <c r="BI6" s="12">
        <f>Calc_Financing_Ops!BI21</f>
        <v>1805799.5391879105</v>
      </c>
      <c r="BJ6" s="12">
        <f>Calc_Financing_Ops!BJ21</f>
        <v>1800617.6769391664</v>
      </c>
      <c r="BK6" s="12">
        <f>Calc_Financing_Ops!BK21</f>
        <v>0</v>
      </c>
      <c r="BL6" s="12">
        <f>Calc_Financing_Ops!BL21</f>
        <v>0</v>
      </c>
      <c r="BM6" s="12">
        <f>Calc_Financing_Ops!BM21</f>
        <v>0</v>
      </c>
      <c r="BN6" s="12">
        <f>Calc_Financing_Ops!BN21</f>
        <v>0</v>
      </c>
      <c r="BO6" s="12">
        <f>Calc_Financing_Ops!BO21</f>
        <v>0</v>
      </c>
      <c r="BP6" s="12">
        <f>Calc_Financing_Ops!BP21</f>
        <v>0</v>
      </c>
      <c r="BQ6" s="12">
        <f>Calc_Financing_Ops!BQ21</f>
        <v>0</v>
      </c>
      <c r="BR6" s="12">
        <f>Calc_Financing_Ops!BR21</f>
        <v>0</v>
      </c>
      <c r="BS6" s="12">
        <f>Calc_Financing_Ops!BS21</f>
        <v>0</v>
      </c>
      <c r="BT6" s="12">
        <f>Calc_Financing_Ops!BT21</f>
        <v>0</v>
      </c>
      <c r="BU6" s="12">
        <f>Calc_Financing_Ops!BU21</f>
        <v>0</v>
      </c>
      <c r="BV6" s="12">
        <f>Calc_Financing_Ops!BV21</f>
        <v>0</v>
      </c>
      <c r="BW6" s="12">
        <f>Calc_Financing_Ops!BW21</f>
        <v>0</v>
      </c>
      <c r="BX6" s="12">
        <f>Calc_Financing_Ops!BX21</f>
        <v>0</v>
      </c>
      <c r="BY6" s="12">
        <f>Calc_Financing_Ops!BY21</f>
        <v>0</v>
      </c>
      <c r="BZ6" s="12">
        <f>Calc_Financing_Ops!BZ21</f>
        <v>0</v>
      </c>
      <c r="CA6" s="12">
        <f>Calc_Financing_Ops!CA21</f>
        <v>0</v>
      </c>
      <c r="CB6" s="12">
        <f>Calc_Financing_Ops!CB21</f>
        <v>0</v>
      </c>
      <c r="CC6" s="12">
        <f>Calc_Financing_Ops!CC21</f>
        <v>0</v>
      </c>
      <c r="CD6" s="12">
        <f>Calc_Financing_Ops!CD21</f>
        <v>0</v>
      </c>
    </row>
    <row r="7" spans="1:82" x14ac:dyDescent="0.45">
      <c r="A7" t="s">
        <v>237</v>
      </c>
      <c r="C7" s="18">
        <f t="shared" ref="C7:AH7" si="0">C5-C6</f>
        <v>595188.64936132007</v>
      </c>
      <c r="D7" s="18">
        <f t="shared" si="0"/>
        <v>594534.40196850337</v>
      </c>
      <c r="E7" s="18">
        <f t="shared" si="0"/>
        <v>593871.01116977376</v>
      </c>
      <c r="F7" s="18">
        <f t="shared" si="0"/>
        <v>593198.36618925165</v>
      </c>
      <c r="G7" s="18">
        <f t="shared" si="0"/>
        <v>592516.35490896553</v>
      </c>
      <c r="H7" s="18">
        <f t="shared" si="0"/>
        <v>591824.86385259149</v>
      </c>
      <c r="I7" s="18">
        <f t="shared" si="0"/>
        <v>591123.77816899586</v>
      </c>
      <c r="J7" s="18">
        <f t="shared" si="0"/>
        <v>590412.98161557969</v>
      </c>
      <c r="K7" s="18">
        <f t="shared" si="0"/>
        <v>589692.35654142033</v>
      </c>
      <c r="L7" s="18">
        <f t="shared" si="0"/>
        <v>588961.78387020854</v>
      </c>
      <c r="M7" s="18">
        <f t="shared" si="0"/>
        <v>588221.1430829803</v>
      </c>
      <c r="N7" s="18">
        <f t="shared" si="0"/>
        <v>587470.31220063753</v>
      </c>
      <c r="O7" s="18">
        <f t="shared" si="0"/>
        <v>586709.16776625859</v>
      </c>
      <c r="P7" s="18">
        <f t="shared" si="0"/>
        <v>585937.58482719399</v>
      </c>
      <c r="Q7" s="18">
        <f t="shared" si="0"/>
        <v>585155.43691694457</v>
      </c>
      <c r="R7" s="18">
        <f t="shared" si="0"/>
        <v>584362.59603682091</v>
      </c>
      <c r="S7" s="18">
        <f t="shared" si="0"/>
        <v>583558.93263738044</v>
      </c>
      <c r="T7" s="18">
        <f t="shared" si="0"/>
        <v>582744.31559963897</v>
      </c>
      <c r="U7" s="18">
        <f t="shared" si="0"/>
        <v>581918.61221605563</v>
      </c>
      <c r="V7" s="18">
        <f t="shared" si="0"/>
        <v>583966.30355590209</v>
      </c>
      <c r="W7" s="18">
        <f t="shared" si="0"/>
        <v>583109.70190140419</v>
      </c>
      <c r="X7" s="18">
        <f t="shared" si="0"/>
        <v>582241.50524128461</v>
      </c>
      <c r="Y7" s="18">
        <f t="shared" si="0"/>
        <v>581361.57309759059</v>
      </c>
      <c r="Z7" s="18">
        <f t="shared" si="0"/>
        <v>580469.76329042483</v>
      </c>
      <c r="AA7" s="18">
        <f t="shared" si="0"/>
        <v>579565.93191732606</v>
      </c>
      <c r="AB7" s="18">
        <f t="shared" si="0"/>
        <v>578649.93333239923</v>
      </c>
      <c r="AC7" s="18">
        <f t="shared" si="0"/>
        <v>577721.62012519361</v>
      </c>
      <c r="AD7" s="18">
        <f t="shared" si="0"/>
        <v>576780.8430993238</v>
      </c>
      <c r="AE7" s="18">
        <f t="shared" si="0"/>
        <v>575827.45125083276</v>
      </c>
      <c r="AF7" s="18">
        <f t="shared" si="0"/>
        <v>574861.29174629273</v>
      </c>
      <c r="AG7" s="18">
        <f t="shared" si="0"/>
        <v>573882.20990064018</v>
      </c>
      <c r="AH7" s="18">
        <f t="shared" si="0"/>
        <v>572890.04915474216</v>
      </c>
      <c r="AI7" s="18">
        <f t="shared" ref="AI7:BN7" si="1">AI5-AI6</f>
        <v>571884.65105269174</v>
      </c>
      <c r="AJ7" s="18">
        <f t="shared" si="1"/>
        <v>570865.85521882819</v>
      </c>
      <c r="AK7" s="18">
        <f t="shared" si="1"/>
        <v>569833.49933447735</v>
      </c>
      <c r="AL7" s="18">
        <f t="shared" si="1"/>
        <v>568787.41911441227</v>
      </c>
      <c r="AM7" s="18">
        <f t="shared" si="1"/>
        <v>567727.44828302716</v>
      </c>
      <c r="AN7" s="18">
        <f t="shared" si="1"/>
        <v>566653.41855022358</v>
      </c>
      <c r="AO7" s="18">
        <f t="shared" si="1"/>
        <v>565565.15958700306</v>
      </c>
      <c r="AP7" s="18">
        <f t="shared" si="1"/>
        <v>567347.11438538204</v>
      </c>
      <c r="AQ7" s="18">
        <f t="shared" si="1"/>
        <v>566140.42688131821</v>
      </c>
      <c r="AR7" s="18">
        <f t="shared" si="1"/>
        <v>564919.11989403237</v>
      </c>
      <c r="AS7" s="18">
        <f t="shared" si="1"/>
        <v>563683.01630286174</v>
      </c>
      <c r="AT7" s="18">
        <f t="shared" si="1"/>
        <v>562431.93684125994</v>
      </c>
      <c r="AU7" s="18">
        <f t="shared" si="1"/>
        <v>561165.7000707963</v>
      </c>
      <c r="AV7" s="18">
        <f t="shared" si="1"/>
        <v>559884.12235484435</v>
      </c>
      <c r="AW7" s="18">
        <f t="shared" si="1"/>
        <v>558587.01783194905</v>
      </c>
      <c r="AX7" s="18">
        <f t="shared" si="1"/>
        <v>557274.19838887267</v>
      </c>
      <c r="AY7" s="18">
        <f t="shared" si="1"/>
        <v>555945.47363331285</v>
      </c>
      <c r="AZ7" s="18">
        <f t="shared" si="1"/>
        <v>554600.65086629125</v>
      </c>
      <c r="BA7" s="18">
        <f t="shared" si="1"/>
        <v>553239.53505420778</v>
      </c>
      <c r="BB7" s="18">
        <f t="shared" si="1"/>
        <v>551861.92880055495</v>
      </c>
      <c r="BC7" s="18">
        <f t="shared" si="1"/>
        <v>550467.63231729041</v>
      </c>
      <c r="BD7" s="18">
        <f t="shared" si="1"/>
        <v>549056.44339586329</v>
      </c>
      <c r="BE7" s="18">
        <f t="shared" si="1"/>
        <v>547628.15737788798</v>
      </c>
      <c r="BF7" s="18">
        <f t="shared" si="1"/>
        <v>546182.56712546432</v>
      </c>
      <c r="BG7" s="18">
        <f t="shared" si="1"/>
        <v>544719.46299113613</v>
      </c>
      <c r="BH7" s="18">
        <f t="shared" si="1"/>
        <v>543238.6327874884</v>
      </c>
      <c r="BI7" s="18">
        <f t="shared" si="1"/>
        <v>541739.8617563732</v>
      </c>
      <c r="BJ7" s="18">
        <f t="shared" si="1"/>
        <v>540348.36405781819</v>
      </c>
      <c r="BK7" s="18">
        <f t="shared" si="1"/>
        <v>2334313.512633909</v>
      </c>
      <c r="BL7" s="18">
        <f t="shared" si="1"/>
        <v>2334313.512633909</v>
      </c>
      <c r="BM7" s="18">
        <f t="shared" si="1"/>
        <v>2334313.512633909</v>
      </c>
      <c r="BN7" s="18">
        <f t="shared" si="1"/>
        <v>2334313.512633909</v>
      </c>
      <c r="BO7" s="18">
        <f t="shared" ref="BO7:CD7" si="2">BO5-BO6</f>
        <v>2334313.512633909</v>
      </c>
      <c r="BP7" s="18">
        <f t="shared" si="2"/>
        <v>2334313.512633909</v>
      </c>
      <c r="BQ7" s="18">
        <f t="shared" si="2"/>
        <v>2334313.512633909</v>
      </c>
      <c r="BR7" s="18">
        <f t="shared" si="2"/>
        <v>2334313.512633909</v>
      </c>
      <c r="BS7" s="18">
        <f t="shared" si="2"/>
        <v>2334313.512633909</v>
      </c>
      <c r="BT7" s="18">
        <f t="shared" si="2"/>
        <v>2334313.512633909</v>
      </c>
      <c r="BU7" s="18">
        <f t="shared" si="2"/>
        <v>2334313.512633909</v>
      </c>
      <c r="BV7" s="18">
        <f t="shared" si="2"/>
        <v>2334313.512633909</v>
      </c>
      <c r="BW7" s="18">
        <f t="shared" si="2"/>
        <v>2334313.512633909</v>
      </c>
      <c r="BX7" s="18">
        <f t="shared" si="2"/>
        <v>2334313.512633909</v>
      </c>
      <c r="BY7" s="18">
        <f t="shared" si="2"/>
        <v>2334313.512633909</v>
      </c>
      <c r="BZ7" s="18">
        <f t="shared" si="2"/>
        <v>2334313.512633909</v>
      </c>
      <c r="CA7" s="18">
        <f t="shared" si="2"/>
        <v>2334313.512633909</v>
      </c>
      <c r="CB7" s="18">
        <f t="shared" si="2"/>
        <v>2334313.512633909</v>
      </c>
      <c r="CC7" s="18">
        <f t="shared" si="2"/>
        <v>2334313.512633909</v>
      </c>
      <c r="CD7" s="18">
        <f t="shared" si="2"/>
        <v>2334313.512633909</v>
      </c>
    </row>
    <row r="9" spans="1:82" x14ac:dyDescent="0.45">
      <c r="A9" t="s">
        <v>238</v>
      </c>
      <c r="C9" s="12">
        <f>Calc_Financing_Ops!C30</f>
        <v>3961351.3771275897</v>
      </c>
      <c r="D9" s="12">
        <f>Calc_Financing_Ops!D30</f>
        <v>-4453.4525975063443</v>
      </c>
      <c r="E9" s="12">
        <f>Calc_Financing_Ops!E30</f>
        <v>-4515.5208693598397</v>
      </c>
      <c r="F9" s="12">
        <f>Calc_Financing_Ops!F30</f>
        <v>-4578.3411222002469</v>
      </c>
      <c r="G9" s="12">
        <f>Calc_Financing_Ops!G30</f>
        <v>-4641.9224665658548</v>
      </c>
      <c r="H9" s="12">
        <f>Calc_Financing_Ops!H30</f>
        <v>-4706.2741233725101</v>
      </c>
      <c r="I9" s="12">
        <f>Calc_Financing_Ops!I30</f>
        <v>-4771.4054252519272</v>
      </c>
      <c r="J9" s="12">
        <f>Calc_Financing_Ops!J30</f>
        <v>-4837.3258179039694</v>
      </c>
      <c r="K9" s="12">
        <f>Calc_Financing_Ops!K30</f>
        <v>-4904.0448614666238</v>
      </c>
      <c r="L9" s="12">
        <f>Calc_Financing_Ops!L30</f>
        <v>-4971.5722319036722</v>
      </c>
      <c r="M9" s="12">
        <f>Calc_Financing_Ops!M30</f>
        <v>-5039.9177224054001</v>
      </c>
      <c r="N9" s="12">
        <f>Calc_Financing_Ops!N30</f>
        <v>-5109.0912448116578</v>
      </c>
      <c r="O9" s="12">
        <f>Calc_Financing_Ops!O30</f>
        <v>-5179.1028310470283</v>
      </c>
      <c r="P9" s="12">
        <f>Calc_Financing_Ops!P30</f>
        <v>-5249.9626345764846</v>
      </c>
      <c r="Q9" s="12">
        <f>Calc_Financing_Ops!Q30</f>
        <v>-5321.6809318810701</v>
      </c>
      <c r="R9" s="12">
        <f>Calc_Financing_Ops!R30</f>
        <v>-5394.2681239396334</v>
      </c>
      <c r="S9" s="12">
        <f>Calc_Financing_Ops!S30</f>
        <v>-5467.7347377492115</v>
      </c>
      <c r="T9" s="12">
        <f>Calc_Financing_Ops!T30</f>
        <v>4073.2931875437498</v>
      </c>
      <c r="U9" s="12">
        <f>Calc_Financing_Ops!U30</f>
        <v>3970.2989511615597</v>
      </c>
      <c r="V9" s="12">
        <f>Calc_Financing_Ops!V30</f>
        <v>-5749.3277153908275</v>
      </c>
      <c r="W9" s="12">
        <f>Calc_Financing_Ops!W30</f>
        <v>-5827.0960127124563</v>
      </c>
      <c r="X9" s="12">
        <f>Calc_Financing_Ops!X30</f>
        <v>-5905.8065028665587</v>
      </c>
      <c r="Y9" s="12">
        <f>Calc_Financing_Ops!Y30</f>
        <v>-5985.4706008816138</v>
      </c>
      <c r="Z9" s="12">
        <f>Calc_Financing_Ops!Z30</f>
        <v>-6066.0998600851744</v>
      </c>
      <c r="AA9" s="12">
        <f>Calc_Financing_Ops!AA30</f>
        <v>-6147.7059737741947</v>
      </c>
      <c r="AB9" s="12">
        <f>Calc_Financing_Ops!AB30</f>
        <v>-6230.3007769184187</v>
      </c>
      <c r="AC9" s="12">
        <f>Calc_Financing_Ops!AC30</f>
        <v>-6313.8962478693575</v>
      </c>
      <c r="AD9" s="12">
        <f>Calc_Financing_Ops!AD30</f>
        <v>-6398.5045101027936</v>
      </c>
      <c r="AE9" s="12">
        <f>Calc_Financing_Ops!AE30</f>
        <v>-6484.1378339761868</v>
      </c>
      <c r="AF9" s="12">
        <f>Calc_Financing_Ops!AF30</f>
        <v>-6570.8086385019124</v>
      </c>
      <c r="AG9" s="12">
        <f>Calc_Financing_Ops!AG30</f>
        <v>-6658.5294931614771</v>
      </c>
      <c r="AH9" s="12">
        <f>Calc_Financing_Ops!AH30</f>
        <v>-6747.313119713217</v>
      </c>
      <c r="AI9" s="12">
        <f>Calc_Financing_Ops!AI30</f>
        <v>-6837.1723940479569</v>
      </c>
      <c r="AJ9" s="12">
        <f>Calc_Financing_Ops!AJ30</f>
        <v>-6928.1203480525874</v>
      </c>
      <c r="AK9" s="12">
        <f>Calc_Financing_Ops!AK30</f>
        <v>-7020.1701715001836</v>
      </c>
      <c r="AL9" s="12">
        <f>Calc_Financing_Ops!AL30</f>
        <v>-7113.3352139629424</v>
      </c>
      <c r="AM9" s="12">
        <f>Calc_Financing_Ops!AM30</f>
        <v>-7207.6289867479354</v>
      </c>
      <c r="AN9" s="12">
        <f>Calc_Financing_Ops!AN30</f>
        <v>2312.3194505288266</v>
      </c>
      <c r="AO9" s="12">
        <f>Calc_Financing_Ops!AO30</f>
        <v>1917.557647717651</v>
      </c>
      <c r="AP9" s="12">
        <f>Calc_Financing_Ops!AP30</f>
        <v>-8093.3149711657315</v>
      </c>
      <c r="AQ9" s="12">
        <f>Calc_Financing_Ops!AQ30</f>
        <v>-8191.3685948550701</v>
      </c>
      <c r="AR9" s="12">
        <f>Calc_Financing_Ops!AR30</f>
        <v>-8290.6101759076118</v>
      </c>
      <c r="AS9" s="12">
        <f>Calc_Financing_Ops!AS30</f>
        <v>-8391.0541068855673</v>
      </c>
      <c r="AT9" s="12">
        <f>Calc_Financing_Ops!AT30</f>
        <v>-8492.7149547189474</v>
      </c>
      <c r="AU9" s="12">
        <f>Calc_Financing_Ops!AU30</f>
        <v>-8595.6074628243223</v>
      </c>
      <c r="AV9" s="12">
        <f>Calc_Financing_Ops!AV30</f>
        <v>-8699.7465532384813</v>
      </c>
      <c r="AW9" s="12">
        <f>Calc_Financing_Ops!AW30</f>
        <v>-8805.1473287874833</v>
      </c>
      <c r="AX9" s="12">
        <f>Calc_Financing_Ops!AX30</f>
        <v>-8911.8250752715394</v>
      </c>
      <c r="AY9" s="12">
        <f>Calc_Financing_Ops!AY30</f>
        <v>-9019.7952636834234</v>
      </c>
      <c r="AZ9" s="12">
        <f>Calc_Financing_Ops!AZ30</f>
        <v>-9129.0735524543561</v>
      </c>
      <c r="BA9" s="12">
        <f>Calc_Financing_Ops!BA30</f>
        <v>-9239.6757897245698</v>
      </c>
      <c r="BB9" s="12">
        <f>Calc_Financing_Ops!BB30</f>
        <v>-9351.6180156394839</v>
      </c>
      <c r="BC9" s="12">
        <f>Calc_Financing_Ops!BC30</f>
        <v>-9464.9164646738209</v>
      </c>
      <c r="BD9" s="12">
        <f>Calc_Financing_Ops!BD30</f>
        <v>-9579.5875679962337</v>
      </c>
      <c r="BE9" s="12">
        <f>Calc_Financing_Ops!BE30</f>
        <v>-9695.6479558395222</v>
      </c>
      <c r="BF9" s="12">
        <f>Calc_Financing_Ops!BF30</f>
        <v>-9813.1144599197432</v>
      </c>
      <c r="BG9" s="12">
        <f>Calc_Financing_Ops!BG30</f>
        <v>-9932.0041158767417</v>
      </c>
      <c r="BH9" s="12">
        <f>Calc_Financing_Ops!BH30</f>
        <v>-10177.765685794409</v>
      </c>
      <c r="BI9" s="12">
        <f>Calc_Financing_Ops!BI30</f>
        <v>-1805799.5391879107</v>
      </c>
      <c r="BJ9" s="12">
        <f>Calc_Financing_Ops!BJ30</f>
        <v>-1800617.6769391664</v>
      </c>
      <c r="BK9" s="12">
        <f>Calc_Financing_Ops!BK30</f>
        <v>0</v>
      </c>
      <c r="BL9" s="12">
        <f>Calc_Financing_Ops!BL30</f>
        <v>0</v>
      </c>
      <c r="BM9" s="12">
        <f>Calc_Financing_Ops!BM30</f>
        <v>0</v>
      </c>
      <c r="BN9" s="12">
        <f>Calc_Financing_Ops!BN30</f>
        <v>0</v>
      </c>
      <c r="BO9" s="12">
        <f>Calc_Financing_Ops!BO30</f>
        <v>0</v>
      </c>
      <c r="BP9" s="12">
        <f>Calc_Financing_Ops!BP30</f>
        <v>0</v>
      </c>
      <c r="BQ9" s="12">
        <f>Calc_Financing_Ops!BQ30</f>
        <v>0</v>
      </c>
      <c r="BR9" s="12">
        <f>Calc_Financing_Ops!BR30</f>
        <v>0</v>
      </c>
      <c r="BS9" s="12">
        <f>Calc_Financing_Ops!BS30</f>
        <v>0</v>
      </c>
      <c r="BT9" s="12">
        <f>Calc_Financing_Ops!BT30</f>
        <v>0</v>
      </c>
      <c r="BU9" s="12">
        <f>Calc_Financing_Ops!BU30</f>
        <v>0</v>
      </c>
      <c r="BV9" s="12">
        <f>Calc_Financing_Ops!BV30</f>
        <v>0</v>
      </c>
      <c r="BW9" s="12">
        <f>Calc_Financing_Ops!BW30</f>
        <v>0</v>
      </c>
      <c r="BX9" s="12">
        <f>Calc_Financing_Ops!BX30</f>
        <v>0</v>
      </c>
      <c r="BY9" s="12">
        <f>Calc_Financing_Ops!BY30</f>
        <v>0</v>
      </c>
      <c r="BZ9" s="12">
        <f>Calc_Financing_Ops!BZ30</f>
        <v>0</v>
      </c>
      <c r="CA9" s="12">
        <f>Calc_Financing_Ops!CA30</f>
        <v>0</v>
      </c>
      <c r="CB9" s="12">
        <f>Calc_Financing_Ops!CB30</f>
        <v>0</v>
      </c>
      <c r="CC9" s="12">
        <f>Calc_Financing_Ops!CC30</f>
        <v>0</v>
      </c>
      <c r="CD9" s="12">
        <f>Calc_Financing_Ops!CD30</f>
        <v>0</v>
      </c>
    </row>
    <row r="11" spans="1:82" x14ac:dyDescent="0.45">
      <c r="A11" t="s">
        <v>195</v>
      </c>
      <c r="C11" s="12">
        <f>Calc_Revenue_Opex!C16</f>
        <v>56250</v>
      </c>
      <c r="D11" s="12">
        <f>Calc_Revenue_Opex!D16</f>
        <v>56250</v>
      </c>
      <c r="E11" s="12">
        <f>Calc_Revenue_Opex!E16</f>
        <v>56250</v>
      </c>
      <c r="F11" s="12">
        <f>Calc_Revenue_Opex!F16</f>
        <v>56250</v>
      </c>
      <c r="G11" s="12">
        <f>Calc_Revenue_Opex!G16</f>
        <v>56250</v>
      </c>
      <c r="H11" s="12">
        <f>Calc_Revenue_Opex!H16</f>
        <v>56250</v>
      </c>
      <c r="I11" s="12">
        <f>Calc_Revenue_Opex!I16</f>
        <v>56250</v>
      </c>
      <c r="J11" s="12">
        <f>Calc_Revenue_Opex!J16</f>
        <v>56250</v>
      </c>
      <c r="K11" s="12">
        <f>Calc_Revenue_Opex!K16</f>
        <v>56250</v>
      </c>
      <c r="L11" s="12">
        <f>Calc_Revenue_Opex!L16</f>
        <v>56250</v>
      </c>
      <c r="M11" s="12">
        <f>Calc_Revenue_Opex!M16</f>
        <v>56250</v>
      </c>
      <c r="N11" s="12">
        <f>Calc_Revenue_Opex!N16</f>
        <v>56250</v>
      </c>
      <c r="O11" s="12">
        <f>Calc_Revenue_Opex!O16</f>
        <v>56250</v>
      </c>
      <c r="P11" s="12">
        <f>Calc_Revenue_Opex!P16</f>
        <v>56250</v>
      </c>
      <c r="Q11" s="12">
        <f>Calc_Revenue_Opex!Q16</f>
        <v>56250</v>
      </c>
      <c r="R11" s="12">
        <f>Calc_Revenue_Opex!R16</f>
        <v>56250</v>
      </c>
      <c r="S11" s="12">
        <f>Calc_Revenue_Opex!S16</f>
        <v>56250</v>
      </c>
      <c r="T11" s="12">
        <f>Calc_Revenue_Opex!T16</f>
        <v>56250</v>
      </c>
      <c r="U11" s="12">
        <f>Calc_Revenue_Opex!U16</f>
        <v>56250</v>
      </c>
      <c r="V11" s="12">
        <f>Calc_Revenue_Opex!V16</f>
        <v>2056250</v>
      </c>
      <c r="W11" s="12">
        <f>Calc_Revenue_Opex!W16</f>
        <v>56250</v>
      </c>
      <c r="X11" s="12">
        <f>Calc_Revenue_Opex!X16</f>
        <v>56250</v>
      </c>
      <c r="Y11" s="12">
        <f>Calc_Revenue_Opex!Y16</f>
        <v>56250</v>
      </c>
      <c r="Z11" s="12">
        <f>Calc_Revenue_Opex!Z16</f>
        <v>56250</v>
      </c>
      <c r="AA11" s="12">
        <f>Calc_Revenue_Opex!AA16</f>
        <v>56250</v>
      </c>
      <c r="AB11" s="12">
        <f>Calc_Revenue_Opex!AB16</f>
        <v>56250</v>
      </c>
      <c r="AC11" s="12">
        <f>Calc_Revenue_Opex!AC16</f>
        <v>56250</v>
      </c>
      <c r="AD11" s="12">
        <f>Calc_Revenue_Opex!AD16</f>
        <v>56250</v>
      </c>
      <c r="AE11" s="12">
        <f>Calc_Revenue_Opex!AE16</f>
        <v>56250</v>
      </c>
      <c r="AF11" s="12">
        <f>Calc_Revenue_Opex!AF16</f>
        <v>56250</v>
      </c>
      <c r="AG11" s="12">
        <f>Calc_Revenue_Opex!AG16</f>
        <v>56250</v>
      </c>
      <c r="AH11" s="12">
        <f>Calc_Revenue_Opex!AH16</f>
        <v>56250</v>
      </c>
      <c r="AI11" s="12">
        <f>Calc_Revenue_Opex!AI16</f>
        <v>56250</v>
      </c>
      <c r="AJ11" s="12">
        <f>Calc_Revenue_Opex!AJ16</f>
        <v>56250</v>
      </c>
      <c r="AK11" s="12">
        <f>Calc_Revenue_Opex!AK16</f>
        <v>56250</v>
      </c>
      <c r="AL11" s="12">
        <f>Calc_Revenue_Opex!AL16</f>
        <v>56250</v>
      </c>
      <c r="AM11" s="12">
        <f>Calc_Revenue_Opex!AM16</f>
        <v>56250</v>
      </c>
      <c r="AN11" s="12">
        <f>Calc_Revenue_Opex!AN16</f>
        <v>56250</v>
      </c>
      <c r="AO11" s="12">
        <f>Calc_Revenue_Opex!AO16</f>
        <v>56250</v>
      </c>
      <c r="AP11" s="12">
        <f>Calc_Revenue_Opex!AP16</f>
        <v>2056250</v>
      </c>
      <c r="AQ11" s="12">
        <f>Calc_Revenue_Opex!AQ16</f>
        <v>56250</v>
      </c>
      <c r="AR11" s="12">
        <f>Calc_Revenue_Opex!AR16</f>
        <v>56250</v>
      </c>
      <c r="AS11" s="12">
        <f>Calc_Revenue_Opex!AS16</f>
        <v>56250</v>
      </c>
      <c r="AT11" s="12">
        <f>Calc_Revenue_Opex!AT16</f>
        <v>56250</v>
      </c>
      <c r="AU11" s="12">
        <f>Calc_Revenue_Opex!AU16</f>
        <v>56250</v>
      </c>
      <c r="AV11" s="12">
        <f>Calc_Revenue_Opex!AV16</f>
        <v>56250</v>
      </c>
      <c r="AW11" s="12">
        <f>Calc_Revenue_Opex!AW16</f>
        <v>56250</v>
      </c>
      <c r="AX11" s="12">
        <f>Calc_Revenue_Opex!AX16</f>
        <v>56250</v>
      </c>
      <c r="AY11" s="12">
        <f>Calc_Revenue_Opex!AY16</f>
        <v>56250</v>
      </c>
      <c r="AZ11" s="12">
        <f>Calc_Revenue_Opex!AZ16</f>
        <v>56250</v>
      </c>
      <c r="BA11" s="12">
        <f>Calc_Revenue_Opex!BA16</f>
        <v>56250</v>
      </c>
      <c r="BB11" s="12">
        <f>Calc_Revenue_Opex!BB16</f>
        <v>56250</v>
      </c>
      <c r="BC11" s="12">
        <f>Calc_Revenue_Opex!BC16</f>
        <v>56250</v>
      </c>
      <c r="BD11" s="12">
        <f>Calc_Revenue_Opex!BD16</f>
        <v>56250</v>
      </c>
      <c r="BE11" s="12">
        <f>Calc_Revenue_Opex!BE16</f>
        <v>56250</v>
      </c>
      <c r="BF11" s="12">
        <f>Calc_Revenue_Opex!BF16</f>
        <v>56250</v>
      </c>
      <c r="BG11" s="12">
        <f>Calc_Revenue_Opex!BG16</f>
        <v>56250</v>
      </c>
      <c r="BH11" s="12">
        <f>Calc_Revenue_Opex!BH16</f>
        <v>56250</v>
      </c>
      <c r="BI11" s="12">
        <f>Calc_Revenue_Opex!BI16</f>
        <v>56250</v>
      </c>
      <c r="BJ11" s="12">
        <f>Calc_Revenue_Opex!BJ16</f>
        <v>2056250</v>
      </c>
      <c r="BK11" s="12">
        <f>Calc_Revenue_Opex!BK16</f>
        <v>56250</v>
      </c>
      <c r="BL11" s="12">
        <f>Calc_Revenue_Opex!BL16</f>
        <v>56250</v>
      </c>
      <c r="BM11" s="12">
        <f>Calc_Revenue_Opex!BM16</f>
        <v>56250</v>
      </c>
      <c r="BN11" s="12">
        <f>Calc_Revenue_Opex!BN16</f>
        <v>56250</v>
      </c>
      <c r="BO11" s="12">
        <f>Calc_Revenue_Opex!BO16</f>
        <v>56250</v>
      </c>
      <c r="BP11" s="12">
        <f>Calc_Revenue_Opex!BP16</f>
        <v>56250</v>
      </c>
      <c r="BQ11" s="12">
        <f>Calc_Revenue_Opex!BQ16</f>
        <v>56250</v>
      </c>
      <c r="BR11" s="12">
        <f>Calc_Revenue_Opex!BR16</f>
        <v>56250</v>
      </c>
      <c r="BS11" s="12">
        <f>Calc_Revenue_Opex!BS16</f>
        <v>56250</v>
      </c>
      <c r="BT11" s="12">
        <f>Calc_Revenue_Opex!BT16</f>
        <v>56250</v>
      </c>
      <c r="BU11" s="12">
        <f>Calc_Revenue_Opex!BU16</f>
        <v>56250</v>
      </c>
      <c r="BV11" s="12">
        <f>Calc_Revenue_Opex!BV16</f>
        <v>56250</v>
      </c>
      <c r="BW11" s="12">
        <f>Calc_Revenue_Opex!BW16</f>
        <v>56250</v>
      </c>
      <c r="BX11" s="12">
        <f>Calc_Revenue_Opex!BX16</f>
        <v>56250</v>
      </c>
      <c r="BY11" s="12">
        <f>Calc_Revenue_Opex!BY16</f>
        <v>56250</v>
      </c>
      <c r="BZ11" s="12">
        <f>Calc_Revenue_Opex!BZ16</f>
        <v>56250</v>
      </c>
      <c r="CA11" s="12">
        <f>Calc_Revenue_Opex!CA16</f>
        <v>56250</v>
      </c>
      <c r="CB11" s="12">
        <f>Calc_Revenue_Opex!CB16</f>
        <v>56250</v>
      </c>
      <c r="CC11" s="12">
        <f>Calc_Revenue_Opex!CC16</f>
        <v>56250</v>
      </c>
      <c r="CD11" s="12">
        <f>Calc_Revenue_Opex!CD16</f>
        <v>2056250</v>
      </c>
    </row>
    <row r="12" spans="1:82" x14ac:dyDescent="0.45">
      <c r="A12" t="s">
        <v>239</v>
      </c>
      <c r="C12" s="18">
        <f t="shared" ref="C12:AH12" si="3">SUM(D11:G11)</f>
        <v>225000</v>
      </c>
      <c r="D12" s="18">
        <f t="shared" si="3"/>
        <v>225000</v>
      </c>
      <c r="E12" s="18">
        <f t="shared" si="3"/>
        <v>225000</v>
      </c>
      <c r="F12" s="18">
        <f t="shared" si="3"/>
        <v>225000</v>
      </c>
      <c r="G12" s="18">
        <f t="shared" si="3"/>
        <v>225000</v>
      </c>
      <c r="H12" s="18">
        <f t="shared" si="3"/>
        <v>225000</v>
      </c>
      <c r="I12" s="18">
        <f t="shared" si="3"/>
        <v>225000</v>
      </c>
      <c r="J12" s="18">
        <f t="shared" si="3"/>
        <v>225000</v>
      </c>
      <c r="K12" s="18">
        <f t="shared" si="3"/>
        <v>225000</v>
      </c>
      <c r="L12" s="18">
        <f t="shared" si="3"/>
        <v>225000</v>
      </c>
      <c r="M12" s="18">
        <f t="shared" si="3"/>
        <v>225000</v>
      </c>
      <c r="N12" s="18">
        <f t="shared" si="3"/>
        <v>225000</v>
      </c>
      <c r="O12" s="18">
        <f t="shared" si="3"/>
        <v>225000</v>
      </c>
      <c r="P12" s="18">
        <f t="shared" si="3"/>
        <v>225000</v>
      </c>
      <c r="Q12" s="18">
        <f t="shared" si="3"/>
        <v>225000</v>
      </c>
      <c r="R12" s="18">
        <f t="shared" si="3"/>
        <v>2225000</v>
      </c>
      <c r="S12" s="18">
        <f t="shared" si="3"/>
        <v>2225000</v>
      </c>
      <c r="T12" s="18">
        <f t="shared" si="3"/>
        <v>2225000</v>
      </c>
      <c r="U12" s="18">
        <f t="shared" si="3"/>
        <v>2225000</v>
      </c>
      <c r="V12" s="18">
        <f t="shared" si="3"/>
        <v>225000</v>
      </c>
      <c r="W12" s="18">
        <f t="shared" si="3"/>
        <v>225000</v>
      </c>
      <c r="X12" s="18">
        <f t="shared" si="3"/>
        <v>225000</v>
      </c>
      <c r="Y12" s="18">
        <f t="shared" si="3"/>
        <v>225000</v>
      </c>
      <c r="Z12" s="18">
        <f t="shared" si="3"/>
        <v>225000</v>
      </c>
      <c r="AA12" s="18">
        <f t="shared" si="3"/>
        <v>225000</v>
      </c>
      <c r="AB12" s="18">
        <f t="shared" si="3"/>
        <v>225000</v>
      </c>
      <c r="AC12" s="18">
        <f t="shared" si="3"/>
        <v>225000</v>
      </c>
      <c r="AD12" s="18">
        <f t="shared" si="3"/>
        <v>225000</v>
      </c>
      <c r="AE12" s="18">
        <f t="shared" si="3"/>
        <v>225000</v>
      </c>
      <c r="AF12" s="18">
        <f t="shared" si="3"/>
        <v>225000</v>
      </c>
      <c r="AG12" s="18">
        <f t="shared" si="3"/>
        <v>225000</v>
      </c>
      <c r="AH12" s="18">
        <f t="shared" si="3"/>
        <v>225000</v>
      </c>
      <c r="AI12" s="18">
        <f t="shared" ref="AI12:BN12" si="4">SUM(AJ11:AM11)</f>
        <v>225000</v>
      </c>
      <c r="AJ12" s="18">
        <f t="shared" si="4"/>
        <v>225000</v>
      </c>
      <c r="AK12" s="18">
        <f t="shared" si="4"/>
        <v>225000</v>
      </c>
      <c r="AL12" s="18">
        <f t="shared" si="4"/>
        <v>2225000</v>
      </c>
      <c r="AM12" s="18">
        <f t="shared" si="4"/>
        <v>2225000</v>
      </c>
      <c r="AN12" s="18">
        <f t="shared" si="4"/>
        <v>2225000</v>
      </c>
      <c r="AO12" s="18">
        <f t="shared" si="4"/>
        <v>2225000</v>
      </c>
      <c r="AP12" s="18">
        <f t="shared" si="4"/>
        <v>225000</v>
      </c>
      <c r="AQ12" s="18">
        <f t="shared" si="4"/>
        <v>225000</v>
      </c>
      <c r="AR12" s="18">
        <f t="shared" si="4"/>
        <v>225000</v>
      </c>
      <c r="AS12" s="18">
        <f t="shared" si="4"/>
        <v>225000</v>
      </c>
      <c r="AT12" s="18">
        <f t="shared" si="4"/>
        <v>225000</v>
      </c>
      <c r="AU12" s="18">
        <f t="shared" si="4"/>
        <v>225000</v>
      </c>
      <c r="AV12" s="18">
        <f t="shared" si="4"/>
        <v>225000</v>
      </c>
      <c r="AW12" s="18">
        <f t="shared" si="4"/>
        <v>225000</v>
      </c>
      <c r="AX12" s="18">
        <f t="shared" si="4"/>
        <v>225000</v>
      </c>
      <c r="AY12" s="18">
        <f t="shared" si="4"/>
        <v>225000</v>
      </c>
      <c r="AZ12" s="18">
        <f t="shared" si="4"/>
        <v>225000</v>
      </c>
      <c r="BA12" s="18">
        <f t="shared" si="4"/>
        <v>225000</v>
      </c>
      <c r="BB12" s="18">
        <f t="shared" si="4"/>
        <v>225000</v>
      </c>
      <c r="BC12" s="18">
        <f t="shared" si="4"/>
        <v>225000</v>
      </c>
      <c r="BD12" s="18">
        <f t="shared" si="4"/>
        <v>225000</v>
      </c>
      <c r="BE12" s="18">
        <f t="shared" si="4"/>
        <v>225000</v>
      </c>
      <c r="BF12" s="18">
        <f t="shared" si="4"/>
        <v>2225000</v>
      </c>
      <c r="BG12" s="18">
        <f t="shared" si="4"/>
        <v>2225000</v>
      </c>
      <c r="BH12" s="18">
        <f t="shared" si="4"/>
        <v>2225000</v>
      </c>
      <c r="BI12" s="18">
        <f t="shared" si="4"/>
        <v>2225000</v>
      </c>
      <c r="BJ12" s="18">
        <f t="shared" si="4"/>
        <v>225000</v>
      </c>
      <c r="BK12" s="18">
        <f t="shared" si="4"/>
        <v>225000</v>
      </c>
      <c r="BL12" s="18">
        <f t="shared" si="4"/>
        <v>225000</v>
      </c>
      <c r="BM12" s="18">
        <f t="shared" si="4"/>
        <v>225000</v>
      </c>
      <c r="BN12" s="18">
        <f t="shared" si="4"/>
        <v>225000</v>
      </c>
      <c r="BO12" s="18">
        <f t="shared" ref="BO12:BZ12" si="5">SUM(BP11:BS11)</f>
        <v>225000</v>
      </c>
      <c r="BP12" s="18">
        <f t="shared" si="5"/>
        <v>225000</v>
      </c>
      <c r="BQ12" s="18">
        <f t="shared" si="5"/>
        <v>225000</v>
      </c>
      <c r="BR12" s="18">
        <f t="shared" si="5"/>
        <v>225000</v>
      </c>
      <c r="BS12" s="18">
        <f t="shared" si="5"/>
        <v>225000</v>
      </c>
      <c r="BT12" s="18">
        <f t="shared" si="5"/>
        <v>225000</v>
      </c>
      <c r="BU12" s="18">
        <f t="shared" si="5"/>
        <v>225000</v>
      </c>
      <c r="BV12" s="18">
        <f t="shared" si="5"/>
        <v>225000</v>
      </c>
      <c r="BW12" s="18">
        <f t="shared" si="5"/>
        <v>225000</v>
      </c>
      <c r="BX12" s="18">
        <f t="shared" si="5"/>
        <v>225000</v>
      </c>
      <c r="BY12" s="18">
        <f t="shared" si="5"/>
        <v>225000</v>
      </c>
      <c r="BZ12" s="18">
        <f t="shared" si="5"/>
        <v>2225000</v>
      </c>
      <c r="CA12" s="18">
        <f>SUM(CB11:CD11)</f>
        <v>2168750</v>
      </c>
      <c r="CB12" s="18">
        <f>SUM(CC11:CD11)</f>
        <v>2112500</v>
      </c>
      <c r="CC12" s="18">
        <f>SUM(CD11:CD11)</f>
        <v>2056250</v>
      </c>
      <c r="CD12" s="18">
        <f>0</f>
        <v>0</v>
      </c>
    </row>
    <row r="13" spans="1:82" x14ac:dyDescent="0.45">
      <c r="A13" t="s">
        <v>240</v>
      </c>
      <c r="C13" s="18">
        <f t="shared" ref="C13:AH13" si="6">C12</f>
        <v>225000</v>
      </c>
      <c r="D13" s="18">
        <f t="shared" si="6"/>
        <v>225000</v>
      </c>
      <c r="E13" s="18">
        <f t="shared" si="6"/>
        <v>225000</v>
      </c>
      <c r="F13" s="18">
        <f t="shared" si="6"/>
        <v>225000</v>
      </c>
      <c r="G13" s="18">
        <f t="shared" si="6"/>
        <v>225000</v>
      </c>
      <c r="H13" s="18">
        <f t="shared" si="6"/>
        <v>225000</v>
      </c>
      <c r="I13" s="18">
        <f t="shared" si="6"/>
        <v>225000</v>
      </c>
      <c r="J13" s="18">
        <f t="shared" si="6"/>
        <v>225000</v>
      </c>
      <c r="K13" s="18">
        <f t="shared" si="6"/>
        <v>225000</v>
      </c>
      <c r="L13" s="18">
        <f t="shared" si="6"/>
        <v>225000</v>
      </c>
      <c r="M13" s="18">
        <f t="shared" si="6"/>
        <v>225000</v>
      </c>
      <c r="N13" s="18">
        <f t="shared" si="6"/>
        <v>225000</v>
      </c>
      <c r="O13" s="18">
        <f t="shared" si="6"/>
        <v>225000</v>
      </c>
      <c r="P13" s="18">
        <f t="shared" si="6"/>
        <v>225000</v>
      </c>
      <c r="Q13" s="18">
        <f t="shared" si="6"/>
        <v>225000</v>
      </c>
      <c r="R13" s="18">
        <f t="shared" si="6"/>
        <v>2225000</v>
      </c>
      <c r="S13" s="18">
        <f t="shared" si="6"/>
        <v>2225000</v>
      </c>
      <c r="T13" s="18">
        <f t="shared" si="6"/>
        <v>2225000</v>
      </c>
      <c r="U13" s="18">
        <f t="shared" si="6"/>
        <v>2225000</v>
      </c>
      <c r="V13" s="18">
        <f t="shared" si="6"/>
        <v>225000</v>
      </c>
      <c r="W13" s="18">
        <f t="shared" si="6"/>
        <v>225000</v>
      </c>
      <c r="X13" s="18">
        <f t="shared" si="6"/>
        <v>225000</v>
      </c>
      <c r="Y13" s="18">
        <f t="shared" si="6"/>
        <v>225000</v>
      </c>
      <c r="Z13" s="18">
        <f t="shared" si="6"/>
        <v>225000</v>
      </c>
      <c r="AA13" s="18">
        <f t="shared" si="6"/>
        <v>225000</v>
      </c>
      <c r="AB13" s="18">
        <f t="shared" si="6"/>
        <v>225000</v>
      </c>
      <c r="AC13" s="18">
        <f t="shared" si="6"/>
        <v>225000</v>
      </c>
      <c r="AD13" s="18">
        <f t="shared" si="6"/>
        <v>225000</v>
      </c>
      <c r="AE13" s="18">
        <f t="shared" si="6"/>
        <v>225000</v>
      </c>
      <c r="AF13" s="18">
        <f t="shared" si="6"/>
        <v>225000</v>
      </c>
      <c r="AG13" s="18">
        <f t="shared" si="6"/>
        <v>225000</v>
      </c>
      <c r="AH13" s="18">
        <f t="shared" si="6"/>
        <v>225000</v>
      </c>
      <c r="AI13" s="18">
        <f t="shared" ref="AI13:BN13" si="7">AI12</f>
        <v>225000</v>
      </c>
      <c r="AJ13" s="18">
        <f t="shared" si="7"/>
        <v>225000</v>
      </c>
      <c r="AK13" s="18">
        <f t="shared" si="7"/>
        <v>225000</v>
      </c>
      <c r="AL13" s="18">
        <f t="shared" si="7"/>
        <v>2225000</v>
      </c>
      <c r="AM13" s="18">
        <f t="shared" si="7"/>
        <v>2225000</v>
      </c>
      <c r="AN13" s="18">
        <f t="shared" si="7"/>
        <v>2225000</v>
      </c>
      <c r="AO13" s="18">
        <f t="shared" si="7"/>
        <v>2225000</v>
      </c>
      <c r="AP13" s="18">
        <f t="shared" si="7"/>
        <v>225000</v>
      </c>
      <c r="AQ13" s="18">
        <f t="shared" si="7"/>
        <v>225000</v>
      </c>
      <c r="AR13" s="18">
        <f t="shared" si="7"/>
        <v>225000</v>
      </c>
      <c r="AS13" s="18">
        <f t="shared" si="7"/>
        <v>225000</v>
      </c>
      <c r="AT13" s="18">
        <f t="shared" si="7"/>
        <v>225000</v>
      </c>
      <c r="AU13" s="18">
        <f t="shared" si="7"/>
        <v>225000</v>
      </c>
      <c r="AV13" s="18">
        <f t="shared" si="7"/>
        <v>225000</v>
      </c>
      <c r="AW13" s="18">
        <f t="shared" si="7"/>
        <v>225000</v>
      </c>
      <c r="AX13" s="18">
        <f t="shared" si="7"/>
        <v>225000</v>
      </c>
      <c r="AY13" s="18">
        <f t="shared" si="7"/>
        <v>225000</v>
      </c>
      <c r="AZ13" s="18">
        <f t="shared" si="7"/>
        <v>225000</v>
      </c>
      <c r="BA13" s="18">
        <f t="shared" si="7"/>
        <v>225000</v>
      </c>
      <c r="BB13" s="18">
        <f t="shared" si="7"/>
        <v>225000</v>
      </c>
      <c r="BC13" s="18">
        <f t="shared" si="7"/>
        <v>225000</v>
      </c>
      <c r="BD13" s="18">
        <f t="shared" si="7"/>
        <v>225000</v>
      </c>
      <c r="BE13" s="18">
        <f t="shared" si="7"/>
        <v>225000</v>
      </c>
      <c r="BF13" s="18">
        <f t="shared" si="7"/>
        <v>2225000</v>
      </c>
      <c r="BG13" s="18">
        <f t="shared" si="7"/>
        <v>2225000</v>
      </c>
      <c r="BH13" s="18">
        <f t="shared" si="7"/>
        <v>2225000</v>
      </c>
      <c r="BI13" s="18">
        <f t="shared" si="7"/>
        <v>2225000</v>
      </c>
      <c r="BJ13" s="18">
        <f t="shared" si="7"/>
        <v>225000</v>
      </c>
      <c r="BK13" s="18">
        <f t="shared" si="7"/>
        <v>225000</v>
      </c>
      <c r="BL13" s="18">
        <f t="shared" si="7"/>
        <v>225000</v>
      </c>
      <c r="BM13" s="18">
        <f t="shared" si="7"/>
        <v>225000</v>
      </c>
      <c r="BN13" s="18">
        <f t="shared" si="7"/>
        <v>225000</v>
      </c>
      <c r="BO13" s="18">
        <f t="shared" ref="BO13:CD13" si="8">BO12</f>
        <v>225000</v>
      </c>
      <c r="BP13" s="18">
        <f t="shared" si="8"/>
        <v>225000</v>
      </c>
      <c r="BQ13" s="18">
        <f t="shared" si="8"/>
        <v>225000</v>
      </c>
      <c r="BR13" s="18">
        <f t="shared" si="8"/>
        <v>225000</v>
      </c>
      <c r="BS13" s="18">
        <f t="shared" si="8"/>
        <v>225000</v>
      </c>
      <c r="BT13" s="18">
        <f t="shared" si="8"/>
        <v>225000</v>
      </c>
      <c r="BU13" s="18">
        <f t="shared" si="8"/>
        <v>225000</v>
      </c>
      <c r="BV13" s="18">
        <f t="shared" si="8"/>
        <v>225000</v>
      </c>
      <c r="BW13" s="18">
        <f t="shared" si="8"/>
        <v>225000</v>
      </c>
      <c r="BX13" s="18">
        <f t="shared" si="8"/>
        <v>225000</v>
      </c>
      <c r="BY13" s="18">
        <f t="shared" si="8"/>
        <v>225000</v>
      </c>
      <c r="BZ13" s="18">
        <f t="shared" si="8"/>
        <v>2225000</v>
      </c>
      <c r="CA13" s="18">
        <f t="shared" si="8"/>
        <v>2168750</v>
      </c>
      <c r="CB13" s="18">
        <f t="shared" si="8"/>
        <v>2112500</v>
      </c>
      <c r="CC13" s="18">
        <f t="shared" si="8"/>
        <v>2056250</v>
      </c>
      <c r="CD13" s="18">
        <f t="shared" si="8"/>
        <v>0</v>
      </c>
    </row>
    <row r="14" spans="1:82" x14ac:dyDescent="0.45">
      <c r="A14" t="s">
        <v>241</v>
      </c>
      <c r="C14" s="18">
        <f>C13</f>
        <v>225000</v>
      </c>
      <c r="D14" s="18">
        <f t="shared" ref="D14:AI14" si="9">D13-C13</f>
        <v>0</v>
      </c>
      <c r="E14" s="18">
        <f t="shared" si="9"/>
        <v>0</v>
      </c>
      <c r="F14" s="18">
        <f t="shared" si="9"/>
        <v>0</v>
      </c>
      <c r="G14" s="18">
        <f t="shared" si="9"/>
        <v>0</v>
      </c>
      <c r="H14" s="18">
        <f t="shared" si="9"/>
        <v>0</v>
      </c>
      <c r="I14" s="18">
        <f t="shared" si="9"/>
        <v>0</v>
      </c>
      <c r="J14" s="18">
        <f t="shared" si="9"/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2000000</v>
      </c>
      <c r="S14" s="18">
        <f t="shared" si="9"/>
        <v>0</v>
      </c>
      <c r="T14" s="18">
        <f t="shared" si="9"/>
        <v>0</v>
      </c>
      <c r="U14" s="18">
        <f t="shared" si="9"/>
        <v>0</v>
      </c>
      <c r="V14" s="18">
        <f t="shared" si="9"/>
        <v>-2000000</v>
      </c>
      <c r="W14" s="18">
        <f t="shared" si="9"/>
        <v>0</v>
      </c>
      <c r="X14" s="18">
        <f t="shared" si="9"/>
        <v>0</v>
      </c>
      <c r="Y14" s="18">
        <f t="shared" si="9"/>
        <v>0</v>
      </c>
      <c r="Z14" s="18">
        <f t="shared" si="9"/>
        <v>0</v>
      </c>
      <c r="AA14" s="18">
        <f t="shared" si="9"/>
        <v>0</v>
      </c>
      <c r="AB14" s="18">
        <f t="shared" si="9"/>
        <v>0</v>
      </c>
      <c r="AC14" s="18">
        <f t="shared" si="9"/>
        <v>0</v>
      </c>
      <c r="AD14" s="18">
        <f t="shared" si="9"/>
        <v>0</v>
      </c>
      <c r="AE14" s="18">
        <f t="shared" si="9"/>
        <v>0</v>
      </c>
      <c r="AF14" s="18">
        <f t="shared" si="9"/>
        <v>0</v>
      </c>
      <c r="AG14" s="18">
        <f t="shared" si="9"/>
        <v>0</v>
      </c>
      <c r="AH14" s="18">
        <f t="shared" si="9"/>
        <v>0</v>
      </c>
      <c r="AI14" s="18">
        <f t="shared" si="9"/>
        <v>0</v>
      </c>
      <c r="AJ14" s="18">
        <f t="shared" ref="AJ14:BO14" si="10">AJ13-AI13</f>
        <v>0</v>
      </c>
      <c r="AK14" s="18">
        <f t="shared" si="10"/>
        <v>0</v>
      </c>
      <c r="AL14" s="18">
        <f t="shared" si="10"/>
        <v>2000000</v>
      </c>
      <c r="AM14" s="18">
        <f t="shared" si="10"/>
        <v>0</v>
      </c>
      <c r="AN14" s="18">
        <f t="shared" si="10"/>
        <v>0</v>
      </c>
      <c r="AO14" s="18">
        <f t="shared" si="10"/>
        <v>0</v>
      </c>
      <c r="AP14" s="18">
        <f t="shared" si="10"/>
        <v>-2000000</v>
      </c>
      <c r="AQ14" s="18">
        <f t="shared" si="10"/>
        <v>0</v>
      </c>
      <c r="AR14" s="18">
        <f t="shared" si="10"/>
        <v>0</v>
      </c>
      <c r="AS14" s="18">
        <f t="shared" si="10"/>
        <v>0</v>
      </c>
      <c r="AT14" s="18">
        <f t="shared" si="10"/>
        <v>0</v>
      </c>
      <c r="AU14" s="18">
        <f t="shared" si="10"/>
        <v>0</v>
      </c>
      <c r="AV14" s="18">
        <f t="shared" si="10"/>
        <v>0</v>
      </c>
      <c r="AW14" s="18">
        <f t="shared" si="10"/>
        <v>0</v>
      </c>
      <c r="AX14" s="18">
        <f t="shared" si="10"/>
        <v>0</v>
      </c>
      <c r="AY14" s="18">
        <f t="shared" si="10"/>
        <v>0</v>
      </c>
      <c r="AZ14" s="18">
        <f t="shared" si="10"/>
        <v>0</v>
      </c>
      <c r="BA14" s="18">
        <f t="shared" si="10"/>
        <v>0</v>
      </c>
      <c r="BB14" s="18">
        <f t="shared" si="10"/>
        <v>0</v>
      </c>
      <c r="BC14" s="18">
        <f t="shared" si="10"/>
        <v>0</v>
      </c>
      <c r="BD14" s="18">
        <f t="shared" si="10"/>
        <v>0</v>
      </c>
      <c r="BE14" s="18">
        <f t="shared" si="10"/>
        <v>0</v>
      </c>
      <c r="BF14" s="18">
        <f t="shared" si="10"/>
        <v>2000000</v>
      </c>
      <c r="BG14" s="18">
        <f t="shared" si="10"/>
        <v>0</v>
      </c>
      <c r="BH14" s="18">
        <f t="shared" si="10"/>
        <v>0</v>
      </c>
      <c r="BI14" s="18">
        <f t="shared" si="10"/>
        <v>0</v>
      </c>
      <c r="BJ14" s="18">
        <f t="shared" si="10"/>
        <v>-2000000</v>
      </c>
      <c r="BK14" s="18">
        <f t="shared" si="10"/>
        <v>0</v>
      </c>
      <c r="BL14" s="18">
        <f t="shared" si="10"/>
        <v>0</v>
      </c>
      <c r="BM14" s="18">
        <f t="shared" si="10"/>
        <v>0</v>
      </c>
      <c r="BN14" s="18">
        <f t="shared" si="10"/>
        <v>0</v>
      </c>
      <c r="BO14" s="18">
        <f t="shared" si="10"/>
        <v>0</v>
      </c>
      <c r="BP14" s="18">
        <f t="shared" ref="BP14:CD14" si="11">BP13-BO13</f>
        <v>0</v>
      </c>
      <c r="BQ14" s="18">
        <f t="shared" si="11"/>
        <v>0</v>
      </c>
      <c r="BR14" s="18">
        <f t="shared" si="11"/>
        <v>0</v>
      </c>
      <c r="BS14" s="18">
        <f t="shared" si="11"/>
        <v>0</v>
      </c>
      <c r="BT14" s="18">
        <f t="shared" si="11"/>
        <v>0</v>
      </c>
      <c r="BU14" s="18">
        <f t="shared" si="11"/>
        <v>0</v>
      </c>
      <c r="BV14" s="18">
        <f t="shared" si="11"/>
        <v>0</v>
      </c>
      <c r="BW14" s="18">
        <f t="shared" si="11"/>
        <v>0</v>
      </c>
      <c r="BX14" s="18">
        <f t="shared" si="11"/>
        <v>0</v>
      </c>
      <c r="BY14" s="18">
        <f t="shared" si="11"/>
        <v>0</v>
      </c>
      <c r="BZ14" s="18">
        <f t="shared" si="11"/>
        <v>2000000</v>
      </c>
      <c r="CA14" s="18">
        <f t="shared" si="11"/>
        <v>-56250</v>
      </c>
      <c r="CB14" s="18">
        <f t="shared" si="11"/>
        <v>-56250</v>
      </c>
      <c r="CC14" s="18">
        <f t="shared" si="11"/>
        <v>-56250</v>
      </c>
      <c r="CD14" s="18">
        <f t="shared" si="11"/>
        <v>-2056250</v>
      </c>
    </row>
    <row r="16" spans="1:82" x14ac:dyDescent="0.45">
      <c r="A16" t="s">
        <v>242</v>
      </c>
      <c r="C16" s="18">
        <f t="shared" ref="C16:AH16" si="12">C7-C9-C14-C11</f>
        <v>-3647412.7277662698</v>
      </c>
      <c r="D16" s="18">
        <f t="shared" si="12"/>
        <v>542737.85456600972</v>
      </c>
      <c r="E16" s="18">
        <f t="shared" si="12"/>
        <v>542136.5320391336</v>
      </c>
      <c r="F16" s="18">
        <f t="shared" si="12"/>
        <v>541526.7073114519</v>
      </c>
      <c r="G16" s="18">
        <f t="shared" si="12"/>
        <v>540908.27737553138</v>
      </c>
      <c r="H16" s="18">
        <f t="shared" si="12"/>
        <v>540281.137975964</v>
      </c>
      <c r="I16" s="18">
        <f t="shared" si="12"/>
        <v>539645.18359424779</v>
      </c>
      <c r="J16" s="18">
        <f t="shared" si="12"/>
        <v>539000.30743348366</v>
      </c>
      <c r="K16" s="18">
        <f t="shared" si="12"/>
        <v>538346.40140288696</v>
      </c>
      <c r="L16" s="18">
        <f t="shared" si="12"/>
        <v>537683.35610211222</v>
      </c>
      <c r="M16" s="18">
        <f t="shared" si="12"/>
        <v>537011.0608053857</v>
      </c>
      <c r="N16" s="18">
        <f t="shared" si="12"/>
        <v>536329.40344544919</v>
      </c>
      <c r="O16" s="18">
        <f t="shared" si="12"/>
        <v>535638.27059730561</v>
      </c>
      <c r="P16" s="18">
        <f t="shared" si="12"/>
        <v>534937.54746177047</v>
      </c>
      <c r="Q16" s="18">
        <f t="shared" si="12"/>
        <v>534227.11784882564</v>
      </c>
      <c r="R16" s="18">
        <f t="shared" si="12"/>
        <v>-1466493.1358392395</v>
      </c>
      <c r="S16" s="18">
        <f t="shared" si="12"/>
        <v>532776.66737512965</v>
      </c>
      <c r="T16" s="18">
        <f t="shared" si="12"/>
        <v>522421.02241209522</v>
      </c>
      <c r="U16" s="18">
        <f t="shared" si="12"/>
        <v>521698.31326489407</v>
      </c>
      <c r="V16" s="18">
        <f t="shared" si="12"/>
        <v>533465.63127129292</v>
      </c>
      <c r="W16" s="18">
        <f t="shared" si="12"/>
        <v>532686.79791411664</v>
      </c>
      <c r="X16" s="18">
        <f t="shared" si="12"/>
        <v>531897.31174415117</v>
      </c>
      <c r="Y16" s="18">
        <f t="shared" si="12"/>
        <v>531097.0436984722</v>
      </c>
      <c r="Z16" s="18">
        <f t="shared" si="12"/>
        <v>530285.86315051001</v>
      </c>
      <c r="AA16" s="18">
        <f t="shared" si="12"/>
        <v>529463.63789110025</v>
      </c>
      <c r="AB16" s="18">
        <f t="shared" si="12"/>
        <v>528630.23410931765</v>
      </c>
      <c r="AC16" s="18">
        <f t="shared" si="12"/>
        <v>527785.51637306297</v>
      </c>
      <c r="AD16" s="18">
        <f t="shared" si="12"/>
        <v>526929.34760942659</v>
      </c>
      <c r="AE16" s="18">
        <f t="shared" si="12"/>
        <v>526061.58908480895</v>
      </c>
      <c r="AF16" s="18">
        <f t="shared" si="12"/>
        <v>525182.10038479464</v>
      </c>
      <c r="AG16" s="18">
        <f t="shared" si="12"/>
        <v>524290.73939380166</v>
      </c>
      <c r="AH16" s="18">
        <f t="shared" si="12"/>
        <v>523387.36227445537</v>
      </c>
      <c r="AI16" s="18">
        <f t="shared" ref="AI16:BN16" si="13">AI7-AI9-AI14-AI11</f>
        <v>522471.8234467397</v>
      </c>
      <c r="AJ16" s="18">
        <f t="shared" si="13"/>
        <v>521543.97556688078</v>
      </c>
      <c r="AK16" s="18">
        <f t="shared" si="13"/>
        <v>520603.66950597754</v>
      </c>
      <c r="AL16" s="18">
        <f t="shared" si="13"/>
        <v>-1480349.2456716248</v>
      </c>
      <c r="AM16" s="18">
        <f t="shared" si="13"/>
        <v>518685.07726977509</v>
      </c>
      <c r="AN16" s="18">
        <f t="shared" si="13"/>
        <v>508091.09909969475</v>
      </c>
      <c r="AO16" s="18">
        <f t="shared" si="13"/>
        <v>507397.60193928541</v>
      </c>
      <c r="AP16" s="18">
        <f t="shared" si="13"/>
        <v>519190.429356548</v>
      </c>
      <c r="AQ16" s="18">
        <f t="shared" si="13"/>
        <v>518081.79547617328</v>
      </c>
      <c r="AR16" s="18">
        <f t="shared" si="13"/>
        <v>516959.73006993998</v>
      </c>
      <c r="AS16" s="18">
        <f t="shared" si="13"/>
        <v>515824.07040974731</v>
      </c>
      <c r="AT16" s="18">
        <f t="shared" si="13"/>
        <v>514674.65179597889</v>
      </c>
      <c r="AU16" s="18">
        <f t="shared" si="13"/>
        <v>513511.30753362062</v>
      </c>
      <c r="AV16" s="18">
        <f t="shared" si="13"/>
        <v>512333.86890808283</v>
      </c>
      <c r="AW16" s="18">
        <f t="shared" si="13"/>
        <v>511142.16516073653</v>
      </c>
      <c r="AX16" s="18">
        <f t="shared" si="13"/>
        <v>509936.02346414421</v>
      </c>
      <c r="AY16" s="18">
        <f t="shared" si="13"/>
        <v>508715.26889699628</v>
      </c>
      <c r="AZ16" s="18">
        <f t="shared" si="13"/>
        <v>507479.72441874561</v>
      </c>
      <c r="BA16" s="18">
        <f t="shared" si="13"/>
        <v>506229.21084393235</v>
      </c>
      <c r="BB16" s="18">
        <f t="shared" si="13"/>
        <v>504963.54681619443</v>
      </c>
      <c r="BC16" s="18">
        <f t="shared" si="13"/>
        <v>503682.54878196423</v>
      </c>
      <c r="BD16" s="18">
        <f t="shared" si="13"/>
        <v>502386.03096385952</v>
      </c>
      <c r="BE16" s="18">
        <f t="shared" si="13"/>
        <v>501073.80533372751</v>
      </c>
      <c r="BF16" s="18">
        <f t="shared" si="13"/>
        <v>-1500254.3184146159</v>
      </c>
      <c r="BG16" s="18">
        <f t="shared" si="13"/>
        <v>498401.46710701287</v>
      </c>
      <c r="BH16" s="18">
        <f t="shared" si="13"/>
        <v>497166.39847328281</v>
      </c>
      <c r="BI16" s="18">
        <f t="shared" si="13"/>
        <v>2291289.4009442842</v>
      </c>
      <c r="BJ16" s="18">
        <f t="shared" si="13"/>
        <v>2284716.0409969846</v>
      </c>
      <c r="BK16" s="18">
        <f t="shared" si="13"/>
        <v>2278063.512633909</v>
      </c>
      <c r="BL16" s="18">
        <f t="shared" si="13"/>
        <v>2278063.512633909</v>
      </c>
      <c r="BM16" s="18">
        <f t="shared" si="13"/>
        <v>2278063.512633909</v>
      </c>
      <c r="BN16" s="18">
        <f t="shared" si="13"/>
        <v>2278063.512633909</v>
      </c>
      <c r="BO16" s="18">
        <f t="shared" ref="BO16:CD16" si="14">BO7-BO9-BO14-BO11</f>
        <v>2278063.512633909</v>
      </c>
      <c r="BP16" s="18">
        <f t="shared" si="14"/>
        <v>2278063.512633909</v>
      </c>
      <c r="BQ16" s="18">
        <f t="shared" si="14"/>
        <v>2278063.512633909</v>
      </c>
      <c r="BR16" s="18">
        <f t="shared" si="14"/>
        <v>2278063.512633909</v>
      </c>
      <c r="BS16" s="18">
        <f t="shared" si="14"/>
        <v>2278063.512633909</v>
      </c>
      <c r="BT16" s="18">
        <f t="shared" si="14"/>
        <v>2278063.512633909</v>
      </c>
      <c r="BU16" s="18">
        <f t="shared" si="14"/>
        <v>2278063.512633909</v>
      </c>
      <c r="BV16" s="18">
        <f t="shared" si="14"/>
        <v>2278063.512633909</v>
      </c>
      <c r="BW16" s="18">
        <f t="shared" si="14"/>
        <v>2278063.512633909</v>
      </c>
      <c r="BX16" s="18">
        <f t="shared" si="14"/>
        <v>2278063.512633909</v>
      </c>
      <c r="BY16" s="18">
        <f t="shared" si="14"/>
        <v>2278063.512633909</v>
      </c>
      <c r="BZ16" s="18">
        <f t="shared" si="14"/>
        <v>278063.51263390901</v>
      </c>
      <c r="CA16" s="18">
        <f t="shared" si="14"/>
        <v>2334313.512633909</v>
      </c>
      <c r="CB16" s="18">
        <f t="shared" si="14"/>
        <v>2334313.512633909</v>
      </c>
      <c r="CC16" s="18">
        <f t="shared" si="14"/>
        <v>2334313.512633909</v>
      </c>
      <c r="CD16" s="18">
        <f t="shared" si="14"/>
        <v>2334313.5126339085</v>
      </c>
    </row>
    <row r="17" spans="1:82" x14ac:dyDescent="0.45">
      <c r="A17" t="s">
        <v>243</v>
      </c>
      <c r="C17" s="18">
        <f t="shared" ref="C17:AH17" si="15">C5-C11</f>
        <v>2522900.8138990537</v>
      </c>
      <c r="D17" s="18">
        <f t="shared" si="15"/>
        <v>2520065.7418635143</v>
      </c>
      <c r="E17" s="18">
        <f t="shared" si="15"/>
        <v>2517191.0484023523</v>
      </c>
      <c r="F17" s="18">
        <f t="shared" si="15"/>
        <v>2514276.2534867567</v>
      </c>
      <c r="G17" s="18">
        <f t="shared" si="15"/>
        <v>2511320.871272184</v>
      </c>
      <c r="H17" s="18">
        <f t="shared" si="15"/>
        <v>2508324.4100278961</v>
      </c>
      <c r="I17" s="18">
        <f t="shared" si="15"/>
        <v>2505286.3720656484</v>
      </c>
      <c r="J17" s="18">
        <f t="shared" si="15"/>
        <v>2502206.253667512</v>
      </c>
      <c r="K17" s="18">
        <f t="shared" si="15"/>
        <v>2499083.545012821</v>
      </c>
      <c r="L17" s="18">
        <f t="shared" si="15"/>
        <v>2495917.7301042369</v>
      </c>
      <c r="M17" s="18">
        <f t="shared" si="15"/>
        <v>2492708.2866929146</v>
      </c>
      <c r="N17" s="18">
        <f t="shared" si="15"/>
        <v>2489454.6862027622</v>
      </c>
      <c r="O17" s="18">
        <f t="shared" si="15"/>
        <v>2486156.3936537872</v>
      </c>
      <c r="P17" s="18">
        <f t="shared" si="15"/>
        <v>2482812.867584507</v>
      </c>
      <c r="Q17" s="18">
        <f t="shared" si="15"/>
        <v>2479423.5599734262</v>
      </c>
      <c r="R17" s="18">
        <f t="shared" si="15"/>
        <v>2475987.9161595572</v>
      </c>
      <c r="S17" s="18">
        <f t="shared" si="15"/>
        <v>2472505.3747619814</v>
      </c>
      <c r="T17" s="18">
        <f t="shared" si="15"/>
        <v>2468975.3675984354</v>
      </c>
      <c r="U17" s="18">
        <f t="shared" si="15"/>
        <v>2465397.3196029076</v>
      </c>
      <c r="V17" s="18">
        <f t="shared" si="15"/>
        <v>474270.64874224178</v>
      </c>
      <c r="W17" s="18">
        <f t="shared" si="15"/>
        <v>2470558.708239418</v>
      </c>
      <c r="X17" s="18">
        <f t="shared" si="15"/>
        <v>2466796.5227122335</v>
      </c>
      <c r="Y17" s="18">
        <f t="shared" si="15"/>
        <v>2462983.4834228922</v>
      </c>
      <c r="Z17" s="18">
        <f t="shared" si="15"/>
        <v>2459118.9742585071</v>
      </c>
      <c r="AA17" s="18">
        <f t="shared" si="15"/>
        <v>2455202.3716417458</v>
      </c>
      <c r="AB17" s="18">
        <f t="shared" si="15"/>
        <v>2451233.0444403966</v>
      </c>
      <c r="AC17" s="18">
        <f t="shared" si="15"/>
        <v>2447210.3538758387</v>
      </c>
      <c r="AD17" s="18">
        <f t="shared" si="15"/>
        <v>2443133.6534304027</v>
      </c>
      <c r="AE17" s="18">
        <f t="shared" si="15"/>
        <v>2439002.2887536087</v>
      </c>
      <c r="AF17" s="18">
        <f t="shared" si="15"/>
        <v>2434815.5975672686</v>
      </c>
      <c r="AG17" s="18">
        <f t="shared" si="15"/>
        <v>2430572.9095694404</v>
      </c>
      <c r="AH17" s="18">
        <f t="shared" si="15"/>
        <v>2426273.5463372157</v>
      </c>
      <c r="AI17" s="18">
        <f t="shared" ref="AI17:BN17" si="16">AI5-AI11</f>
        <v>2421916.821228331</v>
      </c>
      <c r="AJ17" s="18">
        <f t="shared" si="16"/>
        <v>2417502.0392815885</v>
      </c>
      <c r="AK17" s="18">
        <f t="shared" si="16"/>
        <v>2413028.4971160684</v>
      </c>
      <c r="AL17" s="18">
        <f t="shared" si="16"/>
        <v>2408495.48282912</v>
      </c>
      <c r="AM17" s="18">
        <f t="shared" si="16"/>
        <v>2403902.2758931178</v>
      </c>
      <c r="AN17" s="18">
        <f t="shared" si="16"/>
        <v>2399248.1470509684</v>
      </c>
      <c r="AO17" s="18">
        <f t="shared" si="16"/>
        <v>2394532.3582103462</v>
      </c>
      <c r="AP17" s="18">
        <f t="shared" si="16"/>
        <v>402254.16233665543</v>
      </c>
      <c r="AQ17" s="18">
        <f t="shared" si="16"/>
        <v>2397025.183152379</v>
      </c>
      <c r="AR17" s="18">
        <f t="shared" si="16"/>
        <v>2391732.8528741398</v>
      </c>
      <c r="AS17" s="18">
        <f t="shared" si="16"/>
        <v>2386376.4039790677</v>
      </c>
      <c r="AT17" s="18">
        <f t="shared" si="16"/>
        <v>2380955.0596454595</v>
      </c>
      <c r="AU17" s="18">
        <f t="shared" si="16"/>
        <v>2375468.0336401169</v>
      </c>
      <c r="AV17" s="18">
        <f t="shared" si="16"/>
        <v>2369914.530204325</v>
      </c>
      <c r="AW17" s="18">
        <f t="shared" si="16"/>
        <v>2364293.7439384456</v>
      </c>
      <c r="AX17" s="18">
        <f t="shared" si="16"/>
        <v>2358604.8596851146</v>
      </c>
      <c r="AY17" s="18">
        <f t="shared" si="16"/>
        <v>2352847.0524110217</v>
      </c>
      <c r="AZ17" s="18">
        <f t="shared" si="16"/>
        <v>2347019.4870872619</v>
      </c>
      <c r="BA17" s="18">
        <f t="shared" si="16"/>
        <v>2341121.3185682334</v>
      </c>
      <c r="BB17" s="18">
        <f t="shared" si="16"/>
        <v>2335151.691469071</v>
      </c>
      <c r="BC17" s="18">
        <f t="shared" si="16"/>
        <v>2329109.7400415912</v>
      </c>
      <c r="BD17" s="18">
        <f t="shared" si="16"/>
        <v>2322994.5880487403</v>
      </c>
      <c r="BE17" s="18">
        <f t="shared" si="16"/>
        <v>2316805.3486375147</v>
      </c>
      <c r="BF17" s="18">
        <f t="shared" si="16"/>
        <v>2310541.1242103451</v>
      </c>
      <c r="BG17" s="18">
        <f t="shared" si="16"/>
        <v>2304201.0062949234</v>
      </c>
      <c r="BH17" s="18">
        <f t="shared" si="16"/>
        <v>2297784.0754124494</v>
      </c>
      <c r="BI17" s="18">
        <f t="shared" si="16"/>
        <v>2291289.4009442837</v>
      </c>
      <c r="BJ17" s="18">
        <f t="shared" si="16"/>
        <v>284716.04099698458</v>
      </c>
      <c r="BK17" s="18">
        <f t="shared" si="16"/>
        <v>2278063.512633909</v>
      </c>
      <c r="BL17" s="18">
        <f t="shared" si="16"/>
        <v>2278063.512633909</v>
      </c>
      <c r="BM17" s="18">
        <f t="shared" si="16"/>
        <v>2278063.512633909</v>
      </c>
      <c r="BN17" s="18">
        <f t="shared" si="16"/>
        <v>2278063.512633909</v>
      </c>
      <c r="BO17" s="18">
        <f t="shared" ref="BO17:CD17" si="17">BO5-BO11</f>
        <v>2278063.512633909</v>
      </c>
      <c r="BP17" s="18">
        <f t="shared" si="17"/>
        <v>2278063.512633909</v>
      </c>
      <c r="BQ17" s="18">
        <f t="shared" si="17"/>
        <v>2278063.512633909</v>
      </c>
      <c r="BR17" s="18">
        <f t="shared" si="17"/>
        <v>2278063.512633909</v>
      </c>
      <c r="BS17" s="18">
        <f t="shared" si="17"/>
        <v>2278063.512633909</v>
      </c>
      <c r="BT17" s="18">
        <f t="shared" si="17"/>
        <v>2278063.512633909</v>
      </c>
      <c r="BU17" s="18">
        <f t="shared" si="17"/>
        <v>2278063.512633909</v>
      </c>
      <c r="BV17" s="18">
        <f t="shared" si="17"/>
        <v>2278063.512633909</v>
      </c>
      <c r="BW17" s="18">
        <f t="shared" si="17"/>
        <v>2278063.512633909</v>
      </c>
      <c r="BX17" s="18">
        <f t="shared" si="17"/>
        <v>2278063.512633909</v>
      </c>
      <c r="BY17" s="18">
        <f t="shared" si="17"/>
        <v>2278063.512633909</v>
      </c>
      <c r="BZ17" s="18">
        <f t="shared" si="17"/>
        <v>2278063.512633909</v>
      </c>
      <c r="CA17" s="18">
        <f t="shared" si="17"/>
        <v>2278063.512633909</v>
      </c>
      <c r="CB17" s="18">
        <f t="shared" si="17"/>
        <v>2278063.512633909</v>
      </c>
      <c r="CC17" s="18">
        <f t="shared" si="17"/>
        <v>2278063.512633909</v>
      </c>
      <c r="CD17" s="18">
        <f t="shared" si="17"/>
        <v>278063.51263390901</v>
      </c>
    </row>
    <row r="20" spans="1:82" x14ac:dyDescent="0.45">
      <c r="A20" s="3" t="s">
        <v>85</v>
      </c>
    </row>
    <row r="21" spans="1:82" x14ac:dyDescent="0.45">
      <c r="A21" t="s">
        <v>244</v>
      </c>
      <c r="CD21" s="26">
        <f>COUNTIF(C16:CD16,"&lt;0")</f>
        <v>4</v>
      </c>
    </row>
    <row r="22" spans="1:82" x14ac:dyDescent="0.45">
      <c r="A22" t="s">
        <v>245</v>
      </c>
      <c r="CD22" s="26">
        <f>IF(ROUND(SUM(C14:CD14),2)=0,1,0)</f>
        <v>1</v>
      </c>
    </row>
    <row r="23" spans="1:82" x14ac:dyDescent="0.45">
      <c r="A23" t="s">
        <v>246</v>
      </c>
      <c r="CD23" s="26">
        <f>IF(SUMPRODUCT(--(C13:CC13&lt;D11:CD11-0.01))=0,1,0)</f>
        <v>1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00B050"/>
  </sheetPr>
  <dimension ref="A1:CD42"/>
  <sheetViews>
    <sheetView zoomScale="75" workbookViewId="0">
      <pane xSplit="2" ySplit="38" topLeftCell="C39" activePane="bottomRight" state="frozen"/>
      <selection pane="topRight"/>
      <selection pane="bottomLeft"/>
      <selection pane="bottomRight" activeCell="F30" sqref="F30"/>
    </sheetView>
  </sheetViews>
  <sheetFormatPr defaultRowHeight="14.25" x14ac:dyDescent="0.45"/>
  <cols>
    <col min="1" max="1" width="52" customWidth="1"/>
    <col min="3" max="8" width="10.6640625" bestFit="1" customWidth="1"/>
    <col min="9" max="17" width="9.6640625" bestFit="1" customWidth="1"/>
  </cols>
  <sheetData>
    <row r="1" spans="1:82" ht="15.75" x14ac:dyDescent="0.5">
      <c r="A1" s="10" t="s">
        <v>247</v>
      </c>
    </row>
    <row r="2" spans="1:82" x14ac:dyDescent="0.45">
      <c r="A2" t="s">
        <v>63</v>
      </c>
      <c r="C2" s="16">
        <v>47208</v>
      </c>
      <c r="D2" s="16">
        <v>47299</v>
      </c>
      <c r="E2" s="16">
        <v>47391</v>
      </c>
      <c r="F2" s="16">
        <v>47483</v>
      </c>
      <c r="G2" s="16">
        <v>47573</v>
      </c>
      <c r="H2" s="16">
        <v>47664</v>
      </c>
      <c r="I2" s="16">
        <v>47756</v>
      </c>
      <c r="J2" s="16">
        <v>47848</v>
      </c>
      <c r="K2" s="16">
        <v>47938</v>
      </c>
      <c r="L2" s="16">
        <v>48029</v>
      </c>
      <c r="M2" s="16">
        <v>48121</v>
      </c>
      <c r="N2" s="16">
        <v>48213</v>
      </c>
      <c r="O2" s="16">
        <v>48304</v>
      </c>
      <c r="P2" s="16">
        <v>48395</v>
      </c>
      <c r="Q2" s="16">
        <v>48487</v>
      </c>
      <c r="R2" s="16">
        <v>48579</v>
      </c>
      <c r="S2" s="16">
        <v>48669</v>
      </c>
      <c r="T2" s="16">
        <v>48760</v>
      </c>
      <c r="U2" s="16">
        <v>48852</v>
      </c>
      <c r="V2" s="16">
        <v>48944</v>
      </c>
      <c r="W2" s="16">
        <v>49034</v>
      </c>
      <c r="X2" s="16">
        <v>49125</v>
      </c>
      <c r="Y2" s="16">
        <v>49217</v>
      </c>
      <c r="Z2" s="16">
        <v>49309</v>
      </c>
      <c r="AA2" s="16">
        <v>49399</v>
      </c>
      <c r="AB2" s="16">
        <v>49490</v>
      </c>
      <c r="AC2" s="16">
        <v>49582</v>
      </c>
      <c r="AD2" s="16">
        <v>49674</v>
      </c>
      <c r="AE2" s="16">
        <v>49765</v>
      </c>
      <c r="AF2" s="16">
        <v>49856</v>
      </c>
      <c r="AG2" s="16">
        <v>49948</v>
      </c>
      <c r="AH2" s="16">
        <v>50040</v>
      </c>
      <c r="AI2" s="16">
        <v>50130</v>
      </c>
      <c r="AJ2" s="16">
        <v>50221</v>
      </c>
      <c r="AK2" s="16">
        <v>50313</v>
      </c>
      <c r="AL2" s="16">
        <v>50405</v>
      </c>
      <c r="AM2" s="16">
        <v>50495</v>
      </c>
      <c r="AN2" s="16">
        <v>50586</v>
      </c>
      <c r="AO2" s="16">
        <v>50678</v>
      </c>
      <c r="AP2" s="16">
        <v>50770</v>
      </c>
      <c r="AQ2" s="16">
        <v>50860</v>
      </c>
      <c r="AR2" s="16">
        <v>50951</v>
      </c>
      <c r="AS2" s="16">
        <v>51043</v>
      </c>
      <c r="AT2" s="16">
        <v>51135</v>
      </c>
      <c r="AU2" s="16">
        <v>51226</v>
      </c>
      <c r="AV2" s="16">
        <v>51317</v>
      </c>
      <c r="AW2" s="16">
        <v>51409</v>
      </c>
      <c r="AX2" s="16">
        <v>51501</v>
      </c>
      <c r="AY2" s="16">
        <v>51591</v>
      </c>
      <c r="AZ2" s="16">
        <v>51682</v>
      </c>
      <c r="BA2" s="16">
        <v>51774</v>
      </c>
      <c r="BB2" s="16">
        <v>51866</v>
      </c>
      <c r="BC2" s="16">
        <v>51956</v>
      </c>
      <c r="BD2" s="16">
        <v>52047</v>
      </c>
      <c r="BE2" s="16">
        <v>52139</v>
      </c>
      <c r="BF2" s="16">
        <v>52231</v>
      </c>
      <c r="BG2" s="16">
        <v>52321</v>
      </c>
      <c r="BH2" s="16">
        <v>52412</v>
      </c>
      <c r="BI2" s="16">
        <v>52504</v>
      </c>
      <c r="BJ2" s="16">
        <v>52596</v>
      </c>
      <c r="BK2" s="16">
        <v>52687</v>
      </c>
      <c r="BL2" s="16">
        <v>52778</v>
      </c>
      <c r="BM2" s="16">
        <v>52870</v>
      </c>
      <c r="BN2" s="16">
        <v>52962</v>
      </c>
      <c r="BO2" s="16">
        <v>53052</v>
      </c>
      <c r="BP2" s="16">
        <v>53143</v>
      </c>
      <c r="BQ2" s="16">
        <v>53235</v>
      </c>
      <c r="BR2" s="16">
        <v>53327</v>
      </c>
      <c r="BS2" s="16">
        <v>53417</v>
      </c>
      <c r="BT2" s="16">
        <v>53508</v>
      </c>
      <c r="BU2" s="16">
        <v>53600</v>
      </c>
      <c r="BV2" s="16">
        <v>53692</v>
      </c>
      <c r="BW2" s="16">
        <v>53782</v>
      </c>
      <c r="BX2" s="16">
        <v>53873</v>
      </c>
      <c r="BY2" s="16">
        <v>53965</v>
      </c>
      <c r="BZ2" s="16">
        <v>54057</v>
      </c>
      <c r="CA2" s="16">
        <v>54148</v>
      </c>
      <c r="CB2" s="16">
        <v>54239</v>
      </c>
      <c r="CC2" s="16">
        <v>54331</v>
      </c>
      <c r="CD2" s="16">
        <v>54423</v>
      </c>
    </row>
    <row r="3" spans="1:82" x14ac:dyDescent="0.45">
      <c r="A3" t="s">
        <v>111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  <c r="AH3">
        <v>32</v>
      </c>
      <c r="AI3">
        <v>33</v>
      </c>
      <c r="AJ3">
        <v>34</v>
      </c>
      <c r="AK3">
        <v>35</v>
      </c>
      <c r="AL3">
        <v>36</v>
      </c>
      <c r="AM3">
        <v>37</v>
      </c>
      <c r="AN3">
        <v>38</v>
      </c>
      <c r="AO3">
        <v>39</v>
      </c>
      <c r="AP3">
        <v>40</v>
      </c>
      <c r="AQ3">
        <v>41</v>
      </c>
      <c r="AR3">
        <v>42</v>
      </c>
      <c r="AS3">
        <v>43</v>
      </c>
      <c r="AT3">
        <v>44</v>
      </c>
      <c r="AU3">
        <v>45</v>
      </c>
      <c r="AV3">
        <v>46</v>
      </c>
      <c r="AW3">
        <v>47</v>
      </c>
      <c r="AX3">
        <v>48</v>
      </c>
      <c r="AY3">
        <v>49</v>
      </c>
      <c r="AZ3">
        <v>50</v>
      </c>
      <c r="BA3">
        <v>51</v>
      </c>
      <c r="BB3">
        <v>52</v>
      </c>
      <c r="BC3">
        <v>53</v>
      </c>
      <c r="BD3">
        <v>54</v>
      </c>
      <c r="BE3">
        <v>55</v>
      </c>
      <c r="BF3">
        <v>56</v>
      </c>
      <c r="BG3">
        <v>57</v>
      </c>
      <c r="BH3">
        <v>58</v>
      </c>
      <c r="BI3">
        <v>59</v>
      </c>
      <c r="BJ3">
        <v>60</v>
      </c>
      <c r="BK3">
        <v>61</v>
      </c>
      <c r="BL3">
        <v>62</v>
      </c>
      <c r="BM3">
        <v>63</v>
      </c>
      <c r="BN3">
        <v>64</v>
      </c>
      <c r="BO3">
        <v>65</v>
      </c>
      <c r="BP3">
        <v>66</v>
      </c>
      <c r="BQ3">
        <v>67</v>
      </c>
      <c r="BR3">
        <v>68</v>
      </c>
      <c r="BS3">
        <v>69</v>
      </c>
      <c r="BT3">
        <v>70</v>
      </c>
      <c r="BU3">
        <v>71</v>
      </c>
      <c r="BV3">
        <v>72</v>
      </c>
      <c r="BW3">
        <v>73</v>
      </c>
      <c r="BX3">
        <v>74</v>
      </c>
      <c r="BY3">
        <v>75</v>
      </c>
      <c r="BZ3">
        <v>76</v>
      </c>
      <c r="CA3">
        <v>77</v>
      </c>
      <c r="CB3">
        <v>78</v>
      </c>
      <c r="CC3">
        <v>79</v>
      </c>
      <c r="CD3">
        <v>80</v>
      </c>
    </row>
    <row r="5" spans="1:82" x14ac:dyDescent="0.45">
      <c r="A5" t="s">
        <v>248</v>
      </c>
      <c r="C5" s="12">
        <f>Calc_Revenue_Opex!C10</f>
        <v>3750000</v>
      </c>
      <c r="D5" s="12">
        <f>Calc_Revenue_Opex!D10</f>
        <v>3750000</v>
      </c>
      <c r="E5" s="12">
        <f>Calc_Revenue_Opex!E10</f>
        <v>3750000</v>
      </c>
      <c r="F5" s="12">
        <f>Calc_Revenue_Opex!F10</f>
        <v>3750000</v>
      </c>
      <c r="G5" s="12">
        <f>Calc_Revenue_Opex!G10</f>
        <v>3750000</v>
      </c>
      <c r="H5" s="12">
        <f>Calc_Revenue_Opex!H10</f>
        <v>3750000</v>
      </c>
      <c r="I5" s="12">
        <f>Calc_Revenue_Opex!I10</f>
        <v>3750000</v>
      </c>
      <c r="J5" s="12">
        <f>Calc_Revenue_Opex!J10</f>
        <v>3750000</v>
      </c>
      <c r="K5" s="12">
        <f>Calc_Revenue_Opex!K10</f>
        <v>3750000</v>
      </c>
      <c r="L5" s="12">
        <f>Calc_Revenue_Opex!L10</f>
        <v>3750000</v>
      </c>
      <c r="M5" s="12">
        <f>Calc_Revenue_Opex!M10</f>
        <v>3750000</v>
      </c>
      <c r="N5" s="12">
        <f>Calc_Revenue_Opex!N10</f>
        <v>3750000</v>
      </c>
      <c r="O5" s="12">
        <f>Calc_Revenue_Opex!O10</f>
        <v>3750000</v>
      </c>
      <c r="P5" s="12">
        <f>Calc_Revenue_Opex!P10</f>
        <v>3750000</v>
      </c>
      <c r="Q5" s="12">
        <f>Calc_Revenue_Opex!Q10</f>
        <v>3750000</v>
      </c>
      <c r="R5" s="12">
        <f>Calc_Revenue_Opex!R10</f>
        <v>3750000</v>
      </c>
      <c r="S5" s="12">
        <f>Calc_Revenue_Opex!S10</f>
        <v>3750000</v>
      </c>
      <c r="T5" s="12">
        <f>Calc_Revenue_Opex!T10</f>
        <v>3750000</v>
      </c>
      <c r="U5" s="12">
        <f>Calc_Revenue_Opex!U10</f>
        <v>3750000</v>
      </c>
      <c r="V5" s="12">
        <f>Calc_Revenue_Opex!V10</f>
        <v>3750000</v>
      </c>
      <c r="W5" s="12">
        <f>Calc_Revenue_Opex!W10</f>
        <v>3750000</v>
      </c>
      <c r="X5" s="12">
        <f>Calc_Revenue_Opex!X10</f>
        <v>3750000</v>
      </c>
      <c r="Y5" s="12">
        <f>Calc_Revenue_Opex!Y10</f>
        <v>3750000</v>
      </c>
      <c r="Z5" s="12">
        <f>Calc_Revenue_Opex!Z10</f>
        <v>3750000</v>
      </c>
      <c r="AA5" s="12">
        <f>Calc_Revenue_Opex!AA10</f>
        <v>3750000</v>
      </c>
      <c r="AB5" s="12">
        <f>Calc_Revenue_Opex!AB10</f>
        <v>3750000</v>
      </c>
      <c r="AC5" s="12">
        <f>Calc_Revenue_Opex!AC10</f>
        <v>3750000</v>
      </c>
      <c r="AD5" s="12">
        <f>Calc_Revenue_Opex!AD10</f>
        <v>3750000</v>
      </c>
      <c r="AE5" s="12">
        <f>Calc_Revenue_Opex!AE10</f>
        <v>3750000</v>
      </c>
      <c r="AF5" s="12">
        <f>Calc_Revenue_Opex!AF10</f>
        <v>3750000</v>
      </c>
      <c r="AG5" s="12">
        <f>Calc_Revenue_Opex!AG10</f>
        <v>3750000</v>
      </c>
      <c r="AH5" s="12">
        <f>Calc_Revenue_Opex!AH10</f>
        <v>3750000</v>
      </c>
      <c r="AI5" s="12">
        <f>Calc_Revenue_Opex!AI10</f>
        <v>3750000</v>
      </c>
      <c r="AJ5" s="12">
        <f>Calc_Revenue_Opex!AJ10</f>
        <v>3750000</v>
      </c>
      <c r="AK5" s="12">
        <f>Calc_Revenue_Opex!AK10</f>
        <v>3750000</v>
      </c>
      <c r="AL5" s="12">
        <f>Calc_Revenue_Opex!AL10</f>
        <v>3750000</v>
      </c>
      <c r="AM5" s="12">
        <f>Calc_Revenue_Opex!AM10</f>
        <v>3750000</v>
      </c>
      <c r="AN5" s="12">
        <f>Calc_Revenue_Opex!AN10</f>
        <v>3750000</v>
      </c>
      <c r="AO5" s="12">
        <f>Calc_Revenue_Opex!AO10</f>
        <v>3750000</v>
      </c>
      <c r="AP5" s="12">
        <f>Calc_Revenue_Opex!AP10</f>
        <v>3750000</v>
      </c>
      <c r="AQ5" s="12">
        <f>Calc_Revenue_Opex!AQ10</f>
        <v>3750000</v>
      </c>
      <c r="AR5" s="12">
        <f>Calc_Revenue_Opex!AR10</f>
        <v>3750000</v>
      </c>
      <c r="AS5" s="12">
        <f>Calc_Revenue_Opex!AS10</f>
        <v>3750000</v>
      </c>
      <c r="AT5" s="12">
        <f>Calc_Revenue_Opex!AT10</f>
        <v>3750000</v>
      </c>
      <c r="AU5" s="12">
        <f>Calc_Revenue_Opex!AU10</f>
        <v>3750000</v>
      </c>
      <c r="AV5" s="12">
        <f>Calc_Revenue_Opex!AV10</f>
        <v>3750000</v>
      </c>
      <c r="AW5" s="12">
        <f>Calc_Revenue_Opex!AW10</f>
        <v>3750000</v>
      </c>
      <c r="AX5" s="12">
        <f>Calc_Revenue_Opex!AX10</f>
        <v>3750000</v>
      </c>
      <c r="AY5" s="12">
        <f>Calc_Revenue_Opex!AY10</f>
        <v>3750000</v>
      </c>
      <c r="AZ5" s="12">
        <f>Calc_Revenue_Opex!AZ10</f>
        <v>3750000</v>
      </c>
      <c r="BA5" s="12">
        <f>Calc_Revenue_Opex!BA10</f>
        <v>3750000</v>
      </c>
      <c r="BB5" s="12">
        <f>Calc_Revenue_Opex!BB10</f>
        <v>3750000</v>
      </c>
      <c r="BC5" s="12">
        <f>Calc_Revenue_Opex!BC10</f>
        <v>3750000</v>
      </c>
      <c r="BD5" s="12">
        <f>Calc_Revenue_Opex!BD10</f>
        <v>3750000</v>
      </c>
      <c r="BE5" s="12">
        <f>Calc_Revenue_Opex!BE10</f>
        <v>3750000</v>
      </c>
      <c r="BF5" s="12">
        <f>Calc_Revenue_Opex!BF10</f>
        <v>3750000</v>
      </c>
      <c r="BG5" s="12">
        <f>Calc_Revenue_Opex!BG10</f>
        <v>3750000</v>
      </c>
      <c r="BH5" s="12">
        <f>Calc_Revenue_Opex!BH10</f>
        <v>3750000</v>
      </c>
      <c r="BI5" s="12">
        <f>Calc_Revenue_Opex!BI10</f>
        <v>3750000</v>
      </c>
      <c r="BJ5" s="12">
        <f>Calc_Revenue_Opex!BJ10</f>
        <v>3750000</v>
      </c>
      <c r="BK5" s="12">
        <f>Calc_Revenue_Opex!BK10</f>
        <v>3750000</v>
      </c>
      <c r="BL5" s="12">
        <f>Calc_Revenue_Opex!BL10</f>
        <v>3750000</v>
      </c>
      <c r="BM5" s="12">
        <f>Calc_Revenue_Opex!BM10</f>
        <v>3750000</v>
      </c>
      <c r="BN5" s="12">
        <f>Calc_Revenue_Opex!BN10</f>
        <v>3750000</v>
      </c>
      <c r="BO5" s="12">
        <f>Calc_Revenue_Opex!BO10</f>
        <v>3750000</v>
      </c>
      <c r="BP5" s="12">
        <f>Calc_Revenue_Opex!BP10</f>
        <v>3750000</v>
      </c>
      <c r="BQ5" s="12">
        <f>Calc_Revenue_Opex!BQ10</f>
        <v>3750000</v>
      </c>
      <c r="BR5" s="12">
        <f>Calc_Revenue_Opex!BR10</f>
        <v>3750000</v>
      </c>
      <c r="BS5" s="12">
        <f>Calc_Revenue_Opex!BS10</f>
        <v>3750000</v>
      </c>
      <c r="BT5" s="12">
        <f>Calc_Revenue_Opex!BT10</f>
        <v>3750000</v>
      </c>
      <c r="BU5" s="12">
        <f>Calc_Revenue_Opex!BU10</f>
        <v>3750000</v>
      </c>
      <c r="BV5" s="12">
        <f>Calc_Revenue_Opex!BV10</f>
        <v>3750000</v>
      </c>
      <c r="BW5" s="12">
        <f>Calc_Revenue_Opex!BW10</f>
        <v>3750000</v>
      </c>
      <c r="BX5" s="12">
        <f>Calc_Revenue_Opex!BX10</f>
        <v>3750000</v>
      </c>
      <c r="BY5" s="12">
        <f>Calc_Revenue_Opex!BY10</f>
        <v>3750000</v>
      </c>
      <c r="BZ5" s="12">
        <f>Calc_Revenue_Opex!BZ10</f>
        <v>3750000</v>
      </c>
      <c r="CA5" s="12">
        <f>Calc_Revenue_Opex!CA10</f>
        <v>3750000</v>
      </c>
      <c r="CB5" s="12">
        <f>Calc_Revenue_Opex!CB10</f>
        <v>3750000</v>
      </c>
      <c r="CC5" s="12">
        <f>Calc_Revenue_Opex!CC10</f>
        <v>3750000</v>
      </c>
      <c r="CD5" s="12">
        <f>Calc_Revenue_Opex!CD10</f>
        <v>3750000</v>
      </c>
    </row>
    <row r="6" spans="1:82" x14ac:dyDescent="0.45">
      <c r="A6" t="s">
        <v>249</v>
      </c>
      <c r="C6" s="12">
        <f>Calc_Revenue_Opex!C11</f>
        <v>1125000</v>
      </c>
      <c r="D6" s="12">
        <f>Calc_Revenue_Opex!D11</f>
        <v>1125000</v>
      </c>
      <c r="E6" s="12">
        <f>Calc_Revenue_Opex!E11</f>
        <v>1125000</v>
      </c>
      <c r="F6" s="12">
        <f>Calc_Revenue_Opex!F11</f>
        <v>1125000</v>
      </c>
      <c r="G6" s="12">
        <f>Calc_Revenue_Opex!G11</f>
        <v>1125000</v>
      </c>
      <c r="H6" s="12">
        <f>Calc_Revenue_Opex!H11</f>
        <v>1125000</v>
      </c>
      <c r="I6" s="12">
        <f>Calc_Revenue_Opex!I11</f>
        <v>1125000</v>
      </c>
      <c r="J6" s="12">
        <f>Calc_Revenue_Opex!J11</f>
        <v>1125000</v>
      </c>
      <c r="K6" s="12">
        <f>Calc_Revenue_Opex!K11</f>
        <v>1125000</v>
      </c>
      <c r="L6" s="12">
        <f>Calc_Revenue_Opex!L11</f>
        <v>1125000</v>
      </c>
      <c r="M6" s="12">
        <f>Calc_Revenue_Opex!M11</f>
        <v>1125000</v>
      </c>
      <c r="N6" s="12">
        <f>Calc_Revenue_Opex!N11</f>
        <v>1125000</v>
      </c>
      <c r="O6" s="12">
        <f>Calc_Revenue_Opex!O11</f>
        <v>1125000</v>
      </c>
      <c r="P6" s="12">
        <f>Calc_Revenue_Opex!P11</f>
        <v>1125000</v>
      </c>
      <c r="Q6" s="12">
        <f>Calc_Revenue_Opex!Q11</f>
        <v>1125000</v>
      </c>
      <c r="R6" s="12">
        <f>Calc_Revenue_Opex!R11</f>
        <v>1125000</v>
      </c>
      <c r="S6" s="12">
        <f>Calc_Revenue_Opex!S11</f>
        <v>1125000</v>
      </c>
      <c r="T6" s="12">
        <f>Calc_Revenue_Opex!T11</f>
        <v>1125000</v>
      </c>
      <c r="U6" s="12">
        <f>Calc_Revenue_Opex!U11</f>
        <v>1125000</v>
      </c>
      <c r="V6" s="12">
        <f>Calc_Revenue_Opex!V11</f>
        <v>1125000</v>
      </c>
      <c r="W6" s="12">
        <f>Calc_Revenue_Opex!W11</f>
        <v>1125000</v>
      </c>
      <c r="X6" s="12">
        <f>Calc_Revenue_Opex!X11</f>
        <v>1125000</v>
      </c>
      <c r="Y6" s="12">
        <f>Calc_Revenue_Opex!Y11</f>
        <v>1125000</v>
      </c>
      <c r="Z6" s="12">
        <f>Calc_Revenue_Opex!Z11</f>
        <v>1125000</v>
      </c>
      <c r="AA6" s="12">
        <f>Calc_Revenue_Opex!AA11</f>
        <v>1125000</v>
      </c>
      <c r="AB6" s="12">
        <f>Calc_Revenue_Opex!AB11</f>
        <v>1125000</v>
      </c>
      <c r="AC6" s="12">
        <f>Calc_Revenue_Opex!AC11</f>
        <v>1125000</v>
      </c>
      <c r="AD6" s="12">
        <f>Calc_Revenue_Opex!AD11</f>
        <v>1125000</v>
      </c>
      <c r="AE6" s="12">
        <f>Calc_Revenue_Opex!AE11</f>
        <v>1125000</v>
      </c>
      <c r="AF6" s="12">
        <f>Calc_Revenue_Opex!AF11</f>
        <v>1125000</v>
      </c>
      <c r="AG6" s="12">
        <f>Calc_Revenue_Opex!AG11</f>
        <v>1125000</v>
      </c>
      <c r="AH6" s="12">
        <f>Calc_Revenue_Opex!AH11</f>
        <v>1125000</v>
      </c>
      <c r="AI6" s="12">
        <f>Calc_Revenue_Opex!AI11</f>
        <v>1125000</v>
      </c>
      <c r="AJ6" s="12">
        <f>Calc_Revenue_Opex!AJ11</f>
        <v>1125000</v>
      </c>
      <c r="AK6" s="12">
        <f>Calc_Revenue_Opex!AK11</f>
        <v>1125000</v>
      </c>
      <c r="AL6" s="12">
        <f>Calc_Revenue_Opex!AL11</f>
        <v>1125000</v>
      </c>
      <c r="AM6" s="12">
        <f>Calc_Revenue_Opex!AM11</f>
        <v>1125000</v>
      </c>
      <c r="AN6" s="12">
        <f>Calc_Revenue_Opex!AN11</f>
        <v>1125000</v>
      </c>
      <c r="AO6" s="12">
        <f>Calc_Revenue_Opex!AO11</f>
        <v>1125000</v>
      </c>
      <c r="AP6" s="12">
        <f>Calc_Revenue_Opex!AP11</f>
        <v>1125000</v>
      </c>
      <c r="AQ6" s="12">
        <f>Calc_Revenue_Opex!AQ11</f>
        <v>1125000</v>
      </c>
      <c r="AR6" s="12">
        <f>Calc_Revenue_Opex!AR11</f>
        <v>1125000</v>
      </c>
      <c r="AS6" s="12">
        <f>Calc_Revenue_Opex!AS11</f>
        <v>1125000</v>
      </c>
      <c r="AT6" s="12">
        <f>Calc_Revenue_Opex!AT11</f>
        <v>1125000</v>
      </c>
      <c r="AU6" s="12">
        <f>Calc_Revenue_Opex!AU11</f>
        <v>1125000</v>
      </c>
      <c r="AV6" s="12">
        <f>Calc_Revenue_Opex!AV11</f>
        <v>1125000</v>
      </c>
      <c r="AW6" s="12">
        <f>Calc_Revenue_Opex!AW11</f>
        <v>1125000</v>
      </c>
      <c r="AX6" s="12">
        <f>Calc_Revenue_Opex!AX11</f>
        <v>1125000</v>
      </c>
      <c r="AY6" s="12">
        <f>Calc_Revenue_Opex!AY11</f>
        <v>1125000</v>
      </c>
      <c r="AZ6" s="12">
        <f>Calc_Revenue_Opex!AZ11</f>
        <v>1125000</v>
      </c>
      <c r="BA6" s="12">
        <f>Calc_Revenue_Opex!BA11</f>
        <v>1125000</v>
      </c>
      <c r="BB6" s="12">
        <f>Calc_Revenue_Opex!BB11</f>
        <v>1125000</v>
      </c>
      <c r="BC6" s="12">
        <f>Calc_Revenue_Opex!BC11</f>
        <v>1125000</v>
      </c>
      <c r="BD6" s="12">
        <f>Calc_Revenue_Opex!BD11</f>
        <v>1125000</v>
      </c>
      <c r="BE6" s="12">
        <f>Calc_Revenue_Opex!BE11</f>
        <v>1125000</v>
      </c>
      <c r="BF6" s="12">
        <f>Calc_Revenue_Opex!BF11</f>
        <v>1125000</v>
      </c>
      <c r="BG6" s="12">
        <f>Calc_Revenue_Opex!BG11</f>
        <v>1125000</v>
      </c>
      <c r="BH6" s="12">
        <f>Calc_Revenue_Opex!BH11</f>
        <v>1125000</v>
      </c>
      <c r="BI6" s="12">
        <f>Calc_Revenue_Opex!BI11</f>
        <v>1125000</v>
      </c>
      <c r="BJ6" s="12">
        <f>Calc_Revenue_Opex!BJ11</f>
        <v>1125000</v>
      </c>
      <c r="BK6" s="12">
        <f>Calc_Revenue_Opex!BK11</f>
        <v>1125000</v>
      </c>
      <c r="BL6" s="12">
        <f>Calc_Revenue_Opex!BL11</f>
        <v>1125000</v>
      </c>
      <c r="BM6" s="12">
        <f>Calc_Revenue_Opex!BM11</f>
        <v>1125000</v>
      </c>
      <c r="BN6" s="12">
        <f>Calc_Revenue_Opex!BN11</f>
        <v>1125000</v>
      </c>
      <c r="BO6" s="12">
        <f>Calc_Revenue_Opex!BO11</f>
        <v>1125000</v>
      </c>
      <c r="BP6" s="12">
        <f>Calc_Revenue_Opex!BP11</f>
        <v>1125000</v>
      </c>
      <c r="BQ6" s="12">
        <f>Calc_Revenue_Opex!BQ11</f>
        <v>1125000</v>
      </c>
      <c r="BR6" s="12">
        <f>Calc_Revenue_Opex!BR11</f>
        <v>1125000</v>
      </c>
      <c r="BS6" s="12">
        <f>Calc_Revenue_Opex!BS11</f>
        <v>1125000</v>
      </c>
      <c r="BT6" s="12">
        <f>Calc_Revenue_Opex!BT11</f>
        <v>1125000</v>
      </c>
      <c r="BU6" s="12">
        <f>Calc_Revenue_Opex!BU11</f>
        <v>1125000</v>
      </c>
      <c r="BV6" s="12">
        <f>Calc_Revenue_Opex!BV11</f>
        <v>1125000</v>
      </c>
      <c r="BW6" s="12">
        <f>Calc_Revenue_Opex!BW11</f>
        <v>1125000</v>
      </c>
      <c r="BX6" s="12">
        <f>Calc_Revenue_Opex!BX11</f>
        <v>1125000</v>
      </c>
      <c r="BY6" s="12">
        <f>Calc_Revenue_Opex!BY11</f>
        <v>1125000</v>
      </c>
      <c r="BZ6" s="12">
        <f>Calc_Revenue_Opex!BZ11</f>
        <v>1125000</v>
      </c>
      <c r="CA6" s="12">
        <f>Calc_Revenue_Opex!CA11</f>
        <v>1125000</v>
      </c>
      <c r="CB6" s="12">
        <f>Calc_Revenue_Opex!CB11</f>
        <v>1125000</v>
      </c>
      <c r="CC6" s="12">
        <f>Calc_Revenue_Opex!CC11</f>
        <v>1125000</v>
      </c>
      <c r="CD6" s="12">
        <f>Calc_Revenue_Opex!CD11</f>
        <v>1125000</v>
      </c>
    </row>
    <row r="7" spans="1:82" x14ac:dyDescent="0.45">
      <c r="A7" t="s">
        <v>181</v>
      </c>
      <c r="C7" s="12">
        <f>Calc_Revenue_Opex!C12</f>
        <v>2625000</v>
      </c>
      <c r="D7" s="12">
        <f>Calc_Revenue_Opex!D12</f>
        <v>2625000</v>
      </c>
      <c r="E7" s="12">
        <f>Calc_Revenue_Opex!E12</f>
        <v>2625000</v>
      </c>
      <c r="F7" s="12">
        <f>Calc_Revenue_Opex!F12</f>
        <v>2625000</v>
      </c>
      <c r="G7" s="12">
        <f>Calc_Revenue_Opex!G12</f>
        <v>2625000</v>
      </c>
      <c r="H7" s="12">
        <f>Calc_Revenue_Opex!H12</f>
        <v>2625000</v>
      </c>
      <c r="I7" s="12">
        <f>Calc_Revenue_Opex!I12</f>
        <v>2625000</v>
      </c>
      <c r="J7" s="12">
        <f>Calc_Revenue_Opex!J12</f>
        <v>2625000</v>
      </c>
      <c r="K7" s="12">
        <f>Calc_Revenue_Opex!K12</f>
        <v>2625000</v>
      </c>
      <c r="L7" s="12">
        <f>Calc_Revenue_Opex!L12</f>
        <v>2625000</v>
      </c>
      <c r="M7" s="12">
        <f>Calc_Revenue_Opex!M12</f>
        <v>2625000</v>
      </c>
      <c r="N7" s="12">
        <f>Calc_Revenue_Opex!N12</f>
        <v>2625000</v>
      </c>
      <c r="O7" s="12">
        <f>Calc_Revenue_Opex!O12</f>
        <v>2625000</v>
      </c>
      <c r="P7" s="12">
        <f>Calc_Revenue_Opex!P12</f>
        <v>2625000</v>
      </c>
      <c r="Q7" s="12">
        <f>Calc_Revenue_Opex!Q12</f>
        <v>2625000</v>
      </c>
      <c r="R7" s="12">
        <f>Calc_Revenue_Opex!R12</f>
        <v>2625000</v>
      </c>
      <c r="S7" s="12">
        <f>Calc_Revenue_Opex!S12</f>
        <v>2625000</v>
      </c>
      <c r="T7" s="12">
        <f>Calc_Revenue_Opex!T12</f>
        <v>2625000</v>
      </c>
      <c r="U7" s="12">
        <f>Calc_Revenue_Opex!U12</f>
        <v>2625000</v>
      </c>
      <c r="V7" s="12">
        <f>Calc_Revenue_Opex!V12</f>
        <v>2625000</v>
      </c>
      <c r="W7" s="12">
        <f>Calc_Revenue_Opex!W12</f>
        <v>2625000</v>
      </c>
      <c r="X7" s="12">
        <f>Calc_Revenue_Opex!X12</f>
        <v>2625000</v>
      </c>
      <c r="Y7" s="12">
        <f>Calc_Revenue_Opex!Y12</f>
        <v>2625000</v>
      </c>
      <c r="Z7" s="12">
        <f>Calc_Revenue_Opex!Z12</f>
        <v>2625000</v>
      </c>
      <c r="AA7" s="12">
        <f>Calc_Revenue_Opex!AA12</f>
        <v>2625000</v>
      </c>
      <c r="AB7" s="12">
        <f>Calc_Revenue_Opex!AB12</f>
        <v>2625000</v>
      </c>
      <c r="AC7" s="12">
        <f>Calc_Revenue_Opex!AC12</f>
        <v>2625000</v>
      </c>
      <c r="AD7" s="12">
        <f>Calc_Revenue_Opex!AD12</f>
        <v>2625000</v>
      </c>
      <c r="AE7" s="12">
        <f>Calc_Revenue_Opex!AE12</f>
        <v>2625000</v>
      </c>
      <c r="AF7" s="12">
        <f>Calc_Revenue_Opex!AF12</f>
        <v>2625000</v>
      </c>
      <c r="AG7" s="12">
        <f>Calc_Revenue_Opex!AG12</f>
        <v>2625000</v>
      </c>
      <c r="AH7" s="12">
        <f>Calc_Revenue_Opex!AH12</f>
        <v>2625000</v>
      </c>
      <c r="AI7" s="12">
        <f>Calc_Revenue_Opex!AI12</f>
        <v>2625000</v>
      </c>
      <c r="AJ7" s="12">
        <f>Calc_Revenue_Opex!AJ12</f>
        <v>2625000</v>
      </c>
      <c r="AK7" s="12">
        <f>Calc_Revenue_Opex!AK12</f>
        <v>2625000</v>
      </c>
      <c r="AL7" s="12">
        <f>Calc_Revenue_Opex!AL12</f>
        <v>2625000</v>
      </c>
      <c r="AM7" s="12">
        <f>Calc_Revenue_Opex!AM12</f>
        <v>2625000</v>
      </c>
      <c r="AN7" s="12">
        <f>Calc_Revenue_Opex!AN12</f>
        <v>2625000</v>
      </c>
      <c r="AO7" s="12">
        <f>Calc_Revenue_Opex!AO12</f>
        <v>2625000</v>
      </c>
      <c r="AP7" s="12">
        <f>Calc_Revenue_Opex!AP12</f>
        <v>2625000</v>
      </c>
      <c r="AQ7" s="12">
        <f>Calc_Revenue_Opex!AQ12</f>
        <v>2625000</v>
      </c>
      <c r="AR7" s="12">
        <f>Calc_Revenue_Opex!AR12</f>
        <v>2625000</v>
      </c>
      <c r="AS7" s="12">
        <f>Calc_Revenue_Opex!AS12</f>
        <v>2625000</v>
      </c>
      <c r="AT7" s="12">
        <f>Calc_Revenue_Opex!AT12</f>
        <v>2625000</v>
      </c>
      <c r="AU7" s="12">
        <f>Calc_Revenue_Opex!AU12</f>
        <v>2625000</v>
      </c>
      <c r="AV7" s="12">
        <f>Calc_Revenue_Opex!AV12</f>
        <v>2625000</v>
      </c>
      <c r="AW7" s="12">
        <f>Calc_Revenue_Opex!AW12</f>
        <v>2625000</v>
      </c>
      <c r="AX7" s="12">
        <f>Calc_Revenue_Opex!AX12</f>
        <v>2625000</v>
      </c>
      <c r="AY7" s="12">
        <f>Calc_Revenue_Opex!AY12</f>
        <v>2625000</v>
      </c>
      <c r="AZ7" s="12">
        <f>Calc_Revenue_Opex!AZ12</f>
        <v>2625000</v>
      </c>
      <c r="BA7" s="12">
        <f>Calc_Revenue_Opex!BA12</f>
        <v>2625000</v>
      </c>
      <c r="BB7" s="12">
        <f>Calc_Revenue_Opex!BB12</f>
        <v>2625000</v>
      </c>
      <c r="BC7" s="12">
        <f>Calc_Revenue_Opex!BC12</f>
        <v>2625000</v>
      </c>
      <c r="BD7" s="12">
        <f>Calc_Revenue_Opex!BD12</f>
        <v>2625000</v>
      </c>
      <c r="BE7" s="12">
        <f>Calc_Revenue_Opex!BE12</f>
        <v>2625000</v>
      </c>
      <c r="BF7" s="12">
        <f>Calc_Revenue_Opex!BF12</f>
        <v>2625000</v>
      </c>
      <c r="BG7" s="12">
        <f>Calc_Revenue_Opex!BG12</f>
        <v>2625000</v>
      </c>
      <c r="BH7" s="12">
        <f>Calc_Revenue_Opex!BH12</f>
        <v>2625000</v>
      </c>
      <c r="BI7" s="12">
        <f>Calc_Revenue_Opex!BI12</f>
        <v>2625000</v>
      </c>
      <c r="BJ7" s="12">
        <f>Calc_Revenue_Opex!BJ12</f>
        <v>2625000</v>
      </c>
      <c r="BK7" s="12">
        <f>Calc_Revenue_Opex!BK12</f>
        <v>2625000</v>
      </c>
      <c r="BL7" s="12">
        <f>Calc_Revenue_Opex!BL12</f>
        <v>2625000</v>
      </c>
      <c r="BM7" s="12">
        <f>Calc_Revenue_Opex!BM12</f>
        <v>2625000</v>
      </c>
      <c r="BN7" s="12">
        <f>Calc_Revenue_Opex!BN12</f>
        <v>2625000</v>
      </c>
      <c r="BO7" s="12">
        <f>Calc_Revenue_Opex!BO12</f>
        <v>2625000</v>
      </c>
      <c r="BP7" s="12">
        <f>Calc_Revenue_Opex!BP12</f>
        <v>2625000</v>
      </c>
      <c r="BQ7" s="12">
        <f>Calc_Revenue_Opex!BQ12</f>
        <v>2625000</v>
      </c>
      <c r="BR7" s="12">
        <f>Calc_Revenue_Opex!BR12</f>
        <v>2625000</v>
      </c>
      <c r="BS7" s="12">
        <f>Calc_Revenue_Opex!BS12</f>
        <v>2625000</v>
      </c>
      <c r="BT7" s="12">
        <f>Calc_Revenue_Opex!BT12</f>
        <v>2625000</v>
      </c>
      <c r="BU7" s="12">
        <f>Calc_Revenue_Opex!BU12</f>
        <v>2625000</v>
      </c>
      <c r="BV7" s="12">
        <f>Calc_Revenue_Opex!BV12</f>
        <v>2625000</v>
      </c>
      <c r="BW7" s="12">
        <f>Calc_Revenue_Opex!BW12</f>
        <v>2625000</v>
      </c>
      <c r="BX7" s="12">
        <f>Calc_Revenue_Opex!BX12</f>
        <v>2625000</v>
      </c>
      <c r="BY7" s="12">
        <f>Calc_Revenue_Opex!BY12</f>
        <v>2625000</v>
      </c>
      <c r="BZ7" s="12">
        <f>Calc_Revenue_Opex!BZ12</f>
        <v>2625000</v>
      </c>
      <c r="CA7" s="12">
        <f>Calc_Revenue_Opex!CA12</f>
        <v>2625000</v>
      </c>
      <c r="CB7" s="12">
        <f>Calc_Revenue_Opex!CB12</f>
        <v>2625000</v>
      </c>
      <c r="CC7" s="12">
        <f>Calc_Revenue_Opex!CC12</f>
        <v>2625000</v>
      </c>
      <c r="CD7" s="12">
        <f>Calc_Revenue_Opex!CD12</f>
        <v>2625000</v>
      </c>
    </row>
    <row r="8" spans="1:82" x14ac:dyDescent="0.45">
      <c r="A8" t="s">
        <v>250</v>
      </c>
      <c r="C8" s="12">
        <f>Calc_Tax!C14</f>
        <v>1307410.3005356363</v>
      </c>
      <c r="D8" s="12">
        <f>Calc_Tax!D14</f>
        <v>1308816.5505356363</v>
      </c>
      <c r="E8" s="12">
        <f>Calc_Tax!E14</f>
        <v>1310222.8005356363</v>
      </c>
      <c r="F8" s="12">
        <f>Calc_Tax!F14</f>
        <v>1311629.0505356363</v>
      </c>
      <c r="G8" s="12">
        <f>Calc_Tax!G14</f>
        <v>1313035.3005356363</v>
      </c>
      <c r="H8" s="12">
        <f>Calc_Tax!H14</f>
        <v>1314441.5505356363</v>
      </c>
      <c r="I8" s="12">
        <f>Calc_Tax!I14</f>
        <v>1315847.8005356363</v>
      </c>
      <c r="J8" s="12">
        <f>Calc_Tax!J14</f>
        <v>1317254.0505356363</v>
      </c>
      <c r="K8" s="12">
        <f>Calc_Tax!K14</f>
        <v>1318660.3005356363</v>
      </c>
      <c r="L8" s="12">
        <f>Calc_Tax!L14</f>
        <v>1320066.5505356363</v>
      </c>
      <c r="M8" s="12">
        <f>Calc_Tax!M14</f>
        <v>1321472.8005356363</v>
      </c>
      <c r="N8" s="12">
        <f>Calc_Tax!N14</f>
        <v>1322879.0505356363</v>
      </c>
      <c r="O8" s="12">
        <f>Calc_Tax!O14</f>
        <v>1324285.3005356363</v>
      </c>
      <c r="P8" s="12">
        <f>Calc_Tax!P14</f>
        <v>1325691.5505356363</v>
      </c>
      <c r="Q8" s="12">
        <f>Calc_Tax!Q14</f>
        <v>1327097.8005356363</v>
      </c>
      <c r="R8" s="12">
        <f>Calc_Tax!R14</f>
        <v>1328504.0505356363</v>
      </c>
      <c r="S8" s="12">
        <f>Calc_Tax!S14</f>
        <v>1329910.3005356363</v>
      </c>
      <c r="T8" s="12">
        <f>Calc_Tax!T14</f>
        <v>1331316.5505356363</v>
      </c>
      <c r="U8" s="12">
        <f>Calc_Tax!U14</f>
        <v>1332722.8005356363</v>
      </c>
      <c r="V8" s="12">
        <f>Calc_Tax!V14</f>
        <v>1384129.0505356363</v>
      </c>
      <c r="W8" s="12">
        <f>Calc_Tax!W14</f>
        <v>1385535.3005356363</v>
      </c>
      <c r="X8" s="12">
        <f>Calc_Tax!X14</f>
        <v>1386941.5505356363</v>
      </c>
      <c r="Y8" s="12">
        <f>Calc_Tax!Y14</f>
        <v>1388347.8005356363</v>
      </c>
      <c r="Z8" s="12">
        <f>Calc_Tax!Z14</f>
        <v>1389754.0505356363</v>
      </c>
      <c r="AA8" s="12">
        <f>Calc_Tax!AA14</f>
        <v>1391160.3005356363</v>
      </c>
      <c r="AB8" s="12">
        <f>Calc_Tax!AB14</f>
        <v>1392566.5505356363</v>
      </c>
      <c r="AC8" s="12">
        <f>Calc_Tax!AC14</f>
        <v>1393972.8005356363</v>
      </c>
      <c r="AD8" s="12">
        <f>Calc_Tax!AD14</f>
        <v>1395379.0505356363</v>
      </c>
      <c r="AE8" s="12">
        <f>Calc_Tax!AE14</f>
        <v>1396785.3005356363</v>
      </c>
      <c r="AF8" s="12">
        <f>Calc_Tax!AF14</f>
        <v>1398191.5505356363</v>
      </c>
      <c r="AG8" s="12">
        <f>Calc_Tax!AG14</f>
        <v>1399597.8005356363</v>
      </c>
      <c r="AH8" s="12">
        <f>Calc_Tax!AH14</f>
        <v>1401004.0505356363</v>
      </c>
      <c r="AI8" s="12">
        <f>Calc_Tax!AI14</f>
        <v>1402410.3005356363</v>
      </c>
      <c r="AJ8" s="12">
        <f>Calc_Tax!AJ14</f>
        <v>1403816.5505356363</v>
      </c>
      <c r="AK8" s="12">
        <f>Calc_Tax!AK14</f>
        <v>1405222.8005356363</v>
      </c>
      <c r="AL8" s="12">
        <f>Calc_Tax!AL14</f>
        <v>1406629.0505356363</v>
      </c>
      <c r="AM8" s="12">
        <f>Calc_Tax!AM14</f>
        <v>1408035.3005356363</v>
      </c>
      <c r="AN8" s="12">
        <f>Calc_Tax!AN14</f>
        <v>1409441.5505356363</v>
      </c>
      <c r="AO8" s="12">
        <f>Calc_Tax!AO14</f>
        <v>1410847.8005356363</v>
      </c>
      <c r="AP8" s="12">
        <f>Calc_Tax!AP14</f>
        <v>1462254.0505356363</v>
      </c>
      <c r="AQ8" s="12">
        <f>Calc_Tax!AQ14</f>
        <v>1462254.0505356363</v>
      </c>
      <c r="AR8" s="12">
        <f>Calc_Tax!AR14</f>
        <v>1462254.0505356363</v>
      </c>
      <c r="AS8" s="12">
        <f>Calc_Tax!AS14</f>
        <v>1462254.0505356363</v>
      </c>
      <c r="AT8" s="12">
        <f>Calc_Tax!AT14</f>
        <v>1462254.0505356363</v>
      </c>
      <c r="AU8" s="12">
        <f>Calc_Tax!AU14</f>
        <v>1462254.0505356363</v>
      </c>
      <c r="AV8" s="12">
        <f>Calc_Tax!AV14</f>
        <v>1462254.0505356363</v>
      </c>
      <c r="AW8" s="12">
        <f>Calc_Tax!AW14</f>
        <v>1462254.0505356363</v>
      </c>
      <c r="AX8" s="12">
        <f>Calc_Tax!AX14</f>
        <v>1462254.0505356363</v>
      </c>
      <c r="AY8" s="12">
        <f>Calc_Tax!AY14</f>
        <v>1462254.0505356363</v>
      </c>
      <c r="AZ8" s="12">
        <f>Calc_Tax!AZ14</f>
        <v>1462254.0505356363</v>
      </c>
      <c r="BA8" s="12">
        <f>Calc_Tax!BA14</f>
        <v>1462254.0505356363</v>
      </c>
      <c r="BB8" s="12">
        <f>Calc_Tax!BB14</f>
        <v>1462254.0505356363</v>
      </c>
      <c r="BC8" s="12">
        <f>Calc_Tax!BC14</f>
        <v>1462254.0505356363</v>
      </c>
      <c r="BD8" s="12">
        <f>Calc_Tax!BD14</f>
        <v>1462254.0505356363</v>
      </c>
      <c r="BE8" s="12">
        <f>Calc_Tax!BE14</f>
        <v>1462254.0505356363</v>
      </c>
      <c r="BF8" s="12">
        <f>Calc_Tax!BF14</f>
        <v>1462254.0505356363</v>
      </c>
      <c r="BG8" s="12">
        <f>Calc_Tax!BG14</f>
        <v>1462254.0505356363</v>
      </c>
      <c r="BH8" s="12">
        <f>Calc_Tax!BH14</f>
        <v>1462254.0505356363</v>
      </c>
      <c r="BI8" s="12">
        <f>Calc_Tax!BI14</f>
        <v>1462254.0505356363</v>
      </c>
      <c r="BJ8" s="12">
        <f>Calc_Tax!BJ14</f>
        <v>1462254.0505356363</v>
      </c>
      <c r="BK8" s="12">
        <f>Calc_Tax!BK14</f>
        <v>1462254.0505356363</v>
      </c>
      <c r="BL8" s="12">
        <f>Calc_Tax!BL14</f>
        <v>1462254.0505356363</v>
      </c>
      <c r="BM8" s="12">
        <f>Calc_Tax!BM14</f>
        <v>1462254.0505356363</v>
      </c>
      <c r="BN8" s="12">
        <f>Calc_Tax!BN14</f>
        <v>1462254.0505356363</v>
      </c>
      <c r="BO8" s="12">
        <f>Calc_Tax!BO14</f>
        <v>1462254.0505356363</v>
      </c>
      <c r="BP8" s="12">
        <f>Calc_Tax!BP14</f>
        <v>1462254.0505356363</v>
      </c>
      <c r="BQ8" s="12">
        <f>Calc_Tax!BQ14</f>
        <v>1462254.0505356363</v>
      </c>
      <c r="BR8" s="12">
        <f>Calc_Tax!BR14</f>
        <v>1462254.0505356363</v>
      </c>
      <c r="BS8" s="12">
        <f>Calc_Tax!BS14</f>
        <v>1462254.0505356363</v>
      </c>
      <c r="BT8" s="12">
        <f>Calc_Tax!BT14</f>
        <v>1462254.0505356363</v>
      </c>
      <c r="BU8" s="12">
        <f>Calc_Tax!BU14</f>
        <v>1462254.0505356363</v>
      </c>
      <c r="BV8" s="12">
        <f>Calc_Tax!BV14</f>
        <v>1462254.0505356363</v>
      </c>
      <c r="BW8" s="12">
        <f>Calc_Tax!BW14</f>
        <v>1462254.0505356363</v>
      </c>
      <c r="BX8" s="12">
        <f>Calc_Tax!BX14</f>
        <v>1462254.0505356363</v>
      </c>
      <c r="BY8" s="12">
        <f>Calc_Tax!BY14</f>
        <v>1462254.0505356363</v>
      </c>
      <c r="BZ8" s="12">
        <f>Calc_Tax!BZ14</f>
        <v>1462254.0505356363</v>
      </c>
      <c r="CA8" s="12">
        <f>Calc_Tax!CA14</f>
        <v>1462254.0505356363</v>
      </c>
      <c r="CB8" s="12">
        <f>Calc_Tax!CB14</f>
        <v>1462254.0505356363</v>
      </c>
      <c r="CC8" s="12">
        <f>Calc_Tax!CC14</f>
        <v>1462254.0505356363</v>
      </c>
      <c r="CD8" s="12">
        <f>Calc_Tax!CD14</f>
        <v>1462254.0505356363</v>
      </c>
    </row>
    <row r="9" spans="1:82" x14ac:dyDescent="0.45">
      <c r="A9" t="s">
        <v>251</v>
      </c>
      <c r="C9" s="18">
        <f t="shared" ref="C9:AH9" si="0">C7-C8</f>
        <v>1317589.6994643637</v>
      </c>
      <c r="D9" s="18">
        <f t="shared" si="0"/>
        <v>1316183.4494643637</v>
      </c>
      <c r="E9" s="18">
        <f t="shared" si="0"/>
        <v>1314777.1994643637</v>
      </c>
      <c r="F9" s="18">
        <f t="shared" si="0"/>
        <v>1313370.9494643637</v>
      </c>
      <c r="G9" s="18">
        <f t="shared" si="0"/>
        <v>1311964.6994643637</v>
      </c>
      <c r="H9" s="18">
        <f t="shared" si="0"/>
        <v>1310558.4494643637</v>
      </c>
      <c r="I9" s="18">
        <f t="shared" si="0"/>
        <v>1309152.1994643637</v>
      </c>
      <c r="J9" s="18">
        <f t="shared" si="0"/>
        <v>1307745.9494643637</v>
      </c>
      <c r="K9" s="18">
        <f t="shared" si="0"/>
        <v>1306339.6994643637</v>
      </c>
      <c r="L9" s="18">
        <f t="shared" si="0"/>
        <v>1304933.4494643637</v>
      </c>
      <c r="M9" s="18">
        <f t="shared" si="0"/>
        <v>1303527.1994643637</v>
      </c>
      <c r="N9" s="18">
        <f t="shared" si="0"/>
        <v>1302120.9494643637</v>
      </c>
      <c r="O9" s="18">
        <f t="shared" si="0"/>
        <v>1300714.6994643637</v>
      </c>
      <c r="P9" s="18">
        <f t="shared" si="0"/>
        <v>1299308.4494643637</v>
      </c>
      <c r="Q9" s="18">
        <f t="shared" si="0"/>
        <v>1297902.1994643637</v>
      </c>
      <c r="R9" s="18">
        <f t="shared" si="0"/>
        <v>1296495.9494643637</v>
      </c>
      <c r="S9" s="18">
        <f t="shared" si="0"/>
        <v>1295089.6994643637</v>
      </c>
      <c r="T9" s="18">
        <f t="shared" si="0"/>
        <v>1293683.4494643637</v>
      </c>
      <c r="U9" s="18">
        <f t="shared" si="0"/>
        <v>1292277.1994643637</v>
      </c>
      <c r="V9" s="18">
        <f t="shared" si="0"/>
        <v>1240870.9494643637</v>
      </c>
      <c r="W9" s="18">
        <f t="shared" si="0"/>
        <v>1239464.6994643637</v>
      </c>
      <c r="X9" s="18">
        <f t="shared" si="0"/>
        <v>1238058.4494643637</v>
      </c>
      <c r="Y9" s="18">
        <f t="shared" si="0"/>
        <v>1236652.1994643637</v>
      </c>
      <c r="Z9" s="18">
        <f t="shared" si="0"/>
        <v>1235245.9494643637</v>
      </c>
      <c r="AA9" s="18">
        <f t="shared" si="0"/>
        <v>1233839.6994643637</v>
      </c>
      <c r="AB9" s="18">
        <f t="shared" si="0"/>
        <v>1232433.4494643637</v>
      </c>
      <c r="AC9" s="18">
        <f t="shared" si="0"/>
        <v>1231027.1994643637</v>
      </c>
      <c r="AD9" s="18">
        <f t="shared" si="0"/>
        <v>1229620.9494643637</v>
      </c>
      <c r="AE9" s="18">
        <f t="shared" si="0"/>
        <v>1228214.6994643637</v>
      </c>
      <c r="AF9" s="18">
        <f t="shared" si="0"/>
        <v>1226808.4494643637</v>
      </c>
      <c r="AG9" s="18">
        <f t="shared" si="0"/>
        <v>1225402.1994643637</v>
      </c>
      <c r="AH9" s="18">
        <f t="shared" si="0"/>
        <v>1223995.9494643637</v>
      </c>
      <c r="AI9" s="18">
        <f t="shared" ref="AI9:BN9" si="1">AI7-AI8</f>
        <v>1222589.6994643637</v>
      </c>
      <c r="AJ9" s="18">
        <f t="shared" si="1"/>
        <v>1221183.4494643637</v>
      </c>
      <c r="AK9" s="18">
        <f t="shared" si="1"/>
        <v>1219777.1994643637</v>
      </c>
      <c r="AL9" s="18">
        <f t="shared" si="1"/>
        <v>1218370.9494643637</v>
      </c>
      <c r="AM9" s="18">
        <f t="shared" si="1"/>
        <v>1216964.6994643637</v>
      </c>
      <c r="AN9" s="18">
        <f t="shared" si="1"/>
        <v>1215558.4494643637</v>
      </c>
      <c r="AO9" s="18">
        <f t="shared" si="1"/>
        <v>1214152.1994643637</v>
      </c>
      <c r="AP9" s="18">
        <f t="shared" si="1"/>
        <v>1162745.9494643637</v>
      </c>
      <c r="AQ9" s="18">
        <f t="shared" si="1"/>
        <v>1162745.9494643637</v>
      </c>
      <c r="AR9" s="18">
        <f t="shared" si="1"/>
        <v>1162745.9494643637</v>
      </c>
      <c r="AS9" s="18">
        <f t="shared" si="1"/>
        <v>1162745.9494643637</v>
      </c>
      <c r="AT9" s="18">
        <f t="shared" si="1"/>
        <v>1162745.9494643637</v>
      </c>
      <c r="AU9" s="18">
        <f t="shared" si="1"/>
        <v>1162745.9494643637</v>
      </c>
      <c r="AV9" s="18">
        <f t="shared" si="1"/>
        <v>1162745.9494643637</v>
      </c>
      <c r="AW9" s="18">
        <f t="shared" si="1"/>
        <v>1162745.9494643637</v>
      </c>
      <c r="AX9" s="18">
        <f t="shared" si="1"/>
        <v>1162745.9494643637</v>
      </c>
      <c r="AY9" s="18">
        <f t="shared" si="1"/>
        <v>1162745.9494643637</v>
      </c>
      <c r="AZ9" s="18">
        <f t="shared" si="1"/>
        <v>1162745.9494643637</v>
      </c>
      <c r="BA9" s="18">
        <f t="shared" si="1"/>
        <v>1162745.9494643637</v>
      </c>
      <c r="BB9" s="18">
        <f t="shared" si="1"/>
        <v>1162745.9494643637</v>
      </c>
      <c r="BC9" s="18">
        <f t="shared" si="1"/>
        <v>1162745.9494643637</v>
      </c>
      <c r="BD9" s="18">
        <f t="shared" si="1"/>
        <v>1162745.9494643637</v>
      </c>
      <c r="BE9" s="18">
        <f t="shared" si="1"/>
        <v>1162745.9494643637</v>
      </c>
      <c r="BF9" s="18">
        <f t="shared" si="1"/>
        <v>1162745.9494643637</v>
      </c>
      <c r="BG9" s="18">
        <f t="shared" si="1"/>
        <v>1162745.9494643637</v>
      </c>
      <c r="BH9" s="18">
        <f t="shared" si="1"/>
        <v>1162745.9494643637</v>
      </c>
      <c r="BI9" s="18">
        <f t="shared" si="1"/>
        <v>1162745.9494643637</v>
      </c>
      <c r="BJ9" s="18">
        <f t="shared" si="1"/>
        <v>1162745.9494643637</v>
      </c>
      <c r="BK9" s="18">
        <f t="shared" si="1"/>
        <v>1162745.9494643637</v>
      </c>
      <c r="BL9" s="18">
        <f t="shared" si="1"/>
        <v>1162745.9494643637</v>
      </c>
      <c r="BM9" s="18">
        <f t="shared" si="1"/>
        <v>1162745.9494643637</v>
      </c>
      <c r="BN9" s="18">
        <f t="shared" si="1"/>
        <v>1162745.9494643637</v>
      </c>
      <c r="BO9" s="18">
        <f t="shared" ref="BO9:CD9" si="2">BO7-BO8</f>
        <v>1162745.9494643637</v>
      </c>
      <c r="BP9" s="18">
        <f t="shared" si="2"/>
        <v>1162745.9494643637</v>
      </c>
      <c r="BQ9" s="18">
        <f t="shared" si="2"/>
        <v>1162745.9494643637</v>
      </c>
      <c r="BR9" s="18">
        <f t="shared" si="2"/>
        <v>1162745.9494643637</v>
      </c>
      <c r="BS9" s="18">
        <f t="shared" si="2"/>
        <v>1162745.9494643637</v>
      </c>
      <c r="BT9" s="18">
        <f t="shared" si="2"/>
        <v>1162745.9494643637</v>
      </c>
      <c r="BU9" s="18">
        <f t="shared" si="2"/>
        <v>1162745.9494643637</v>
      </c>
      <c r="BV9" s="18">
        <f t="shared" si="2"/>
        <v>1162745.9494643637</v>
      </c>
      <c r="BW9" s="18">
        <f t="shared" si="2"/>
        <v>1162745.9494643637</v>
      </c>
      <c r="BX9" s="18">
        <f t="shared" si="2"/>
        <v>1162745.9494643637</v>
      </c>
      <c r="BY9" s="18">
        <f t="shared" si="2"/>
        <v>1162745.9494643637</v>
      </c>
      <c r="BZ9" s="18">
        <f t="shared" si="2"/>
        <v>1162745.9494643637</v>
      </c>
      <c r="CA9" s="18">
        <f t="shared" si="2"/>
        <v>1162745.9494643637</v>
      </c>
      <c r="CB9" s="18">
        <f t="shared" si="2"/>
        <v>1162745.9494643637</v>
      </c>
      <c r="CC9" s="18">
        <f t="shared" si="2"/>
        <v>1162745.9494643637</v>
      </c>
      <c r="CD9" s="18">
        <f t="shared" si="2"/>
        <v>1162745.9494643637</v>
      </c>
    </row>
    <row r="10" spans="1:82" x14ac:dyDescent="0.45">
      <c r="A10" t="s">
        <v>252</v>
      </c>
      <c r="C10" s="12">
        <f>Calc_Financing_Ops!C19</f>
        <v>1134192.9550605789</v>
      </c>
      <c r="D10" s="12">
        <f>Calc_Financing_Ops!D19</f>
        <v>1121446.4169184214</v>
      </c>
      <c r="E10" s="12">
        <f>Calc_Financing_Ops!E19</f>
        <v>1108541.3930737728</v>
      </c>
      <c r="F10" s="12">
        <f>Calc_Financing_Ops!F19</f>
        <v>1095475.9634113905</v>
      </c>
      <c r="G10" s="12">
        <f>Calc_Financing_Ops!G19</f>
        <v>1082248.1845530989</v>
      </c>
      <c r="H10" s="12">
        <f>Calc_Financing_Ops!H19</f>
        <v>1068856.089575947</v>
      </c>
      <c r="I10" s="12">
        <f>Calc_Financing_Ops!I19</f>
        <v>1055297.6877269568</v>
      </c>
      <c r="J10" s="12">
        <f>Calc_Financing_Ops!J19</f>
        <v>1041570.9641344113</v>
      </c>
      <c r="K10" s="12">
        <f>Calc_Financing_Ops!K19</f>
        <v>1027673.8795156485</v>
      </c>
      <c r="L10" s="12">
        <f>Calc_Financing_Ops!L19</f>
        <v>1013604.369881312</v>
      </c>
      <c r="M10" s="12">
        <f>Calc_Financing_Ops!M19</f>
        <v>999360.34623602137</v>
      </c>
      <c r="N10" s="12">
        <f>Calc_Financing_Ops!N19</f>
        <v>984939.69427541259</v>
      </c>
      <c r="O10" s="12">
        <f>Calc_Financing_Ops!O19</f>
        <v>970340.27407951199</v>
      </c>
      <c r="P10" s="12">
        <f>Calc_Financing_Ops!P19</f>
        <v>955559.91980239179</v>
      </c>
      <c r="Q10" s="12">
        <f>Calc_Financing_Ops!Q19</f>
        <v>940596.43935806793</v>
      </c>
      <c r="R10" s="12">
        <f>Calc_Financing_Ops!R19</f>
        <v>925447.61410259164</v>
      </c>
      <c r="S10" s="12">
        <f>Calc_Financing_Ops!S19</f>
        <v>910111.19851228944</v>
      </c>
      <c r="T10" s="12">
        <f>Calc_Financing_Ops!T19</f>
        <v>894584.91985810478</v>
      </c>
      <c r="U10" s="12">
        <f>Calc_Financing_Ops!U19</f>
        <v>878866.47787599452</v>
      </c>
      <c r="V10" s="12">
        <f>Calc_Financing_Ops!V19</f>
        <v>862953.54443333158</v>
      </c>
      <c r="W10" s="12">
        <f>Calc_Financing_Ops!W19</f>
        <v>846699.53242203651</v>
      </c>
      <c r="X10" s="12">
        <f>Calc_Financing_Ops!X19</f>
        <v>830244.54031329683</v>
      </c>
      <c r="Y10" s="12">
        <f>Calc_Financing_Ops!Y19</f>
        <v>813586.13315593207</v>
      </c>
      <c r="Z10" s="12">
        <f>Calc_Financing_Ops!Z19</f>
        <v>796721.84649839147</v>
      </c>
      <c r="AA10" s="12">
        <f>Calc_Financing_Ops!AA19</f>
        <v>779649.18603134609</v>
      </c>
      <c r="AB10" s="12">
        <f>Calc_Financing_Ops!AB19</f>
        <v>762365.62722595001</v>
      </c>
      <c r="AC10" s="12">
        <f>Calc_Financing_Ops!AC19</f>
        <v>744868.6149677193</v>
      </c>
      <c r="AD10" s="12">
        <f>Calc_Financing_Ops!AD19</f>
        <v>727155.56318597554</v>
      </c>
      <c r="AE10" s="12">
        <f>Calc_Financing_Ops!AE19</f>
        <v>709223.85447879892</v>
      </c>
      <c r="AF10" s="12">
        <f>Calc_Financing_Ops!AF19</f>
        <v>691070.83973343926</v>
      </c>
      <c r="AG10" s="12">
        <f>Calc_Financing_Ops!AG19</f>
        <v>672693.83774212631</v>
      </c>
      <c r="AH10" s="12">
        <f>Calc_Financing_Ops!AH19</f>
        <v>654090.13481322618</v>
      </c>
      <c r="AI10" s="12">
        <f>Calc_Financing_Ops!AI19</f>
        <v>635256.98437768745</v>
      </c>
      <c r="AJ10" s="12">
        <f>Calc_Financing_Ops!AJ19</f>
        <v>616191.60659071815</v>
      </c>
      <c r="AK10" s="12">
        <f>Calc_Financing_Ops!AK19</f>
        <v>596891.18792863749</v>
      </c>
      <c r="AL10" s="12">
        <f>Calc_Financing_Ops!AL19</f>
        <v>577352.8807808432</v>
      </c>
      <c r="AM10" s="12">
        <f>Calc_Financing_Ops!AM19</f>
        <v>557573.80303683516</v>
      </c>
      <c r="AN10" s="12">
        <f>Calc_Financing_Ops!AN19</f>
        <v>537551.0376682363</v>
      </c>
      <c r="AO10" s="12">
        <f>Calc_Financing_Ops!AO19</f>
        <v>517281.63230574864</v>
      </c>
      <c r="AP10" s="12">
        <f>Calc_Financing_Ops!AP19</f>
        <v>496762.59881098475</v>
      </c>
      <c r="AQ10" s="12">
        <f>Calc_Financing_Ops!AQ19</f>
        <v>475846.68207388039</v>
      </c>
      <c r="AR10" s="12">
        <f>Calc_Financing_Ops!AR19</f>
        <v>454677.36096092273</v>
      </c>
      <c r="AS10" s="12">
        <f>Calc_Financing_Ops!AS19</f>
        <v>433251.56538063491</v>
      </c>
      <c r="AT10" s="12">
        <f>Calc_Financing_Ops!AT19</f>
        <v>411566.18804620131</v>
      </c>
      <c r="AU10" s="12">
        <f>Calc_Financing_Ops!AU19</f>
        <v>389618.08402483136</v>
      </c>
      <c r="AV10" s="12">
        <f>Calc_Financing_Ops!AV19</f>
        <v>367404.07028166403</v>
      </c>
      <c r="AW10" s="12">
        <f>Calc_Financing_Ops!AW19</f>
        <v>344920.92521814676</v>
      </c>
      <c r="AX10" s="12">
        <f>Calc_Financing_Ops!AX19</f>
        <v>322165.38820482156</v>
      </c>
      <c r="AY10" s="12">
        <f>Calc_Financing_Ops!AY19</f>
        <v>299134.15910845023</v>
      </c>
      <c r="AZ10" s="12">
        <f>Calc_Financing_Ops!AZ19</f>
        <v>275823.89781341137</v>
      </c>
      <c r="BA10" s="12">
        <f>Calc_Financing_Ops!BA19</f>
        <v>252231.22373729796</v>
      </c>
      <c r="BB10" s="12">
        <f>Calc_Financing_Ops!BB19</f>
        <v>228352.71534064706</v>
      </c>
      <c r="BC10" s="12">
        <f>Calc_Financing_Ops!BC19</f>
        <v>204184.90963072903</v>
      </c>
      <c r="BD10" s="12">
        <f>Calc_Financing_Ops!BD19</f>
        <v>179724.30165932546</v>
      </c>
      <c r="BE10" s="12">
        <f>Calc_Financing_Ops!BE19</f>
        <v>154967.34401442218</v>
      </c>
      <c r="BF10" s="12">
        <f>Calc_Financing_Ops!BF19</f>
        <v>129910.44630574412</v>
      </c>
      <c r="BG10" s="12">
        <f>Calc_Financing_Ops!BG19</f>
        <v>104549.97464405706</v>
      </c>
      <c r="BH10" s="12">
        <f>Calc_Financing_Ops!BH19</f>
        <v>78882.251114161118</v>
      </c>
      <c r="BI10" s="12">
        <f>Calc_Financing_Ops!BI19</f>
        <v>52903.553241499118</v>
      </c>
      <c r="BJ10" s="12">
        <f>Calc_Financing_Ops!BJ19</f>
        <v>26610.11345230295</v>
      </c>
      <c r="BK10" s="12">
        <f>Calc_Financing_Ops!BK19</f>
        <v>0</v>
      </c>
      <c r="BL10" s="12">
        <f>Calc_Financing_Ops!BL19</f>
        <v>0</v>
      </c>
      <c r="BM10" s="12">
        <f>Calc_Financing_Ops!BM19</f>
        <v>0</v>
      </c>
      <c r="BN10" s="12">
        <f>Calc_Financing_Ops!BN19</f>
        <v>0</v>
      </c>
      <c r="BO10" s="12">
        <f>Calc_Financing_Ops!BO19</f>
        <v>0</v>
      </c>
      <c r="BP10" s="12">
        <f>Calc_Financing_Ops!BP19</f>
        <v>0</v>
      </c>
      <c r="BQ10" s="12">
        <f>Calc_Financing_Ops!BQ19</f>
        <v>0</v>
      </c>
      <c r="BR10" s="12">
        <f>Calc_Financing_Ops!BR19</f>
        <v>0</v>
      </c>
      <c r="BS10" s="12">
        <f>Calc_Financing_Ops!BS19</f>
        <v>0</v>
      </c>
      <c r="BT10" s="12">
        <f>Calc_Financing_Ops!BT19</f>
        <v>0</v>
      </c>
      <c r="BU10" s="12">
        <f>Calc_Financing_Ops!BU19</f>
        <v>0</v>
      </c>
      <c r="BV10" s="12">
        <f>Calc_Financing_Ops!BV19</f>
        <v>0</v>
      </c>
      <c r="BW10" s="12">
        <f>Calc_Financing_Ops!BW19</f>
        <v>0</v>
      </c>
      <c r="BX10" s="12">
        <f>Calc_Financing_Ops!BX19</f>
        <v>0</v>
      </c>
      <c r="BY10" s="12">
        <f>Calc_Financing_Ops!BY19</f>
        <v>0</v>
      </c>
      <c r="BZ10" s="12">
        <f>Calc_Financing_Ops!BZ19</f>
        <v>0</v>
      </c>
      <c r="CA10" s="12">
        <f>Calc_Financing_Ops!CA19</f>
        <v>0</v>
      </c>
      <c r="CB10" s="12">
        <f>Calc_Financing_Ops!CB19</f>
        <v>0</v>
      </c>
      <c r="CC10" s="12">
        <f>Calc_Financing_Ops!CC19</f>
        <v>0</v>
      </c>
      <c r="CD10" s="12">
        <f>Calc_Financing_Ops!CD19</f>
        <v>0</v>
      </c>
    </row>
    <row r="11" spans="1:82" x14ac:dyDescent="0.45">
      <c r="A11" t="s">
        <v>253</v>
      </c>
      <c r="C11" s="18">
        <f t="shared" ref="C11:AH11" si="3">C9-C10</f>
        <v>183396.74440378486</v>
      </c>
      <c r="D11" s="18">
        <f t="shared" si="3"/>
        <v>194737.03254594235</v>
      </c>
      <c r="E11" s="18">
        <f t="shared" si="3"/>
        <v>206235.80639059097</v>
      </c>
      <c r="F11" s="18">
        <f t="shared" si="3"/>
        <v>217894.9860529732</v>
      </c>
      <c r="G11" s="18">
        <f t="shared" si="3"/>
        <v>229716.51491126488</v>
      </c>
      <c r="H11" s="18">
        <f t="shared" si="3"/>
        <v>241702.35988841671</v>
      </c>
      <c r="I11" s="18">
        <f t="shared" si="3"/>
        <v>253854.51173740695</v>
      </c>
      <c r="J11" s="18">
        <f t="shared" si="3"/>
        <v>266174.98532995244</v>
      </c>
      <c r="K11" s="18">
        <f t="shared" si="3"/>
        <v>278665.81994871527</v>
      </c>
      <c r="L11" s="18">
        <f t="shared" si="3"/>
        <v>291329.07958305173</v>
      </c>
      <c r="M11" s="18">
        <f t="shared" si="3"/>
        <v>304166.85322834237</v>
      </c>
      <c r="N11" s="18">
        <f t="shared" si="3"/>
        <v>317181.25518895115</v>
      </c>
      <c r="O11" s="18">
        <f t="shared" si="3"/>
        <v>330374.42538485175</v>
      </c>
      <c r="P11" s="18">
        <f t="shared" si="3"/>
        <v>343748.52966197196</v>
      </c>
      <c r="Q11" s="18">
        <f t="shared" si="3"/>
        <v>357305.76010629581</v>
      </c>
      <c r="R11" s="18">
        <f t="shared" si="3"/>
        <v>371048.3353617721</v>
      </c>
      <c r="S11" s="18">
        <f t="shared" si="3"/>
        <v>384978.5009520743</v>
      </c>
      <c r="T11" s="18">
        <f t="shared" si="3"/>
        <v>399098.52960625896</v>
      </c>
      <c r="U11" s="18">
        <f t="shared" si="3"/>
        <v>413410.72158836923</v>
      </c>
      <c r="V11" s="18">
        <f t="shared" si="3"/>
        <v>377917.40503103216</v>
      </c>
      <c r="W11" s="18">
        <f t="shared" si="3"/>
        <v>392765.16704232723</v>
      </c>
      <c r="X11" s="18">
        <f t="shared" si="3"/>
        <v>407813.90915106691</v>
      </c>
      <c r="Y11" s="18">
        <f t="shared" si="3"/>
        <v>423066.06630843168</v>
      </c>
      <c r="Z11" s="18">
        <f t="shared" si="3"/>
        <v>438524.10296597227</v>
      </c>
      <c r="AA11" s="18">
        <f t="shared" si="3"/>
        <v>454190.51343301765</v>
      </c>
      <c r="AB11" s="18">
        <f t="shared" si="3"/>
        <v>470067.82223841373</v>
      </c>
      <c r="AC11" s="18">
        <f t="shared" si="3"/>
        <v>486158.58449664444</v>
      </c>
      <c r="AD11" s="18">
        <f t="shared" si="3"/>
        <v>502465.38627838821</v>
      </c>
      <c r="AE11" s="18">
        <f t="shared" si="3"/>
        <v>518990.84498556482</v>
      </c>
      <c r="AF11" s="18">
        <f t="shared" si="3"/>
        <v>535737.60973092448</v>
      </c>
      <c r="AG11" s="18">
        <f t="shared" si="3"/>
        <v>552708.36172223743</v>
      </c>
      <c r="AH11" s="18">
        <f t="shared" si="3"/>
        <v>569905.81465113757</v>
      </c>
      <c r="AI11" s="18">
        <f t="shared" ref="AI11:BN11" si="4">AI9-AI10</f>
        <v>587332.7150866763</v>
      </c>
      <c r="AJ11" s="18">
        <f t="shared" si="4"/>
        <v>604991.8428736456</v>
      </c>
      <c r="AK11" s="18">
        <f t="shared" si="4"/>
        <v>622886.01153572625</v>
      </c>
      <c r="AL11" s="18">
        <f t="shared" si="4"/>
        <v>641018.06868352054</v>
      </c>
      <c r="AM11" s="18">
        <f t="shared" si="4"/>
        <v>659390.89642752858</v>
      </c>
      <c r="AN11" s="18">
        <f t="shared" si="4"/>
        <v>678007.41179612745</v>
      </c>
      <c r="AO11" s="18">
        <f t="shared" si="4"/>
        <v>696870.5671586151</v>
      </c>
      <c r="AP11" s="18">
        <f t="shared" si="4"/>
        <v>665983.35065337899</v>
      </c>
      <c r="AQ11" s="18">
        <f t="shared" si="4"/>
        <v>686899.26739048329</v>
      </c>
      <c r="AR11" s="18">
        <f t="shared" si="4"/>
        <v>708068.58850344107</v>
      </c>
      <c r="AS11" s="18">
        <f t="shared" si="4"/>
        <v>729494.38408372877</v>
      </c>
      <c r="AT11" s="18">
        <f t="shared" si="4"/>
        <v>751179.76141816238</v>
      </c>
      <c r="AU11" s="18">
        <f t="shared" si="4"/>
        <v>773127.86543953232</v>
      </c>
      <c r="AV11" s="18">
        <f t="shared" si="4"/>
        <v>795341.87918269972</v>
      </c>
      <c r="AW11" s="18">
        <f t="shared" si="4"/>
        <v>817825.02424621698</v>
      </c>
      <c r="AX11" s="18">
        <f t="shared" si="4"/>
        <v>840580.56125954213</v>
      </c>
      <c r="AY11" s="18">
        <f t="shared" si="4"/>
        <v>863611.79035591357</v>
      </c>
      <c r="AZ11" s="18">
        <f t="shared" si="4"/>
        <v>886922.05165095231</v>
      </c>
      <c r="BA11" s="18">
        <f t="shared" si="4"/>
        <v>910514.72572706582</v>
      </c>
      <c r="BB11" s="18">
        <f t="shared" si="4"/>
        <v>934393.23412371671</v>
      </c>
      <c r="BC11" s="18">
        <f t="shared" si="4"/>
        <v>958561.03983363474</v>
      </c>
      <c r="BD11" s="18">
        <f t="shared" si="4"/>
        <v>983021.64780503826</v>
      </c>
      <c r="BE11" s="18">
        <f t="shared" si="4"/>
        <v>1007778.6054499416</v>
      </c>
      <c r="BF11" s="18">
        <f t="shared" si="4"/>
        <v>1032835.5031586196</v>
      </c>
      <c r="BG11" s="18">
        <f t="shared" si="4"/>
        <v>1058195.9748203068</v>
      </c>
      <c r="BH11" s="18">
        <f t="shared" si="4"/>
        <v>1083863.6983502025</v>
      </c>
      <c r="BI11" s="18">
        <f t="shared" si="4"/>
        <v>1109842.3962228647</v>
      </c>
      <c r="BJ11" s="18">
        <f t="shared" si="4"/>
        <v>1136135.8360120608</v>
      </c>
      <c r="BK11" s="18">
        <f t="shared" si="4"/>
        <v>1162745.9494643637</v>
      </c>
      <c r="BL11" s="18">
        <f t="shared" si="4"/>
        <v>1162745.9494643637</v>
      </c>
      <c r="BM11" s="18">
        <f t="shared" si="4"/>
        <v>1162745.9494643637</v>
      </c>
      <c r="BN11" s="18">
        <f t="shared" si="4"/>
        <v>1162745.9494643637</v>
      </c>
      <c r="BO11" s="18">
        <f t="shared" ref="BO11:CD11" si="5">BO9-BO10</f>
        <v>1162745.9494643637</v>
      </c>
      <c r="BP11" s="18">
        <f t="shared" si="5"/>
        <v>1162745.9494643637</v>
      </c>
      <c r="BQ11" s="18">
        <f t="shared" si="5"/>
        <v>1162745.9494643637</v>
      </c>
      <c r="BR11" s="18">
        <f t="shared" si="5"/>
        <v>1162745.9494643637</v>
      </c>
      <c r="BS11" s="18">
        <f t="shared" si="5"/>
        <v>1162745.9494643637</v>
      </c>
      <c r="BT11" s="18">
        <f t="shared" si="5"/>
        <v>1162745.9494643637</v>
      </c>
      <c r="BU11" s="18">
        <f t="shared" si="5"/>
        <v>1162745.9494643637</v>
      </c>
      <c r="BV11" s="18">
        <f t="shared" si="5"/>
        <v>1162745.9494643637</v>
      </c>
      <c r="BW11" s="18">
        <f t="shared" si="5"/>
        <v>1162745.9494643637</v>
      </c>
      <c r="BX11" s="18">
        <f t="shared" si="5"/>
        <v>1162745.9494643637</v>
      </c>
      <c r="BY11" s="18">
        <f t="shared" si="5"/>
        <v>1162745.9494643637</v>
      </c>
      <c r="BZ11" s="18">
        <f t="shared" si="5"/>
        <v>1162745.9494643637</v>
      </c>
      <c r="CA11" s="18">
        <f t="shared" si="5"/>
        <v>1162745.9494643637</v>
      </c>
      <c r="CB11" s="18">
        <f t="shared" si="5"/>
        <v>1162745.9494643637</v>
      </c>
      <c r="CC11" s="18">
        <f t="shared" si="5"/>
        <v>1162745.9494643637</v>
      </c>
      <c r="CD11" s="18">
        <f t="shared" si="5"/>
        <v>1162745.9494643637</v>
      </c>
    </row>
    <row r="12" spans="1:82" x14ac:dyDescent="0.45">
      <c r="A12" t="s">
        <v>254</v>
      </c>
      <c r="C12" s="12">
        <f>Calc_Tax!C17</f>
        <v>45849.186100946215</v>
      </c>
      <c r="D12" s="12">
        <f>Calc_Tax!D17</f>
        <v>48684.258136485587</v>
      </c>
      <c r="E12" s="12">
        <f>Calc_Tax!E17</f>
        <v>51558.951597647741</v>
      </c>
      <c r="F12" s="12">
        <f>Calc_Tax!F17</f>
        <v>54473.746513243299</v>
      </c>
      <c r="G12" s="12">
        <f>Calc_Tax!G17</f>
        <v>57429.12872781622</v>
      </c>
      <c r="H12" s="12">
        <f>Calc_Tax!H17</f>
        <v>60425.589972104179</v>
      </c>
      <c r="I12" s="12">
        <f>Calc_Tax!I17</f>
        <v>63463.627934351738</v>
      </c>
      <c r="J12" s="12">
        <f>Calc_Tax!J17</f>
        <v>66543.74633248811</v>
      </c>
      <c r="K12" s="12">
        <f>Calc_Tax!K17</f>
        <v>69666.454987178819</v>
      </c>
      <c r="L12" s="12">
        <f>Calc_Tax!L17</f>
        <v>72832.269895762933</v>
      </c>
      <c r="M12" s="12">
        <f>Calc_Tax!M17</f>
        <v>76041.713307085593</v>
      </c>
      <c r="N12" s="12">
        <f>Calc_Tax!N17</f>
        <v>79295.313797237788</v>
      </c>
      <c r="O12" s="12">
        <f>Calc_Tax!O17</f>
        <v>82593.606346212939</v>
      </c>
      <c r="P12" s="12">
        <f>Calc_Tax!P17</f>
        <v>85937.13241549299</v>
      </c>
      <c r="Q12" s="12">
        <f>Calc_Tax!Q17</f>
        <v>89326.440026573953</v>
      </c>
      <c r="R12" s="12">
        <f>Calc_Tax!R17</f>
        <v>92762.083840443025</v>
      </c>
      <c r="S12" s="12">
        <f>Calc_Tax!S17</f>
        <v>96244.625238018576</v>
      </c>
      <c r="T12" s="12">
        <f>Calc_Tax!T17</f>
        <v>99774.632401564741</v>
      </c>
      <c r="U12" s="12">
        <f>Calc_Tax!U17</f>
        <v>103352.68039709231</v>
      </c>
      <c r="V12" s="12">
        <f>Calc_Tax!V17</f>
        <v>94479.35125775804</v>
      </c>
      <c r="W12" s="12">
        <f>Calc_Tax!W17</f>
        <v>98191.291760581807</v>
      </c>
      <c r="X12" s="12">
        <f>Calc_Tax!X17</f>
        <v>101953.47728776673</v>
      </c>
      <c r="Y12" s="12">
        <f>Calc_Tax!Y17</f>
        <v>105766.51657710792</v>
      </c>
      <c r="Z12" s="12">
        <f>Calc_Tax!Z17</f>
        <v>109631.02574149307</v>
      </c>
      <c r="AA12" s="12">
        <f>Calc_Tax!AA17</f>
        <v>113547.62835825441</v>
      </c>
      <c r="AB12" s="12">
        <f>Calc_Tax!AB17</f>
        <v>117516.95555960343</v>
      </c>
      <c r="AC12" s="12">
        <f>Calc_Tax!AC17</f>
        <v>121539.64612416111</v>
      </c>
      <c r="AD12" s="12">
        <f>Calc_Tax!AD17</f>
        <v>125616.34656959705</v>
      </c>
      <c r="AE12" s="12">
        <f>Calc_Tax!AE17</f>
        <v>129747.71124639121</v>
      </c>
      <c r="AF12" s="12">
        <f>Calc_Tax!AF17</f>
        <v>133934.40243273112</v>
      </c>
      <c r="AG12" s="12">
        <f>Calc_Tax!AG17</f>
        <v>138177.09043055936</v>
      </c>
      <c r="AH12" s="12">
        <f>Calc_Tax!AH17</f>
        <v>142476.45366278439</v>
      </c>
      <c r="AI12" s="12">
        <f>Calc_Tax!AI17</f>
        <v>146833.17877166907</v>
      </c>
      <c r="AJ12" s="12">
        <f>Calc_Tax!AJ17</f>
        <v>151247.9607184114</v>
      </c>
      <c r="AK12" s="12">
        <f>Calc_Tax!AK17</f>
        <v>155721.50288393156</v>
      </c>
      <c r="AL12" s="12">
        <f>Calc_Tax!AL17</f>
        <v>160254.51717088014</v>
      </c>
      <c r="AM12" s="12">
        <f>Calc_Tax!AM17</f>
        <v>164847.72410688215</v>
      </c>
      <c r="AN12" s="12">
        <f>Calc_Tax!AN17</f>
        <v>169501.85294903186</v>
      </c>
      <c r="AO12" s="12">
        <f>Calc_Tax!AO17</f>
        <v>174217.64178965378</v>
      </c>
      <c r="AP12" s="12">
        <f>Calc_Tax!AP17</f>
        <v>166495.83766334475</v>
      </c>
      <c r="AQ12" s="12">
        <f>Calc_Tax!AQ17</f>
        <v>171724.81684762082</v>
      </c>
      <c r="AR12" s="12">
        <f>Calc_Tax!AR17</f>
        <v>177017.14712586027</v>
      </c>
      <c r="AS12" s="12">
        <f>Calc_Tax!AS17</f>
        <v>182373.59602093219</v>
      </c>
      <c r="AT12" s="12">
        <f>Calc_Tax!AT17</f>
        <v>187794.94035454059</v>
      </c>
      <c r="AU12" s="12">
        <f>Calc_Tax!AU17</f>
        <v>193281.96635988308</v>
      </c>
      <c r="AV12" s="12">
        <f>Calc_Tax!AV17</f>
        <v>198835.46979567493</v>
      </c>
      <c r="AW12" s="12">
        <f>Calc_Tax!AW17</f>
        <v>204456.25606155425</v>
      </c>
      <c r="AX12" s="12">
        <f>Calc_Tax!AX17</f>
        <v>210145.14031488553</v>
      </c>
      <c r="AY12" s="12">
        <f>Calc_Tax!AY17</f>
        <v>215902.94758897839</v>
      </c>
      <c r="AZ12" s="12">
        <f>Calc_Tax!AZ17</f>
        <v>221730.51291273808</v>
      </c>
      <c r="BA12" s="12">
        <f>Calc_Tax!BA17</f>
        <v>227628.68143176645</v>
      </c>
      <c r="BB12" s="12">
        <f>Calc_Tax!BB17</f>
        <v>233598.30853092918</v>
      </c>
      <c r="BC12" s="12">
        <f>Calc_Tax!BC17</f>
        <v>239640.25995840869</v>
      </c>
      <c r="BD12" s="12">
        <f>Calc_Tax!BD17</f>
        <v>245755.41195125956</v>
      </c>
      <c r="BE12" s="12">
        <f>Calc_Tax!BE17</f>
        <v>251944.6513624854</v>
      </c>
      <c r="BF12" s="12">
        <f>Calc_Tax!BF17</f>
        <v>258208.87578965491</v>
      </c>
      <c r="BG12" s="12">
        <f>Calc_Tax!BG17</f>
        <v>264548.99370507669</v>
      </c>
      <c r="BH12" s="12">
        <f>Calc_Tax!BH17</f>
        <v>270965.92458755063</v>
      </c>
      <c r="BI12" s="12">
        <f>Calc_Tax!BI17</f>
        <v>277460.59905571619</v>
      </c>
      <c r="BJ12" s="12">
        <f>Calc_Tax!BJ17</f>
        <v>284033.95900301519</v>
      </c>
      <c r="BK12" s="12">
        <f>Calc_Tax!BK17</f>
        <v>290686.48736609094</v>
      </c>
      <c r="BL12" s="12">
        <f>Calc_Tax!BL17</f>
        <v>290686.48736609094</v>
      </c>
      <c r="BM12" s="12">
        <f>Calc_Tax!BM17</f>
        <v>290686.48736609094</v>
      </c>
      <c r="BN12" s="12">
        <f>Calc_Tax!BN17</f>
        <v>290686.48736609094</v>
      </c>
      <c r="BO12" s="12">
        <f>Calc_Tax!BO17</f>
        <v>290686.48736609094</v>
      </c>
      <c r="BP12" s="12">
        <f>Calc_Tax!BP17</f>
        <v>290686.48736609094</v>
      </c>
      <c r="BQ12" s="12">
        <f>Calc_Tax!BQ17</f>
        <v>290686.48736609094</v>
      </c>
      <c r="BR12" s="12">
        <f>Calc_Tax!BR17</f>
        <v>290686.48736609094</v>
      </c>
      <c r="BS12" s="12">
        <f>Calc_Tax!BS17</f>
        <v>290686.48736609094</v>
      </c>
      <c r="BT12" s="12">
        <f>Calc_Tax!BT17</f>
        <v>290686.48736609094</v>
      </c>
      <c r="BU12" s="12">
        <f>Calc_Tax!BU17</f>
        <v>290686.48736609094</v>
      </c>
      <c r="BV12" s="12">
        <f>Calc_Tax!BV17</f>
        <v>290686.48736609094</v>
      </c>
      <c r="BW12" s="12">
        <f>Calc_Tax!BW17</f>
        <v>290686.48736609094</v>
      </c>
      <c r="BX12" s="12">
        <f>Calc_Tax!BX17</f>
        <v>290686.48736609094</v>
      </c>
      <c r="BY12" s="12">
        <f>Calc_Tax!BY17</f>
        <v>290686.48736609094</v>
      </c>
      <c r="BZ12" s="12">
        <f>Calc_Tax!BZ17</f>
        <v>290686.48736609094</v>
      </c>
      <c r="CA12" s="12">
        <f>Calc_Tax!CA17</f>
        <v>290686.48736609094</v>
      </c>
      <c r="CB12" s="12">
        <f>Calc_Tax!CB17</f>
        <v>290686.48736609094</v>
      </c>
      <c r="CC12" s="12">
        <f>Calc_Tax!CC17</f>
        <v>290686.48736609094</v>
      </c>
      <c r="CD12" s="12">
        <f>Calc_Tax!CD17</f>
        <v>290686.48736609094</v>
      </c>
    </row>
    <row r="13" spans="1:82" x14ac:dyDescent="0.45">
      <c r="A13" t="s">
        <v>255</v>
      </c>
      <c r="C13" s="12">
        <f>Calc_Financing_Ops!C29</f>
        <v>0</v>
      </c>
      <c r="D13" s="12">
        <f>Calc_Financing_Ops!D29</f>
        <v>0</v>
      </c>
      <c r="E13" s="12">
        <f>Calc_Financing_Ops!E29</f>
        <v>0</v>
      </c>
      <c r="F13" s="12">
        <f>Calc_Financing_Ops!F29</f>
        <v>0</v>
      </c>
      <c r="G13" s="12">
        <f>Calc_Financing_Ops!G29</f>
        <v>0</v>
      </c>
      <c r="H13" s="12">
        <f>Calc_Financing_Ops!H29</f>
        <v>0</v>
      </c>
      <c r="I13" s="12">
        <f>Calc_Financing_Ops!I29</f>
        <v>0</v>
      </c>
      <c r="J13" s="12">
        <f>Calc_Financing_Ops!J29</f>
        <v>0</v>
      </c>
      <c r="K13" s="12">
        <f>Calc_Financing_Ops!K29</f>
        <v>0</v>
      </c>
      <c r="L13" s="12">
        <f>Calc_Financing_Ops!L29</f>
        <v>0</v>
      </c>
      <c r="M13" s="12">
        <f>Calc_Financing_Ops!M29</f>
        <v>0</v>
      </c>
      <c r="N13" s="12">
        <f>Calc_Financing_Ops!N29</f>
        <v>0</v>
      </c>
      <c r="O13" s="12">
        <f>Calc_Financing_Ops!O29</f>
        <v>0</v>
      </c>
      <c r="P13" s="12">
        <f>Calc_Financing_Ops!P29</f>
        <v>0</v>
      </c>
      <c r="Q13" s="12">
        <f>Calc_Financing_Ops!Q29</f>
        <v>0</v>
      </c>
      <c r="R13" s="12">
        <f>Calc_Financing_Ops!R29</f>
        <v>0</v>
      </c>
      <c r="S13" s="12">
        <f>Calc_Financing_Ops!S29</f>
        <v>0</v>
      </c>
      <c r="T13" s="12">
        <f>Calc_Financing_Ops!T29</f>
        <v>0</v>
      </c>
      <c r="U13" s="12">
        <f>Calc_Financing_Ops!U29</f>
        <v>0</v>
      </c>
      <c r="V13" s="12">
        <f>Calc_Financing_Ops!V29</f>
        <v>0</v>
      </c>
      <c r="W13" s="12">
        <f>Calc_Financing_Ops!W29</f>
        <v>0</v>
      </c>
      <c r="X13" s="12">
        <f>Calc_Financing_Ops!X29</f>
        <v>0</v>
      </c>
      <c r="Y13" s="12">
        <f>Calc_Financing_Ops!Y29</f>
        <v>0</v>
      </c>
      <c r="Z13" s="12">
        <f>Calc_Financing_Ops!Z29</f>
        <v>0</v>
      </c>
      <c r="AA13" s="12">
        <f>Calc_Financing_Ops!AA29</f>
        <v>0</v>
      </c>
      <c r="AB13" s="12">
        <f>Calc_Financing_Ops!AB29</f>
        <v>0</v>
      </c>
      <c r="AC13" s="12">
        <f>Calc_Financing_Ops!AC29</f>
        <v>0</v>
      </c>
      <c r="AD13" s="12">
        <f>Calc_Financing_Ops!AD29</f>
        <v>0</v>
      </c>
      <c r="AE13" s="12">
        <f>Calc_Financing_Ops!AE29</f>
        <v>0</v>
      </c>
      <c r="AF13" s="12">
        <f>Calc_Financing_Ops!AF29</f>
        <v>0</v>
      </c>
      <c r="AG13" s="12">
        <f>Calc_Financing_Ops!AG29</f>
        <v>0</v>
      </c>
      <c r="AH13" s="12">
        <f>Calc_Financing_Ops!AH29</f>
        <v>0</v>
      </c>
      <c r="AI13" s="12">
        <f>Calc_Financing_Ops!AI29</f>
        <v>0</v>
      </c>
      <c r="AJ13" s="12">
        <f>Calc_Financing_Ops!AJ29</f>
        <v>0</v>
      </c>
      <c r="AK13" s="12">
        <f>Calc_Financing_Ops!AK29</f>
        <v>0</v>
      </c>
      <c r="AL13" s="12">
        <f>Calc_Financing_Ops!AL29</f>
        <v>0</v>
      </c>
      <c r="AM13" s="12">
        <f>Calc_Financing_Ops!AM29</f>
        <v>0</v>
      </c>
      <c r="AN13" s="12">
        <f>Calc_Financing_Ops!AN29</f>
        <v>0</v>
      </c>
      <c r="AO13" s="12">
        <f>Calc_Financing_Ops!AO29</f>
        <v>0</v>
      </c>
      <c r="AP13" s="12">
        <f>Calc_Financing_Ops!AP29</f>
        <v>0</v>
      </c>
      <c r="AQ13" s="12">
        <f>Calc_Financing_Ops!AQ29</f>
        <v>0</v>
      </c>
      <c r="AR13" s="12">
        <f>Calc_Financing_Ops!AR29</f>
        <v>0</v>
      </c>
      <c r="AS13" s="12">
        <f>Calc_Financing_Ops!AS29</f>
        <v>0</v>
      </c>
      <c r="AT13" s="12">
        <f>Calc_Financing_Ops!AT29</f>
        <v>0</v>
      </c>
      <c r="AU13" s="12">
        <f>Calc_Financing_Ops!AU29</f>
        <v>0</v>
      </c>
      <c r="AV13" s="12">
        <f>Calc_Financing_Ops!AV29</f>
        <v>0</v>
      </c>
      <c r="AW13" s="12">
        <f>Calc_Financing_Ops!AW29</f>
        <v>0</v>
      </c>
      <c r="AX13" s="12">
        <f>Calc_Financing_Ops!AX29</f>
        <v>0</v>
      </c>
      <c r="AY13" s="12">
        <f>Calc_Financing_Ops!AY29</f>
        <v>0</v>
      </c>
      <c r="AZ13" s="12">
        <f>Calc_Financing_Ops!AZ29</f>
        <v>0</v>
      </c>
      <c r="BA13" s="12">
        <f>Calc_Financing_Ops!BA29</f>
        <v>0</v>
      </c>
      <c r="BB13" s="12">
        <f>Calc_Financing_Ops!BB29</f>
        <v>0</v>
      </c>
      <c r="BC13" s="12">
        <f>Calc_Financing_Ops!BC29</f>
        <v>0</v>
      </c>
      <c r="BD13" s="12">
        <f>Calc_Financing_Ops!BD29</f>
        <v>0</v>
      </c>
      <c r="BE13" s="12">
        <f>Calc_Financing_Ops!BE29</f>
        <v>0</v>
      </c>
      <c r="BF13" s="12">
        <f>Calc_Financing_Ops!BF29</f>
        <v>0</v>
      </c>
      <c r="BG13" s="12">
        <f>Calc_Financing_Ops!BG29</f>
        <v>0</v>
      </c>
      <c r="BH13" s="12">
        <f>Calc_Financing_Ops!BH29</f>
        <v>0</v>
      </c>
      <c r="BI13" s="12">
        <f>Calc_Financing_Ops!BI29</f>
        <v>0</v>
      </c>
      <c r="BJ13" s="12">
        <f>Calc_Financing_Ops!BJ29</f>
        <v>0</v>
      </c>
      <c r="BK13" s="12">
        <f>Calc_Financing_Ops!BK29</f>
        <v>0</v>
      </c>
      <c r="BL13" s="12">
        <f>Calc_Financing_Ops!BL29</f>
        <v>0</v>
      </c>
      <c r="BM13" s="12">
        <f>Calc_Financing_Ops!BM29</f>
        <v>0</v>
      </c>
      <c r="BN13" s="12">
        <f>Calc_Financing_Ops!BN29</f>
        <v>0</v>
      </c>
      <c r="BO13" s="12">
        <f>Calc_Financing_Ops!BO29</f>
        <v>0</v>
      </c>
      <c r="BP13" s="12">
        <f>Calc_Financing_Ops!BP29</f>
        <v>0</v>
      </c>
      <c r="BQ13" s="12">
        <f>Calc_Financing_Ops!BQ29</f>
        <v>0</v>
      </c>
      <c r="BR13" s="12">
        <f>Calc_Financing_Ops!BR29</f>
        <v>0</v>
      </c>
      <c r="BS13" s="12">
        <f>Calc_Financing_Ops!BS29</f>
        <v>0</v>
      </c>
      <c r="BT13" s="12">
        <f>Calc_Financing_Ops!BT29</f>
        <v>0</v>
      </c>
      <c r="BU13" s="12">
        <f>Calc_Financing_Ops!BU29</f>
        <v>0</v>
      </c>
      <c r="BV13" s="12">
        <f>Calc_Financing_Ops!BV29</f>
        <v>0</v>
      </c>
      <c r="BW13" s="12">
        <f>Calc_Financing_Ops!BW29</f>
        <v>0</v>
      </c>
      <c r="BX13" s="12">
        <f>Calc_Financing_Ops!BX29</f>
        <v>0</v>
      </c>
      <c r="BY13" s="12">
        <f>Calc_Financing_Ops!BY29</f>
        <v>0</v>
      </c>
      <c r="BZ13" s="12">
        <f>Calc_Financing_Ops!BZ29</f>
        <v>0</v>
      </c>
      <c r="CA13" s="12">
        <f>Calc_Financing_Ops!CA29</f>
        <v>0</v>
      </c>
      <c r="CB13" s="12">
        <f>Calc_Financing_Ops!CB29</f>
        <v>0</v>
      </c>
      <c r="CC13" s="12">
        <f>Calc_Financing_Ops!CC29</f>
        <v>0</v>
      </c>
      <c r="CD13" s="12">
        <f>Calc_Financing_Ops!CD29</f>
        <v>0</v>
      </c>
    </row>
    <row r="14" spans="1:82" x14ac:dyDescent="0.45">
      <c r="A14" t="s">
        <v>201</v>
      </c>
      <c r="C14" s="18">
        <f t="shared" ref="C14:AH14" si="6">C11-C12-C13</f>
        <v>137547.55830283865</v>
      </c>
      <c r="D14" s="18">
        <f t="shared" si="6"/>
        <v>146052.77440945676</v>
      </c>
      <c r="E14" s="18">
        <f t="shared" si="6"/>
        <v>154676.85479294322</v>
      </c>
      <c r="F14" s="18">
        <f t="shared" si="6"/>
        <v>163421.2395397299</v>
      </c>
      <c r="G14" s="18">
        <f t="shared" si="6"/>
        <v>172287.38618344866</v>
      </c>
      <c r="H14" s="18">
        <f t="shared" si="6"/>
        <v>181276.76991631254</v>
      </c>
      <c r="I14" s="18">
        <f t="shared" si="6"/>
        <v>190390.88380305521</v>
      </c>
      <c r="J14" s="18">
        <f t="shared" si="6"/>
        <v>199631.23899746433</v>
      </c>
      <c r="K14" s="18">
        <f t="shared" si="6"/>
        <v>208999.36496153646</v>
      </c>
      <c r="L14" s="18">
        <f t="shared" si="6"/>
        <v>218496.8096872888</v>
      </c>
      <c r="M14" s="18">
        <f t="shared" si="6"/>
        <v>228125.13992125678</v>
      </c>
      <c r="N14" s="18">
        <f t="shared" si="6"/>
        <v>237885.94139171336</v>
      </c>
      <c r="O14" s="18">
        <f t="shared" si="6"/>
        <v>247780.81903863882</v>
      </c>
      <c r="P14" s="18">
        <f t="shared" si="6"/>
        <v>257811.39724647897</v>
      </c>
      <c r="Q14" s="18">
        <f t="shared" si="6"/>
        <v>267979.32007972186</v>
      </c>
      <c r="R14" s="18">
        <f t="shared" si="6"/>
        <v>278286.25152132905</v>
      </c>
      <c r="S14" s="18">
        <f t="shared" si="6"/>
        <v>288733.87571405573</v>
      </c>
      <c r="T14" s="18">
        <f t="shared" si="6"/>
        <v>299323.89720469422</v>
      </c>
      <c r="U14" s="18">
        <f t="shared" si="6"/>
        <v>310058.04119127692</v>
      </c>
      <c r="V14" s="18">
        <f t="shared" si="6"/>
        <v>283438.05377327412</v>
      </c>
      <c r="W14" s="18">
        <f t="shared" si="6"/>
        <v>294573.87528174545</v>
      </c>
      <c r="X14" s="18">
        <f t="shared" si="6"/>
        <v>305860.43186330015</v>
      </c>
      <c r="Y14" s="18">
        <f t="shared" si="6"/>
        <v>317299.54973132373</v>
      </c>
      <c r="Z14" s="18">
        <f t="shared" si="6"/>
        <v>328893.07722447917</v>
      </c>
      <c r="AA14" s="18">
        <f t="shared" si="6"/>
        <v>340642.88507476321</v>
      </c>
      <c r="AB14" s="18">
        <f t="shared" si="6"/>
        <v>352550.86667881033</v>
      </c>
      <c r="AC14" s="18">
        <f t="shared" si="6"/>
        <v>364618.93837248336</v>
      </c>
      <c r="AD14" s="18">
        <f t="shared" si="6"/>
        <v>376849.03970879118</v>
      </c>
      <c r="AE14" s="18">
        <f t="shared" si="6"/>
        <v>389243.13373917365</v>
      </c>
      <c r="AF14" s="18">
        <f t="shared" si="6"/>
        <v>401803.20729819336</v>
      </c>
      <c r="AG14" s="18">
        <f t="shared" si="6"/>
        <v>414531.27129167807</v>
      </c>
      <c r="AH14" s="18">
        <f t="shared" si="6"/>
        <v>427429.36098835315</v>
      </c>
      <c r="AI14" s="18">
        <f t="shared" ref="AI14:BN14" si="7">AI11-AI12-AI13</f>
        <v>440499.53631500725</v>
      </c>
      <c r="AJ14" s="18">
        <f t="shared" si="7"/>
        <v>453743.88215523423</v>
      </c>
      <c r="AK14" s="18">
        <f t="shared" si="7"/>
        <v>467164.50865179469</v>
      </c>
      <c r="AL14" s="18">
        <f t="shared" si="7"/>
        <v>480763.55151264044</v>
      </c>
      <c r="AM14" s="18">
        <f t="shared" si="7"/>
        <v>494543.17232064647</v>
      </c>
      <c r="AN14" s="18">
        <f t="shared" si="7"/>
        <v>508505.55884709558</v>
      </c>
      <c r="AO14" s="18">
        <f t="shared" si="7"/>
        <v>522652.9253689613</v>
      </c>
      <c r="AP14" s="18">
        <f t="shared" si="7"/>
        <v>499487.51299003424</v>
      </c>
      <c r="AQ14" s="18">
        <f t="shared" si="7"/>
        <v>515174.45054286247</v>
      </c>
      <c r="AR14" s="18">
        <f t="shared" si="7"/>
        <v>531051.44137758086</v>
      </c>
      <c r="AS14" s="18">
        <f t="shared" si="7"/>
        <v>547120.78806279658</v>
      </c>
      <c r="AT14" s="18">
        <f t="shared" si="7"/>
        <v>563384.82106362178</v>
      </c>
      <c r="AU14" s="18">
        <f t="shared" si="7"/>
        <v>579845.89907964924</v>
      </c>
      <c r="AV14" s="18">
        <f t="shared" si="7"/>
        <v>596506.40938702482</v>
      </c>
      <c r="AW14" s="18">
        <f t="shared" si="7"/>
        <v>613368.7681846628</v>
      </c>
      <c r="AX14" s="18">
        <f t="shared" si="7"/>
        <v>630435.42094465659</v>
      </c>
      <c r="AY14" s="18">
        <f t="shared" si="7"/>
        <v>647708.84276693524</v>
      </c>
      <c r="AZ14" s="18">
        <f t="shared" si="7"/>
        <v>665191.53873821418</v>
      </c>
      <c r="BA14" s="18">
        <f t="shared" si="7"/>
        <v>682886.04429529933</v>
      </c>
      <c r="BB14" s="18">
        <f t="shared" si="7"/>
        <v>700794.92559278756</v>
      </c>
      <c r="BC14" s="18">
        <f t="shared" si="7"/>
        <v>718920.77987522609</v>
      </c>
      <c r="BD14" s="18">
        <f t="shared" si="7"/>
        <v>737266.23585377866</v>
      </c>
      <c r="BE14" s="18">
        <f t="shared" si="7"/>
        <v>755833.95408745622</v>
      </c>
      <c r="BF14" s="18">
        <f t="shared" si="7"/>
        <v>774626.62736896472</v>
      </c>
      <c r="BG14" s="18">
        <f t="shared" si="7"/>
        <v>793646.98111523013</v>
      </c>
      <c r="BH14" s="18">
        <f t="shared" si="7"/>
        <v>812897.77376265195</v>
      </c>
      <c r="BI14" s="18">
        <f t="shared" si="7"/>
        <v>832381.79716714856</v>
      </c>
      <c r="BJ14" s="18">
        <f t="shared" si="7"/>
        <v>852101.87700904557</v>
      </c>
      <c r="BK14" s="18">
        <f t="shared" si="7"/>
        <v>872059.46209827275</v>
      </c>
      <c r="BL14" s="18">
        <f t="shared" si="7"/>
        <v>872059.46209827275</v>
      </c>
      <c r="BM14" s="18">
        <f t="shared" si="7"/>
        <v>872059.46209827275</v>
      </c>
      <c r="BN14" s="18">
        <f t="shared" si="7"/>
        <v>872059.46209827275</v>
      </c>
      <c r="BO14" s="18">
        <f t="shared" ref="BO14:CD14" si="8">BO11-BO12-BO13</f>
        <v>872059.46209827275</v>
      </c>
      <c r="BP14" s="18">
        <f t="shared" si="8"/>
        <v>872059.46209827275</v>
      </c>
      <c r="BQ14" s="18">
        <f t="shared" si="8"/>
        <v>872059.46209827275</v>
      </c>
      <c r="BR14" s="18">
        <f t="shared" si="8"/>
        <v>872059.46209827275</v>
      </c>
      <c r="BS14" s="18">
        <f t="shared" si="8"/>
        <v>872059.46209827275</v>
      </c>
      <c r="BT14" s="18">
        <f t="shared" si="8"/>
        <v>872059.46209827275</v>
      </c>
      <c r="BU14" s="18">
        <f t="shared" si="8"/>
        <v>872059.46209827275</v>
      </c>
      <c r="BV14" s="18">
        <f t="shared" si="8"/>
        <v>872059.46209827275</v>
      </c>
      <c r="BW14" s="18">
        <f t="shared" si="8"/>
        <v>872059.46209827275</v>
      </c>
      <c r="BX14" s="18">
        <f t="shared" si="8"/>
        <v>872059.46209827275</v>
      </c>
      <c r="BY14" s="18">
        <f t="shared" si="8"/>
        <v>872059.46209827275</v>
      </c>
      <c r="BZ14" s="18">
        <f t="shared" si="8"/>
        <v>872059.46209827275</v>
      </c>
      <c r="CA14" s="18">
        <f t="shared" si="8"/>
        <v>872059.46209827275</v>
      </c>
      <c r="CB14" s="18">
        <f t="shared" si="8"/>
        <v>872059.46209827275</v>
      </c>
      <c r="CC14" s="18">
        <f t="shared" si="8"/>
        <v>872059.46209827275</v>
      </c>
      <c r="CD14" s="18">
        <f t="shared" si="8"/>
        <v>872059.46209827275</v>
      </c>
    </row>
    <row r="16" spans="1:82" x14ac:dyDescent="0.45">
      <c r="A16" t="s">
        <v>201</v>
      </c>
      <c r="C16" s="18">
        <f t="shared" ref="C16:AH16" si="9">C14</f>
        <v>137547.55830283865</v>
      </c>
      <c r="D16" s="18">
        <f t="shared" si="9"/>
        <v>146052.77440945676</v>
      </c>
      <c r="E16" s="18">
        <f t="shared" si="9"/>
        <v>154676.85479294322</v>
      </c>
      <c r="F16" s="18">
        <f t="shared" si="9"/>
        <v>163421.2395397299</v>
      </c>
      <c r="G16" s="18">
        <f t="shared" si="9"/>
        <v>172287.38618344866</v>
      </c>
      <c r="H16" s="18">
        <f t="shared" si="9"/>
        <v>181276.76991631254</v>
      </c>
      <c r="I16" s="18">
        <f t="shared" si="9"/>
        <v>190390.88380305521</v>
      </c>
      <c r="J16" s="18">
        <f t="shared" si="9"/>
        <v>199631.23899746433</v>
      </c>
      <c r="K16" s="18">
        <f t="shared" si="9"/>
        <v>208999.36496153646</v>
      </c>
      <c r="L16" s="18">
        <f t="shared" si="9"/>
        <v>218496.8096872888</v>
      </c>
      <c r="M16" s="18">
        <f t="shared" si="9"/>
        <v>228125.13992125678</v>
      </c>
      <c r="N16" s="18">
        <f t="shared" si="9"/>
        <v>237885.94139171336</v>
      </c>
      <c r="O16" s="18">
        <f t="shared" si="9"/>
        <v>247780.81903863882</v>
      </c>
      <c r="P16" s="18">
        <f t="shared" si="9"/>
        <v>257811.39724647897</v>
      </c>
      <c r="Q16" s="18">
        <f t="shared" si="9"/>
        <v>267979.32007972186</v>
      </c>
      <c r="R16" s="18">
        <f t="shared" si="9"/>
        <v>278286.25152132905</v>
      </c>
      <c r="S16" s="18">
        <f t="shared" si="9"/>
        <v>288733.87571405573</v>
      </c>
      <c r="T16" s="18">
        <f t="shared" si="9"/>
        <v>299323.89720469422</v>
      </c>
      <c r="U16" s="18">
        <f t="shared" si="9"/>
        <v>310058.04119127692</v>
      </c>
      <c r="V16" s="18">
        <f t="shared" si="9"/>
        <v>283438.05377327412</v>
      </c>
      <c r="W16" s="18">
        <f t="shared" si="9"/>
        <v>294573.87528174545</v>
      </c>
      <c r="X16" s="18">
        <f t="shared" si="9"/>
        <v>305860.43186330015</v>
      </c>
      <c r="Y16" s="18">
        <f t="shared" si="9"/>
        <v>317299.54973132373</v>
      </c>
      <c r="Z16" s="18">
        <f t="shared" si="9"/>
        <v>328893.07722447917</v>
      </c>
      <c r="AA16" s="18">
        <f t="shared" si="9"/>
        <v>340642.88507476321</v>
      </c>
      <c r="AB16" s="18">
        <f t="shared" si="9"/>
        <v>352550.86667881033</v>
      </c>
      <c r="AC16" s="18">
        <f t="shared" si="9"/>
        <v>364618.93837248336</v>
      </c>
      <c r="AD16" s="18">
        <f t="shared" si="9"/>
        <v>376849.03970879118</v>
      </c>
      <c r="AE16" s="18">
        <f t="shared" si="9"/>
        <v>389243.13373917365</v>
      </c>
      <c r="AF16" s="18">
        <f t="shared" si="9"/>
        <v>401803.20729819336</v>
      </c>
      <c r="AG16" s="18">
        <f t="shared" si="9"/>
        <v>414531.27129167807</v>
      </c>
      <c r="AH16" s="18">
        <f t="shared" si="9"/>
        <v>427429.36098835315</v>
      </c>
      <c r="AI16" s="18">
        <f t="shared" ref="AI16:BN16" si="10">AI14</f>
        <v>440499.53631500725</v>
      </c>
      <c r="AJ16" s="18">
        <f t="shared" si="10"/>
        <v>453743.88215523423</v>
      </c>
      <c r="AK16" s="18">
        <f t="shared" si="10"/>
        <v>467164.50865179469</v>
      </c>
      <c r="AL16" s="18">
        <f t="shared" si="10"/>
        <v>480763.55151264044</v>
      </c>
      <c r="AM16" s="18">
        <f t="shared" si="10"/>
        <v>494543.17232064647</v>
      </c>
      <c r="AN16" s="18">
        <f t="shared" si="10"/>
        <v>508505.55884709558</v>
      </c>
      <c r="AO16" s="18">
        <f t="shared" si="10"/>
        <v>522652.9253689613</v>
      </c>
      <c r="AP16" s="18">
        <f t="shared" si="10"/>
        <v>499487.51299003424</v>
      </c>
      <c r="AQ16" s="18">
        <f t="shared" si="10"/>
        <v>515174.45054286247</v>
      </c>
      <c r="AR16" s="18">
        <f t="shared" si="10"/>
        <v>531051.44137758086</v>
      </c>
      <c r="AS16" s="18">
        <f t="shared" si="10"/>
        <v>547120.78806279658</v>
      </c>
      <c r="AT16" s="18">
        <f t="shared" si="10"/>
        <v>563384.82106362178</v>
      </c>
      <c r="AU16" s="18">
        <f t="shared" si="10"/>
        <v>579845.89907964924</v>
      </c>
      <c r="AV16" s="18">
        <f t="shared" si="10"/>
        <v>596506.40938702482</v>
      </c>
      <c r="AW16" s="18">
        <f t="shared" si="10"/>
        <v>613368.7681846628</v>
      </c>
      <c r="AX16" s="18">
        <f t="shared" si="10"/>
        <v>630435.42094465659</v>
      </c>
      <c r="AY16" s="18">
        <f t="shared" si="10"/>
        <v>647708.84276693524</v>
      </c>
      <c r="AZ16" s="18">
        <f t="shared" si="10"/>
        <v>665191.53873821418</v>
      </c>
      <c r="BA16" s="18">
        <f t="shared" si="10"/>
        <v>682886.04429529933</v>
      </c>
      <c r="BB16" s="18">
        <f t="shared" si="10"/>
        <v>700794.92559278756</v>
      </c>
      <c r="BC16" s="18">
        <f t="shared" si="10"/>
        <v>718920.77987522609</v>
      </c>
      <c r="BD16" s="18">
        <f t="shared" si="10"/>
        <v>737266.23585377866</v>
      </c>
      <c r="BE16" s="18">
        <f t="shared" si="10"/>
        <v>755833.95408745622</v>
      </c>
      <c r="BF16" s="18">
        <f t="shared" si="10"/>
        <v>774626.62736896472</v>
      </c>
      <c r="BG16" s="18">
        <f t="shared" si="10"/>
        <v>793646.98111523013</v>
      </c>
      <c r="BH16" s="18">
        <f t="shared" si="10"/>
        <v>812897.77376265195</v>
      </c>
      <c r="BI16" s="18">
        <f t="shared" si="10"/>
        <v>832381.79716714856</v>
      </c>
      <c r="BJ16" s="18">
        <f t="shared" si="10"/>
        <v>852101.87700904557</v>
      </c>
      <c r="BK16" s="18">
        <f t="shared" si="10"/>
        <v>872059.46209827275</v>
      </c>
      <c r="BL16" s="18">
        <f t="shared" si="10"/>
        <v>872059.46209827275</v>
      </c>
      <c r="BM16" s="18">
        <f t="shared" si="10"/>
        <v>872059.46209827275</v>
      </c>
      <c r="BN16" s="18">
        <f t="shared" si="10"/>
        <v>872059.46209827275</v>
      </c>
      <c r="BO16" s="18">
        <f t="shared" ref="BO16:CD16" si="11">BO14</f>
        <v>872059.46209827275</v>
      </c>
      <c r="BP16" s="18">
        <f t="shared" si="11"/>
        <v>872059.46209827275</v>
      </c>
      <c r="BQ16" s="18">
        <f t="shared" si="11"/>
        <v>872059.46209827275</v>
      </c>
      <c r="BR16" s="18">
        <f t="shared" si="11"/>
        <v>872059.46209827275</v>
      </c>
      <c r="BS16" s="18">
        <f t="shared" si="11"/>
        <v>872059.46209827275</v>
      </c>
      <c r="BT16" s="18">
        <f t="shared" si="11"/>
        <v>872059.46209827275</v>
      </c>
      <c r="BU16" s="18">
        <f t="shared" si="11"/>
        <v>872059.46209827275</v>
      </c>
      <c r="BV16" s="18">
        <f t="shared" si="11"/>
        <v>872059.46209827275</v>
      </c>
      <c r="BW16" s="18">
        <f t="shared" si="11"/>
        <v>872059.46209827275</v>
      </c>
      <c r="BX16" s="18">
        <f t="shared" si="11"/>
        <v>872059.46209827275</v>
      </c>
      <c r="BY16" s="18">
        <f t="shared" si="11"/>
        <v>872059.46209827275</v>
      </c>
      <c r="BZ16" s="18">
        <f t="shared" si="11"/>
        <v>872059.46209827275</v>
      </c>
      <c r="CA16" s="18">
        <f t="shared" si="11"/>
        <v>872059.46209827275</v>
      </c>
      <c r="CB16" s="18">
        <f t="shared" si="11"/>
        <v>872059.46209827275</v>
      </c>
      <c r="CC16" s="18">
        <f t="shared" si="11"/>
        <v>872059.46209827275</v>
      </c>
      <c r="CD16" s="18">
        <f t="shared" si="11"/>
        <v>872059.46209827275</v>
      </c>
    </row>
    <row r="17" spans="1:82" x14ac:dyDescent="0.45">
      <c r="A17" t="s">
        <v>256</v>
      </c>
      <c r="C17" s="18">
        <f t="shared" ref="C17:AH17" si="12">C8</f>
        <v>1307410.3005356363</v>
      </c>
      <c r="D17" s="18">
        <f t="shared" si="12"/>
        <v>1308816.5505356363</v>
      </c>
      <c r="E17" s="18">
        <f t="shared" si="12"/>
        <v>1310222.8005356363</v>
      </c>
      <c r="F17" s="18">
        <f t="shared" si="12"/>
        <v>1311629.0505356363</v>
      </c>
      <c r="G17" s="18">
        <f t="shared" si="12"/>
        <v>1313035.3005356363</v>
      </c>
      <c r="H17" s="18">
        <f t="shared" si="12"/>
        <v>1314441.5505356363</v>
      </c>
      <c r="I17" s="18">
        <f t="shared" si="12"/>
        <v>1315847.8005356363</v>
      </c>
      <c r="J17" s="18">
        <f t="shared" si="12"/>
        <v>1317254.0505356363</v>
      </c>
      <c r="K17" s="18">
        <f t="shared" si="12"/>
        <v>1318660.3005356363</v>
      </c>
      <c r="L17" s="18">
        <f t="shared" si="12"/>
        <v>1320066.5505356363</v>
      </c>
      <c r="M17" s="18">
        <f t="shared" si="12"/>
        <v>1321472.8005356363</v>
      </c>
      <c r="N17" s="18">
        <f t="shared" si="12"/>
        <v>1322879.0505356363</v>
      </c>
      <c r="O17" s="18">
        <f t="shared" si="12"/>
        <v>1324285.3005356363</v>
      </c>
      <c r="P17" s="18">
        <f t="shared" si="12"/>
        <v>1325691.5505356363</v>
      </c>
      <c r="Q17" s="18">
        <f t="shared" si="12"/>
        <v>1327097.8005356363</v>
      </c>
      <c r="R17" s="18">
        <f t="shared" si="12"/>
        <v>1328504.0505356363</v>
      </c>
      <c r="S17" s="18">
        <f t="shared" si="12"/>
        <v>1329910.3005356363</v>
      </c>
      <c r="T17" s="18">
        <f t="shared" si="12"/>
        <v>1331316.5505356363</v>
      </c>
      <c r="U17" s="18">
        <f t="shared" si="12"/>
        <v>1332722.8005356363</v>
      </c>
      <c r="V17" s="18">
        <f t="shared" si="12"/>
        <v>1384129.0505356363</v>
      </c>
      <c r="W17" s="18">
        <f t="shared" si="12"/>
        <v>1385535.3005356363</v>
      </c>
      <c r="X17" s="18">
        <f t="shared" si="12"/>
        <v>1386941.5505356363</v>
      </c>
      <c r="Y17" s="18">
        <f t="shared" si="12"/>
        <v>1388347.8005356363</v>
      </c>
      <c r="Z17" s="18">
        <f t="shared" si="12"/>
        <v>1389754.0505356363</v>
      </c>
      <c r="AA17" s="18">
        <f t="shared" si="12"/>
        <v>1391160.3005356363</v>
      </c>
      <c r="AB17" s="18">
        <f t="shared" si="12"/>
        <v>1392566.5505356363</v>
      </c>
      <c r="AC17" s="18">
        <f t="shared" si="12"/>
        <v>1393972.8005356363</v>
      </c>
      <c r="AD17" s="18">
        <f t="shared" si="12"/>
        <v>1395379.0505356363</v>
      </c>
      <c r="AE17" s="18">
        <f t="shared" si="12"/>
        <v>1396785.3005356363</v>
      </c>
      <c r="AF17" s="18">
        <f t="shared" si="12"/>
        <v>1398191.5505356363</v>
      </c>
      <c r="AG17" s="18">
        <f t="shared" si="12"/>
        <v>1399597.8005356363</v>
      </c>
      <c r="AH17" s="18">
        <f t="shared" si="12"/>
        <v>1401004.0505356363</v>
      </c>
      <c r="AI17" s="18">
        <f t="shared" ref="AI17:BN17" si="13">AI8</f>
        <v>1402410.3005356363</v>
      </c>
      <c r="AJ17" s="18">
        <f t="shared" si="13"/>
        <v>1403816.5505356363</v>
      </c>
      <c r="AK17" s="18">
        <f t="shared" si="13"/>
        <v>1405222.8005356363</v>
      </c>
      <c r="AL17" s="18">
        <f t="shared" si="13"/>
        <v>1406629.0505356363</v>
      </c>
      <c r="AM17" s="18">
        <f t="shared" si="13"/>
        <v>1408035.3005356363</v>
      </c>
      <c r="AN17" s="18">
        <f t="shared" si="13"/>
        <v>1409441.5505356363</v>
      </c>
      <c r="AO17" s="18">
        <f t="shared" si="13"/>
        <v>1410847.8005356363</v>
      </c>
      <c r="AP17" s="18">
        <f t="shared" si="13"/>
        <v>1462254.0505356363</v>
      </c>
      <c r="AQ17" s="18">
        <f t="shared" si="13"/>
        <v>1462254.0505356363</v>
      </c>
      <c r="AR17" s="18">
        <f t="shared" si="13"/>
        <v>1462254.0505356363</v>
      </c>
      <c r="AS17" s="18">
        <f t="shared" si="13"/>
        <v>1462254.0505356363</v>
      </c>
      <c r="AT17" s="18">
        <f t="shared" si="13"/>
        <v>1462254.0505356363</v>
      </c>
      <c r="AU17" s="18">
        <f t="shared" si="13"/>
        <v>1462254.0505356363</v>
      </c>
      <c r="AV17" s="18">
        <f t="shared" si="13"/>
        <v>1462254.0505356363</v>
      </c>
      <c r="AW17" s="18">
        <f t="shared" si="13"/>
        <v>1462254.0505356363</v>
      </c>
      <c r="AX17" s="18">
        <f t="shared" si="13"/>
        <v>1462254.0505356363</v>
      </c>
      <c r="AY17" s="18">
        <f t="shared" si="13"/>
        <v>1462254.0505356363</v>
      </c>
      <c r="AZ17" s="18">
        <f t="shared" si="13"/>
        <v>1462254.0505356363</v>
      </c>
      <c r="BA17" s="18">
        <f t="shared" si="13"/>
        <v>1462254.0505356363</v>
      </c>
      <c r="BB17" s="18">
        <f t="shared" si="13"/>
        <v>1462254.0505356363</v>
      </c>
      <c r="BC17" s="18">
        <f t="shared" si="13"/>
        <v>1462254.0505356363</v>
      </c>
      <c r="BD17" s="18">
        <f t="shared" si="13"/>
        <v>1462254.0505356363</v>
      </c>
      <c r="BE17" s="18">
        <f t="shared" si="13"/>
        <v>1462254.0505356363</v>
      </c>
      <c r="BF17" s="18">
        <f t="shared" si="13"/>
        <v>1462254.0505356363</v>
      </c>
      <c r="BG17" s="18">
        <f t="shared" si="13"/>
        <v>1462254.0505356363</v>
      </c>
      <c r="BH17" s="18">
        <f t="shared" si="13"/>
        <v>1462254.0505356363</v>
      </c>
      <c r="BI17" s="18">
        <f t="shared" si="13"/>
        <v>1462254.0505356363</v>
      </c>
      <c r="BJ17" s="18">
        <f t="shared" si="13"/>
        <v>1462254.0505356363</v>
      </c>
      <c r="BK17" s="18">
        <f t="shared" si="13"/>
        <v>1462254.0505356363</v>
      </c>
      <c r="BL17" s="18">
        <f t="shared" si="13"/>
        <v>1462254.0505356363</v>
      </c>
      <c r="BM17" s="18">
        <f t="shared" si="13"/>
        <v>1462254.0505356363</v>
      </c>
      <c r="BN17" s="18">
        <f t="shared" si="13"/>
        <v>1462254.0505356363</v>
      </c>
      <c r="BO17" s="18">
        <f t="shared" ref="BO17:CD17" si="14">BO8</f>
        <v>1462254.0505356363</v>
      </c>
      <c r="BP17" s="18">
        <f t="shared" si="14"/>
        <v>1462254.0505356363</v>
      </c>
      <c r="BQ17" s="18">
        <f t="shared" si="14"/>
        <v>1462254.0505356363</v>
      </c>
      <c r="BR17" s="18">
        <f t="shared" si="14"/>
        <v>1462254.0505356363</v>
      </c>
      <c r="BS17" s="18">
        <f t="shared" si="14"/>
        <v>1462254.0505356363</v>
      </c>
      <c r="BT17" s="18">
        <f t="shared" si="14"/>
        <v>1462254.0505356363</v>
      </c>
      <c r="BU17" s="18">
        <f t="shared" si="14"/>
        <v>1462254.0505356363</v>
      </c>
      <c r="BV17" s="18">
        <f t="shared" si="14"/>
        <v>1462254.0505356363</v>
      </c>
      <c r="BW17" s="18">
        <f t="shared" si="14"/>
        <v>1462254.0505356363</v>
      </c>
      <c r="BX17" s="18">
        <f t="shared" si="14"/>
        <v>1462254.0505356363</v>
      </c>
      <c r="BY17" s="18">
        <f t="shared" si="14"/>
        <v>1462254.0505356363</v>
      </c>
      <c r="BZ17" s="18">
        <f t="shared" si="14"/>
        <v>1462254.0505356363</v>
      </c>
      <c r="CA17" s="18">
        <f t="shared" si="14"/>
        <v>1462254.0505356363</v>
      </c>
      <c r="CB17" s="18">
        <f t="shared" si="14"/>
        <v>1462254.0505356363</v>
      </c>
      <c r="CC17" s="18">
        <f t="shared" si="14"/>
        <v>1462254.0505356363</v>
      </c>
      <c r="CD17" s="18">
        <f t="shared" si="14"/>
        <v>1462254.0505356363</v>
      </c>
    </row>
    <row r="18" spans="1:82" x14ac:dyDescent="0.45">
      <c r="A18" t="s">
        <v>257</v>
      </c>
      <c r="C18" s="18">
        <f t="shared" ref="C18:AH18" si="15">C16+C17</f>
        <v>1444957.8588384748</v>
      </c>
      <c r="D18" s="18">
        <f t="shared" si="15"/>
        <v>1454869.3249450931</v>
      </c>
      <c r="E18" s="18">
        <f t="shared" si="15"/>
        <v>1464899.6553285795</v>
      </c>
      <c r="F18" s="18">
        <f t="shared" si="15"/>
        <v>1475050.2900753662</v>
      </c>
      <c r="G18" s="18">
        <f t="shared" si="15"/>
        <v>1485322.6867190849</v>
      </c>
      <c r="H18" s="18">
        <f t="shared" si="15"/>
        <v>1495718.3204519488</v>
      </c>
      <c r="I18" s="18">
        <f t="shared" si="15"/>
        <v>1506238.6843386914</v>
      </c>
      <c r="J18" s="18">
        <f t="shared" si="15"/>
        <v>1516885.2895331006</v>
      </c>
      <c r="K18" s="18">
        <f t="shared" si="15"/>
        <v>1527659.6654971726</v>
      </c>
      <c r="L18" s="18">
        <f t="shared" si="15"/>
        <v>1538563.360222925</v>
      </c>
      <c r="M18" s="18">
        <f t="shared" si="15"/>
        <v>1549597.9404568931</v>
      </c>
      <c r="N18" s="18">
        <f t="shared" si="15"/>
        <v>1560764.9919273497</v>
      </c>
      <c r="O18" s="18">
        <f t="shared" si="15"/>
        <v>1572066.1195742751</v>
      </c>
      <c r="P18" s="18">
        <f t="shared" si="15"/>
        <v>1583502.9477821153</v>
      </c>
      <c r="Q18" s="18">
        <f t="shared" si="15"/>
        <v>1595077.120615358</v>
      </c>
      <c r="R18" s="18">
        <f t="shared" si="15"/>
        <v>1606790.3020569654</v>
      </c>
      <c r="S18" s="18">
        <f t="shared" si="15"/>
        <v>1618644.176249692</v>
      </c>
      <c r="T18" s="18">
        <f t="shared" si="15"/>
        <v>1630640.4477403304</v>
      </c>
      <c r="U18" s="18">
        <f t="shared" si="15"/>
        <v>1642780.8417269131</v>
      </c>
      <c r="V18" s="18">
        <f t="shared" si="15"/>
        <v>1667567.1043089104</v>
      </c>
      <c r="W18" s="18">
        <f t="shared" si="15"/>
        <v>1680109.1758173816</v>
      </c>
      <c r="X18" s="18">
        <f t="shared" si="15"/>
        <v>1692801.9823989365</v>
      </c>
      <c r="Y18" s="18">
        <f t="shared" si="15"/>
        <v>1705647.35026696</v>
      </c>
      <c r="Z18" s="18">
        <f t="shared" si="15"/>
        <v>1718647.1277601155</v>
      </c>
      <c r="AA18" s="18">
        <f t="shared" si="15"/>
        <v>1731803.1856103996</v>
      </c>
      <c r="AB18" s="18">
        <f t="shared" si="15"/>
        <v>1745117.4172144467</v>
      </c>
      <c r="AC18" s="18">
        <f t="shared" si="15"/>
        <v>1758591.7389081195</v>
      </c>
      <c r="AD18" s="18">
        <f t="shared" si="15"/>
        <v>1772228.0902444273</v>
      </c>
      <c r="AE18" s="18">
        <f t="shared" si="15"/>
        <v>1786028.4342748099</v>
      </c>
      <c r="AF18" s="18">
        <f t="shared" si="15"/>
        <v>1799994.7578338296</v>
      </c>
      <c r="AG18" s="18">
        <f t="shared" si="15"/>
        <v>1814129.0718273143</v>
      </c>
      <c r="AH18" s="18">
        <f t="shared" si="15"/>
        <v>1828433.4115239894</v>
      </c>
      <c r="AI18" s="18">
        <f t="shared" ref="AI18:BN18" si="16">AI16+AI17</f>
        <v>1842909.8368506436</v>
      </c>
      <c r="AJ18" s="18">
        <f t="shared" si="16"/>
        <v>1857560.4326908705</v>
      </c>
      <c r="AK18" s="18">
        <f t="shared" si="16"/>
        <v>1872387.3091874309</v>
      </c>
      <c r="AL18" s="18">
        <f t="shared" si="16"/>
        <v>1887392.6020482767</v>
      </c>
      <c r="AM18" s="18">
        <f t="shared" si="16"/>
        <v>1902578.4728562827</v>
      </c>
      <c r="AN18" s="18">
        <f t="shared" si="16"/>
        <v>1917947.1093827318</v>
      </c>
      <c r="AO18" s="18">
        <f t="shared" si="16"/>
        <v>1933500.7259045974</v>
      </c>
      <c r="AP18" s="18">
        <f t="shared" si="16"/>
        <v>1961741.5635256704</v>
      </c>
      <c r="AQ18" s="18">
        <f t="shared" si="16"/>
        <v>1977428.5010784988</v>
      </c>
      <c r="AR18" s="18">
        <f t="shared" si="16"/>
        <v>1993305.4919132171</v>
      </c>
      <c r="AS18" s="18">
        <f t="shared" si="16"/>
        <v>2009374.838598433</v>
      </c>
      <c r="AT18" s="18">
        <f t="shared" si="16"/>
        <v>2025638.8715992579</v>
      </c>
      <c r="AU18" s="18">
        <f t="shared" si="16"/>
        <v>2042099.9496152855</v>
      </c>
      <c r="AV18" s="18">
        <f t="shared" si="16"/>
        <v>2058760.4599226611</v>
      </c>
      <c r="AW18" s="18">
        <f t="shared" si="16"/>
        <v>2075622.8187202991</v>
      </c>
      <c r="AX18" s="18">
        <f t="shared" si="16"/>
        <v>2092689.4714802927</v>
      </c>
      <c r="AY18" s="18">
        <f t="shared" si="16"/>
        <v>2109962.8933025715</v>
      </c>
      <c r="AZ18" s="18">
        <f t="shared" si="16"/>
        <v>2127445.5892738504</v>
      </c>
      <c r="BA18" s="18">
        <f t="shared" si="16"/>
        <v>2145140.0948309358</v>
      </c>
      <c r="BB18" s="18">
        <f t="shared" si="16"/>
        <v>2163048.9761284236</v>
      </c>
      <c r="BC18" s="18">
        <f t="shared" si="16"/>
        <v>2181174.8304108623</v>
      </c>
      <c r="BD18" s="18">
        <f t="shared" si="16"/>
        <v>2199520.2863894152</v>
      </c>
      <c r="BE18" s="18">
        <f t="shared" si="16"/>
        <v>2218088.0046230927</v>
      </c>
      <c r="BF18" s="18">
        <f t="shared" si="16"/>
        <v>2236880.6779046012</v>
      </c>
      <c r="BG18" s="18">
        <f t="shared" si="16"/>
        <v>2255901.0316508664</v>
      </c>
      <c r="BH18" s="18">
        <f t="shared" si="16"/>
        <v>2275151.8242982882</v>
      </c>
      <c r="BI18" s="18">
        <f t="shared" si="16"/>
        <v>2294635.8477027849</v>
      </c>
      <c r="BJ18" s="18">
        <f t="shared" si="16"/>
        <v>2314355.9275446818</v>
      </c>
      <c r="BK18" s="18">
        <f t="shared" si="16"/>
        <v>2334313.512633909</v>
      </c>
      <c r="BL18" s="18">
        <f t="shared" si="16"/>
        <v>2334313.512633909</v>
      </c>
      <c r="BM18" s="18">
        <f t="shared" si="16"/>
        <v>2334313.512633909</v>
      </c>
      <c r="BN18" s="18">
        <f t="shared" si="16"/>
        <v>2334313.512633909</v>
      </c>
      <c r="BO18" s="18">
        <f t="shared" ref="BO18:CD18" si="17">BO16+BO17</f>
        <v>2334313.512633909</v>
      </c>
      <c r="BP18" s="18">
        <f t="shared" si="17"/>
        <v>2334313.512633909</v>
      </c>
      <c r="BQ18" s="18">
        <f t="shared" si="17"/>
        <v>2334313.512633909</v>
      </c>
      <c r="BR18" s="18">
        <f t="shared" si="17"/>
        <v>2334313.512633909</v>
      </c>
      <c r="BS18" s="18">
        <f t="shared" si="17"/>
        <v>2334313.512633909</v>
      </c>
      <c r="BT18" s="18">
        <f t="shared" si="17"/>
        <v>2334313.512633909</v>
      </c>
      <c r="BU18" s="18">
        <f t="shared" si="17"/>
        <v>2334313.512633909</v>
      </c>
      <c r="BV18" s="18">
        <f t="shared" si="17"/>
        <v>2334313.512633909</v>
      </c>
      <c r="BW18" s="18">
        <f t="shared" si="17"/>
        <v>2334313.512633909</v>
      </c>
      <c r="BX18" s="18">
        <f t="shared" si="17"/>
        <v>2334313.512633909</v>
      </c>
      <c r="BY18" s="18">
        <f t="shared" si="17"/>
        <v>2334313.512633909</v>
      </c>
      <c r="BZ18" s="18">
        <f t="shared" si="17"/>
        <v>2334313.512633909</v>
      </c>
      <c r="CA18" s="18">
        <f t="shared" si="17"/>
        <v>2334313.512633909</v>
      </c>
      <c r="CB18" s="18">
        <f t="shared" si="17"/>
        <v>2334313.512633909</v>
      </c>
      <c r="CC18" s="18">
        <f t="shared" si="17"/>
        <v>2334313.512633909</v>
      </c>
      <c r="CD18" s="18">
        <f t="shared" si="17"/>
        <v>2334313.512633909</v>
      </c>
    </row>
    <row r="19" spans="1:82" x14ac:dyDescent="0.45">
      <c r="A19" t="s">
        <v>258</v>
      </c>
      <c r="C19" s="18">
        <f>-Calc_CFADS!C11</f>
        <v>-56250</v>
      </c>
      <c r="D19" s="18">
        <f>-Calc_CFADS!D11</f>
        <v>-56250</v>
      </c>
      <c r="E19" s="18">
        <f>-Calc_CFADS!E11</f>
        <v>-56250</v>
      </c>
      <c r="F19" s="18">
        <f>-Calc_CFADS!F11</f>
        <v>-56250</v>
      </c>
      <c r="G19" s="18">
        <f>-Calc_CFADS!G11</f>
        <v>-56250</v>
      </c>
      <c r="H19" s="18">
        <f>-Calc_CFADS!H11</f>
        <v>-56250</v>
      </c>
      <c r="I19" s="18">
        <f>-Calc_CFADS!I11</f>
        <v>-56250</v>
      </c>
      <c r="J19" s="18">
        <f>-Calc_CFADS!J11</f>
        <v>-56250</v>
      </c>
      <c r="K19" s="18">
        <f>-Calc_CFADS!K11</f>
        <v>-56250</v>
      </c>
      <c r="L19" s="18">
        <f>-Calc_CFADS!L11</f>
        <v>-56250</v>
      </c>
      <c r="M19" s="18">
        <f>-Calc_CFADS!M11</f>
        <v>-56250</v>
      </c>
      <c r="N19" s="18">
        <f>-Calc_CFADS!N11</f>
        <v>-56250</v>
      </c>
      <c r="O19" s="18">
        <f>-Calc_CFADS!O11</f>
        <v>-56250</v>
      </c>
      <c r="P19" s="18">
        <f>-Calc_CFADS!P11</f>
        <v>-56250</v>
      </c>
      <c r="Q19" s="18">
        <f>-Calc_CFADS!Q11</f>
        <v>-56250</v>
      </c>
      <c r="R19" s="18">
        <f>-Calc_CFADS!R11</f>
        <v>-56250</v>
      </c>
      <c r="S19" s="18">
        <f>-Calc_CFADS!S11</f>
        <v>-56250</v>
      </c>
      <c r="T19" s="18">
        <f>-Calc_CFADS!T11</f>
        <v>-56250</v>
      </c>
      <c r="U19" s="18">
        <f>-Calc_CFADS!U11</f>
        <v>-56250</v>
      </c>
      <c r="V19" s="18">
        <f>-Calc_CFADS!V11</f>
        <v>-2056250</v>
      </c>
      <c r="W19" s="18">
        <f>-Calc_CFADS!W11</f>
        <v>-56250</v>
      </c>
      <c r="X19" s="18">
        <f>-Calc_CFADS!X11</f>
        <v>-56250</v>
      </c>
      <c r="Y19" s="18">
        <f>-Calc_CFADS!Y11</f>
        <v>-56250</v>
      </c>
      <c r="Z19" s="18">
        <f>-Calc_CFADS!Z11</f>
        <v>-56250</v>
      </c>
      <c r="AA19" s="18">
        <f>-Calc_CFADS!AA11</f>
        <v>-56250</v>
      </c>
      <c r="AB19" s="18">
        <f>-Calc_CFADS!AB11</f>
        <v>-56250</v>
      </c>
      <c r="AC19" s="18">
        <f>-Calc_CFADS!AC11</f>
        <v>-56250</v>
      </c>
      <c r="AD19" s="18">
        <f>-Calc_CFADS!AD11</f>
        <v>-56250</v>
      </c>
      <c r="AE19" s="18">
        <f>-Calc_CFADS!AE11</f>
        <v>-56250</v>
      </c>
      <c r="AF19" s="18">
        <f>-Calc_CFADS!AF11</f>
        <v>-56250</v>
      </c>
      <c r="AG19" s="18">
        <f>-Calc_CFADS!AG11</f>
        <v>-56250</v>
      </c>
      <c r="AH19" s="18">
        <f>-Calc_CFADS!AH11</f>
        <v>-56250</v>
      </c>
      <c r="AI19" s="18">
        <f>-Calc_CFADS!AI11</f>
        <v>-56250</v>
      </c>
      <c r="AJ19" s="18">
        <f>-Calc_CFADS!AJ11</f>
        <v>-56250</v>
      </c>
      <c r="AK19" s="18">
        <f>-Calc_CFADS!AK11</f>
        <v>-56250</v>
      </c>
      <c r="AL19" s="18">
        <f>-Calc_CFADS!AL11</f>
        <v>-56250</v>
      </c>
      <c r="AM19" s="18">
        <f>-Calc_CFADS!AM11</f>
        <v>-56250</v>
      </c>
      <c r="AN19" s="18">
        <f>-Calc_CFADS!AN11</f>
        <v>-56250</v>
      </c>
      <c r="AO19" s="18">
        <f>-Calc_CFADS!AO11</f>
        <v>-56250</v>
      </c>
      <c r="AP19" s="18">
        <f>-Calc_CFADS!AP11</f>
        <v>-2056250</v>
      </c>
      <c r="AQ19" s="18">
        <f>-Calc_CFADS!AQ11</f>
        <v>-56250</v>
      </c>
      <c r="AR19" s="18">
        <f>-Calc_CFADS!AR11</f>
        <v>-56250</v>
      </c>
      <c r="AS19" s="18">
        <f>-Calc_CFADS!AS11</f>
        <v>-56250</v>
      </c>
      <c r="AT19" s="18">
        <f>-Calc_CFADS!AT11</f>
        <v>-56250</v>
      </c>
      <c r="AU19" s="18">
        <f>-Calc_CFADS!AU11</f>
        <v>-56250</v>
      </c>
      <c r="AV19" s="18">
        <f>-Calc_CFADS!AV11</f>
        <v>-56250</v>
      </c>
      <c r="AW19" s="18">
        <f>-Calc_CFADS!AW11</f>
        <v>-56250</v>
      </c>
      <c r="AX19" s="18">
        <f>-Calc_CFADS!AX11</f>
        <v>-56250</v>
      </c>
      <c r="AY19" s="18">
        <f>-Calc_CFADS!AY11</f>
        <v>-56250</v>
      </c>
      <c r="AZ19" s="18">
        <f>-Calc_CFADS!AZ11</f>
        <v>-56250</v>
      </c>
      <c r="BA19" s="18">
        <f>-Calc_CFADS!BA11</f>
        <v>-56250</v>
      </c>
      <c r="BB19" s="18">
        <f>-Calc_CFADS!BB11</f>
        <v>-56250</v>
      </c>
      <c r="BC19" s="18">
        <f>-Calc_CFADS!BC11</f>
        <v>-56250</v>
      </c>
      <c r="BD19" s="18">
        <f>-Calc_CFADS!BD11</f>
        <v>-56250</v>
      </c>
      <c r="BE19" s="18">
        <f>-Calc_CFADS!BE11</f>
        <v>-56250</v>
      </c>
      <c r="BF19" s="18">
        <f>-Calc_CFADS!BF11</f>
        <v>-56250</v>
      </c>
      <c r="BG19" s="18">
        <f>-Calc_CFADS!BG11</f>
        <v>-56250</v>
      </c>
      <c r="BH19" s="18">
        <f>-Calc_CFADS!BH11</f>
        <v>-56250</v>
      </c>
      <c r="BI19" s="18">
        <f>-Calc_CFADS!BI11</f>
        <v>-56250</v>
      </c>
      <c r="BJ19" s="18">
        <f>-Calc_CFADS!BJ11</f>
        <v>-2056250</v>
      </c>
      <c r="BK19" s="18">
        <f>-Calc_CFADS!BK11</f>
        <v>-56250</v>
      </c>
      <c r="BL19" s="18">
        <f>-Calc_CFADS!BL11</f>
        <v>-56250</v>
      </c>
      <c r="BM19" s="18">
        <f>-Calc_CFADS!BM11</f>
        <v>-56250</v>
      </c>
      <c r="BN19" s="18">
        <f>-Calc_CFADS!BN11</f>
        <v>-56250</v>
      </c>
      <c r="BO19" s="18">
        <f>-Calc_CFADS!BO11</f>
        <v>-56250</v>
      </c>
      <c r="BP19" s="18">
        <f>-Calc_CFADS!BP11</f>
        <v>-56250</v>
      </c>
      <c r="BQ19" s="18">
        <f>-Calc_CFADS!BQ11</f>
        <v>-56250</v>
      </c>
      <c r="BR19" s="18">
        <f>-Calc_CFADS!BR11</f>
        <v>-56250</v>
      </c>
      <c r="BS19" s="18">
        <f>-Calc_CFADS!BS11</f>
        <v>-56250</v>
      </c>
      <c r="BT19" s="18">
        <f>-Calc_CFADS!BT11</f>
        <v>-56250</v>
      </c>
      <c r="BU19" s="18">
        <f>-Calc_CFADS!BU11</f>
        <v>-56250</v>
      </c>
      <c r="BV19" s="18">
        <f>-Calc_CFADS!BV11</f>
        <v>-56250</v>
      </c>
      <c r="BW19" s="18">
        <f>-Calc_CFADS!BW11</f>
        <v>-56250</v>
      </c>
      <c r="BX19" s="18">
        <f>-Calc_CFADS!BX11</f>
        <v>-56250</v>
      </c>
      <c r="BY19" s="18">
        <f>-Calc_CFADS!BY11</f>
        <v>-56250</v>
      </c>
      <c r="BZ19" s="18">
        <f>-Calc_CFADS!BZ11</f>
        <v>-56250</v>
      </c>
      <c r="CA19" s="18">
        <f>-Calc_CFADS!CA11</f>
        <v>-56250</v>
      </c>
      <c r="CB19" s="18">
        <f>-Calc_CFADS!CB11</f>
        <v>-56250</v>
      </c>
      <c r="CC19" s="18">
        <f>-Calc_CFADS!CC11</f>
        <v>-56250</v>
      </c>
      <c r="CD19" s="18">
        <f>-Calc_CFADS!CD11</f>
        <v>-2056250</v>
      </c>
    </row>
    <row r="20" spans="1:82" x14ac:dyDescent="0.45">
      <c r="A20" t="s">
        <v>259</v>
      </c>
      <c r="C20" s="12">
        <f>Calc_Financing_Ops!C22</f>
        <v>849769.20947715477</v>
      </c>
      <c r="D20" s="12">
        <f>Calc_Financing_Ops!D22</f>
        <v>860334.92297658953</v>
      </c>
      <c r="E20" s="12">
        <f>Calc_Financing_Ops!E22</f>
        <v>871028.64415880572</v>
      </c>
      <c r="F20" s="12">
        <f>Calc_Financing_Ops!F22</f>
        <v>881851.9238861145</v>
      </c>
      <c r="G20" s="12">
        <f>Calc_Financing_Ops!G22</f>
        <v>892806.33181011956</v>
      </c>
      <c r="H20" s="12">
        <f>Calc_Financing_Ops!H22</f>
        <v>903893.45659935754</v>
      </c>
      <c r="I20" s="12">
        <f>Calc_Financing_Ops!I22</f>
        <v>915114.90616969578</v>
      </c>
      <c r="J20" s="12">
        <f>Calc_Financing_Ops!J22</f>
        <v>926472.30791752099</v>
      </c>
      <c r="K20" s="12">
        <f>Calc_Financing_Ops!K22</f>
        <v>937967.30895575217</v>
      </c>
      <c r="L20" s="12">
        <f>Calc_Financing_Ops!L22</f>
        <v>949601.57635271631</v>
      </c>
      <c r="M20" s="12">
        <f>Calc_Financing_Ops!M22</f>
        <v>961376.79737391288</v>
      </c>
      <c r="N20" s="12">
        <f>Calc_Financing_Ops!N22</f>
        <v>973294.67972671206</v>
      </c>
      <c r="O20" s="12">
        <f>Calc_Financing_Ops!O22</f>
        <v>985356.95180801663</v>
      </c>
      <c r="P20" s="12">
        <f>Calc_Financing_Ops!P22</f>
        <v>997565.36295492121</v>
      </c>
      <c r="Q20" s="12">
        <f>Calc_Financing_Ops!Q22</f>
        <v>1009921.6836984137</v>
      </c>
      <c r="R20" s="12">
        <f>Calc_Financing_Ops!R22</f>
        <v>1022427.7060201446</v>
      </c>
      <c r="S20" s="12">
        <f>Calc_Financing_Ops!S22</f>
        <v>1035085.2436123115</v>
      </c>
      <c r="T20" s="12">
        <f>Calc_Financing_Ops!T22</f>
        <v>1047896.1321406916</v>
      </c>
      <c r="U20" s="12">
        <f>Calc_Financing_Ops!U22</f>
        <v>1060862.2295108575</v>
      </c>
      <c r="V20" s="12">
        <f>Calc_Financing_Ops!V22</f>
        <v>1083600.8007530081</v>
      </c>
      <c r="W20" s="12">
        <f>Calc_Financing_Ops!W22</f>
        <v>1096999.4739159774</v>
      </c>
      <c r="X20" s="12">
        <f>Calc_Financing_Ops!X22</f>
        <v>1110560.4771576519</v>
      </c>
      <c r="Y20" s="12">
        <f>Calc_Financing_Ops!Y22</f>
        <v>1124285.7771693696</v>
      </c>
      <c r="Z20" s="12">
        <f>Calc_Financing_Ops!Z22</f>
        <v>1138177.3644696907</v>
      </c>
      <c r="AA20" s="12">
        <f>Calc_Financing_Ops!AA22</f>
        <v>1152237.2536930735</v>
      </c>
      <c r="AB20" s="12">
        <f>Calc_Financing_Ops!AB22</f>
        <v>1166467.4838820472</v>
      </c>
      <c r="AC20" s="12">
        <f>Calc_Financing_Ops!AC22</f>
        <v>1180870.1187829259</v>
      </c>
      <c r="AD20" s="12">
        <f>Calc_Financing_Ops!AD22</f>
        <v>1195447.2471451033</v>
      </c>
      <c r="AE20" s="12">
        <f>Calc_Financing_Ops!AE22</f>
        <v>1210200.9830239769</v>
      </c>
      <c r="AF20" s="12">
        <f>Calc_Financing_Ops!AF22</f>
        <v>1225133.4660875367</v>
      </c>
      <c r="AG20" s="12">
        <f>Calc_Financing_Ops!AG22</f>
        <v>1240246.8619266739</v>
      </c>
      <c r="AH20" s="12">
        <f>Calc_Financing_Ops!AH22</f>
        <v>1255543.3623692472</v>
      </c>
      <c r="AI20" s="12">
        <f>Calc_Financing_Ops!AI22</f>
        <v>1271025.1857979516</v>
      </c>
      <c r="AJ20" s="12">
        <f>Calc_Financing_Ops!AJ22</f>
        <v>1286694.5774720423</v>
      </c>
      <c r="AK20" s="12">
        <f>Calc_Financing_Ops!AK22</f>
        <v>1302553.8098529535</v>
      </c>
      <c r="AL20" s="12">
        <f>Calc_Financing_Ops!AL22</f>
        <v>1318605.1829338646</v>
      </c>
      <c r="AM20" s="12">
        <f>Calc_Financing_Ops!AM22</f>
        <v>1334851.0245732553</v>
      </c>
      <c r="AN20" s="12">
        <f>Calc_Financing_Ops!AN22</f>
        <v>1351293.6908325085</v>
      </c>
      <c r="AO20" s="12">
        <f>Calc_Financing_Ops!AO22</f>
        <v>1367935.5663175946</v>
      </c>
      <c r="AP20" s="12">
        <f>Calc_Financing_Ops!AP22</f>
        <v>1394394.4491402886</v>
      </c>
      <c r="AQ20" s="12">
        <f>Calc_Financing_Ops!AQ22</f>
        <v>1411288.0741971803</v>
      </c>
      <c r="AR20" s="12">
        <f>Calc_Financing_Ops!AR22</f>
        <v>1428386.3720191848</v>
      </c>
      <c r="AS20" s="12">
        <f>Calc_Financing_Ops!AS22</f>
        <v>1445691.822295571</v>
      </c>
      <c r="AT20" s="12">
        <f>Calc_Financing_Ops!AT22</f>
        <v>1463206.9347579982</v>
      </c>
      <c r="AU20" s="12">
        <f>Calc_Financing_Ops!AU22</f>
        <v>1480934.2495444892</v>
      </c>
      <c r="AV20" s="12">
        <f>Calc_Financing_Ops!AV22</f>
        <v>1498876.3375678165</v>
      </c>
      <c r="AW20" s="12">
        <f>Calc_Financing_Ops!AW22</f>
        <v>1517035.8008883498</v>
      </c>
      <c r="AX20" s="12">
        <f>Calc_Financing_Ops!AX22</f>
        <v>1535415.2730914203</v>
      </c>
      <c r="AY20" s="12">
        <f>Calc_Financing_Ops!AY22</f>
        <v>1554017.4196692586</v>
      </c>
      <c r="AZ20" s="12">
        <f>Calc_Financing_Ops!AZ22</f>
        <v>1572844.9384075592</v>
      </c>
      <c r="BA20" s="12">
        <f>Calc_Financing_Ops!BA22</f>
        <v>1591900.5597767276</v>
      </c>
      <c r="BB20" s="12">
        <f>Calc_Financing_Ops!BB22</f>
        <v>1611187.0473278689</v>
      </c>
      <c r="BC20" s="12">
        <f>Calc_Financing_Ops!BC22</f>
        <v>1630707.1980935717</v>
      </c>
      <c r="BD20" s="12">
        <f>Calc_Financing_Ops!BD22</f>
        <v>1650463.8429935516</v>
      </c>
      <c r="BE20" s="12">
        <f>Calc_Financing_Ops!BE22</f>
        <v>1670459.8472452045</v>
      </c>
      <c r="BF20" s="12">
        <f>Calc_Financing_Ops!BF22</f>
        <v>1690698.1107791367</v>
      </c>
      <c r="BG20" s="12">
        <f>Calc_Financing_Ops!BG22</f>
        <v>1711181.5686597303</v>
      </c>
      <c r="BH20" s="12">
        <f>Calc_Financing_Ops!BH22</f>
        <v>1731913.1915107998</v>
      </c>
      <c r="BI20" s="12">
        <f>Calc_Financing_Ops!BI22</f>
        <v>1752895.9859464113</v>
      </c>
      <c r="BJ20" s="12">
        <f>Calc_Financing_Ops!BJ22</f>
        <v>1774007.5634868634</v>
      </c>
      <c r="BK20" s="12">
        <f>Calc_Financing_Ops!BK22</f>
        <v>0</v>
      </c>
      <c r="BL20" s="12">
        <f>Calc_Financing_Ops!BL22</f>
        <v>0</v>
      </c>
      <c r="BM20" s="12">
        <f>Calc_Financing_Ops!BM22</f>
        <v>0</v>
      </c>
      <c r="BN20" s="12">
        <f>Calc_Financing_Ops!BN22</f>
        <v>0</v>
      </c>
      <c r="BO20" s="12">
        <f>Calc_Financing_Ops!BO22</f>
        <v>0</v>
      </c>
      <c r="BP20" s="12">
        <f>Calc_Financing_Ops!BP22</f>
        <v>0</v>
      </c>
      <c r="BQ20" s="12">
        <f>Calc_Financing_Ops!BQ22</f>
        <v>0</v>
      </c>
      <c r="BR20" s="12">
        <f>Calc_Financing_Ops!BR22</f>
        <v>0</v>
      </c>
      <c r="BS20" s="12">
        <f>Calc_Financing_Ops!BS22</f>
        <v>0</v>
      </c>
      <c r="BT20" s="12">
        <f>Calc_Financing_Ops!BT22</f>
        <v>0</v>
      </c>
      <c r="BU20" s="12">
        <f>Calc_Financing_Ops!BU22</f>
        <v>0</v>
      </c>
      <c r="BV20" s="12">
        <f>Calc_Financing_Ops!BV22</f>
        <v>0</v>
      </c>
      <c r="BW20" s="12">
        <f>Calc_Financing_Ops!BW22</f>
        <v>0</v>
      </c>
      <c r="BX20" s="12">
        <f>Calc_Financing_Ops!BX22</f>
        <v>0</v>
      </c>
      <c r="BY20" s="12">
        <f>Calc_Financing_Ops!BY22</f>
        <v>0</v>
      </c>
      <c r="BZ20" s="12">
        <f>Calc_Financing_Ops!BZ22</f>
        <v>0</v>
      </c>
      <c r="CA20" s="12">
        <f>Calc_Financing_Ops!CA22</f>
        <v>0</v>
      </c>
      <c r="CB20" s="12">
        <f>Calc_Financing_Ops!CB22</f>
        <v>0</v>
      </c>
      <c r="CC20" s="12">
        <f>Calc_Financing_Ops!CC22</f>
        <v>0</v>
      </c>
      <c r="CD20" s="12">
        <f>Calc_Financing_Ops!CD22</f>
        <v>0</v>
      </c>
    </row>
    <row r="21" spans="1:82" x14ac:dyDescent="0.45">
      <c r="A21" t="s">
        <v>260</v>
      </c>
      <c r="C21" s="12">
        <f>Calc_Financing_Ops!C28</f>
        <v>3961351.3771275897</v>
      </c>
      <c r="D21" s="12">
        <f>Calc_Financing_Ops!D28</f>
        <v>-4453.4525975063443</v>
      </c>
      <c r="E21" s="12">
        <f>Calc_Financing_Ops!E28</f>
        <v>-4515.5208693598397</v>
      </c>
      <c r="F21" s="12">
        <f>Calc_Financing_Ops!F28</f>
        <v>-4578.3411222002469</v>
      </c>
      <c r="G21" s="12">
        <f>Calc_Financing_Ops!G28</f>
        <v>-4641.9224665658548</v>
      </c>
      <c r="H21" s="12">
        <f>Calc_Financing_Ops!H28</f>
        <v>-4706.2741233725101</v>
      </c>
      <c r="I21" s="12">
        <f>Calc_Financing_Ops!I28</f>
        <v>-4771.4054252519272</v>
      </c>
      <c r="J21" s="12">
        <f>Calc_Financing_Ops!J28</f>
        <v>-4837.3258179039694</v>
      </c>
      <c r="K21" s="12">
        <f>Calc_Financing_Ops!K28</f>
        <v>-4904.0448614666238</v>
      </c>
      <c r="L21" s="12">
        <f>Calc_Financing_Ops!L28</f>
        <v>-4971.5722319036722</v>
      </c>
      <c r="M21" s="12">
        <f>Calc_Financing_Ops!M28</f>
        <v>-5039.9177224054001</v>
      </c>
      <c r="N21" s="12">
        <f>Calc_Financing_Ops!N28</f>
        <v>-5109.0912448116578</v>
      </c>
      <c r="O21" s="12">
        <f>Calc_Financing_Ops!O28</f>
        <v>-5179.1028310470283</v>
      </c>
      <c r="P21" s="12">
        <f>Calc_Financing_Ops!P28</f>
        <v>-5249.9626345764846</v>
      </c>
      <c r="Q21" s="12">
        <f>Calc_Financing_Ops!Q28</f>
        <v>-5321.6809318810701</v>
      </c>
      <c r="R21" s="12">
        <f>Calc_Financing_Ops!R28</f>
        <v>-5394.2681239396334</v>
      </c>
      <c r="S21" s="12">
        <f>Calc_Financing_Ops!S28</f>
        <v>-5467.7347377492115</v>
      </c>
      <c r="T21" s="12">
        <f>Calc_Financing_Ops!T28</f>
        <v>4073.2931875437498</v>
      </c>
      <c r="U21" s="12">
        <f>Calc_Financing_Ops!U28</f>
        <v>3970.2989511615597</v>
      </c>
      <c r="V21" s="12">
        <f>Calc_Financing_Ops!V28</f>
        <v>-5749.3277153908275</v>
      </c>
      <c r="W21" s="12">
        <f>Calc_Financing_Ops!W28</f>
        <v>-5827.0960127124563</v>
      </c>
      <c r="X21" s="12">
        <f>Calc_Financing_Ops!X28</f>
        <v>-5905.8065028665587</v>
      </c>
      <c r="Y21" s="12">
        <f>Calc_Financing_Ops!Y28</f>
        <v>-5985.4706008816138</v>
      </c>
      <c r="Z21" s="12">
        <f>Calc_Financing_Ops!Z28</f>
        <v>-6066.0998600851744</v>
      </c>
      <c r="AA21" s="12">
        <f>Calc_Financing_Ops!AA28</f>
        <v>-6147.7059737741947</v>
      </c>
      <c r="AB21" s="12">
        <f>Calc_Financing_Ops!AB28</f>
        <v>-6230.3007769184187</v>
      </c>
      <c r="AC21" s="12">
        <f>Calc_Financing_Ops!AC28</f>
        <v>-6313.8962478693575</v>
      </c>
      <c r="AD21" s="12">
        <f>Calc_Financing_Ops!AD28</f>
        <v>-6398.5045101027936</v>
      </c>
      <c r="AE21" s="12">
        <f>Calc_Financing_Ops!AE28</f>
        <v>-6484.1378339761868</v>
      </c>
      <c r="AF21" s="12">
        <f>Calc_Financing_Ops!AF28</f>
        <v>-6570.8086385019124</v>
      </c>
      <c r="AG21" s="12">
        <f>Calc_Financing_Ops!AG28</f>
        <v>-6658.5294931614771</v>
      </c>
      <c r="AH21" s="12">
        <f>Calc_Financing_Ops!AH28</f>
        <v>-6747.313119713217</v>
      </c>
      <c r="AI21" s="12">
        <f>Calc_Financing_Ops!AI28</f>
        <v>-6837.1723940479569</v>
      </c>
      <c r="AJ21" s="12">
        <f>Calc_Financing_Ops!AJ28</f>
        <v>-6928.1203480525874</v>
      </c>
      <c r="AK21" s="12">
        <f>Calc_Financing_Ops!AK28</f>
        <v>-7020.1701715001836</v>
      </c>
      <c r="AL21" s="12">
        <f>Calc_Financing_Ops!AL28</f>
        <v>-7113.3352139629424</v>
      </c>
      <c r="AM21" s="12">
        <f>Calc_Financing_Ops!AM28</f>
        <v>-7207.6289867479354</v>
      </c>
      <c r="AN21" s="12">
        <f>Calc_Financing_Ops!AN28</f>
        <v>2312.3194505288266</v>
      </c>
      <c r="AO21" s="12">
        <f>Calc_Financing_Ops!AO28</f>
        <v>1917.557647717651</v>
      </c>
      <c r="AP21" s="12">
        <f>Calc_Financing_Ops!AP28</f>
        <v>-8093.3149711657315</v>
      </c>
      <c r="AQ21" s="12">
        <f>Calc_Financing_Ops!AQ28</f>
        <v>-8191.3685948550701</v>
      </c>
      <c r="AR21" s="12">
        <f>Calc_Financing_Ops!AR28</f>
        <v>-8290.6101759076118</v>
      </c>
      <c r="AS21" s="12">
        <f>Calc_Financing_Ops!AS28</f>
        <v>-8391.0541068855673</v>
      </c>
      <c r="AT21" s="12">
        <f>Calc_Financing_Ops!AT28</f>
        <v>-8492.7149547189474</v>
      </c>
      <c r="AU21" s="12">
        <f>Calc_Financing_Ops!AU28</f>
        <v>-8595.6074628243223</v>
      </c>
      <c r="AV21" s="12">
        <f>Calc_Financing_Ops!AV28</f>
        <v>-8699.7465532384813</v>
      </c>
      <c r="AW21" s="12">
        <f>Calc_Financing_Ops!AW28</f>
        <v>-8805.1473287874833</v>
      </c>
      <c r="AX21" s="12">
        <f>Calc_Financing_Ops!AX28</f>
        <v>-8911.8250752715394</v>
      </c>
      <c r="AY21" s="12">
        <f>Calc_Financing_Ops!AY28</f>
        <v>-9019.7952636834234</v>
      </c>
      <c r="AZ21" s="12">
        <f>Calc_Financing_Ops!AZ28</f>
        <v>-9129.0735524543561</v>
      </c>
      <c r="BA21" s="12">
        <f>Calc_Financing_Ops!BA28</f>
        <v>-9239.6757897245698</v>
      </c>
      <c r="BB21" s="12">
        <f>Calc_Financing_Ops!BB28</f>
        <v>-9351.6180156394839</v>
      </c>
      <c r="BC21" s="12">
        <f>Calc_Financing_Ops!BC28</f>
        <v>-9464.9164646738209</v>
      </c>
      <c r="BD21" s="12">
        <f>Calc_Financing_Ops!BD28</f>
        <v>-9579.5875679962337</v>
      </c>
      <c r="BE21" s="12">
        <f>Calc_Financing_Ops!BE28</f>
        <v>-9695.6479558395222</v>
      </c>
      <c r="BF21" s="12">
        <f>Calc_Financing_Ops!BF28</f>
        <v>-9813.1144599197432</v>
      </c>
      <c r="BG21" s="12">
        <f>Calc_Financing_Ops!BG28</f>
        <v>-9932.0041158767417</v>
      </c>
      <c r="BH21" s="12">
        <f>Calc_Financing_Ops!BH28</f>
        <v>-10177.765685794409</v>
      </c>
      <c r="BI21" s="12">
        <f>Calc_Financing_Ops!BI28</f>
        <v>-1805799.5391879107</v>
      </c>
      <c r="BJ21" s="12">
        <f>Calc_Financing_Ops!BJ28</f>
        <v>-1800617.6769391664</v>
      </c>
      <c r="BK21" s="12">
        <f>Calc_Financing_Ops!BK28</f>
        <v>0</v>
      </c>
      <c r="BL21" s="12">
        <f>Calc_Financing_Ops!BL28</f>
        <v>0</v>
      </c>
      <c r="BM21" s="12">
        <f>Calc_Financing_Ops!BM28</f>
        <v>0</v>
      </c>
      <c r="BN21" s="12">
        <f>Calc_Financing_Ops!BN28</f>
        <v>0</v>
      </c>
      <c r="BO21" s="12">
        <f>Calc_Financing_Ops!BO28</f>
        <v>0</v>
      </c>
      <c r="BP21" s="12">
        <f>Calc_Financing_Ops!BP28</f>
        <v>0</v>
      </c>
      <c r="BQ21" s="12">
        <f>Calc_Financing_Ops!BQ28</f>
        <v>0</v>
      </c>
      <c r="BR21" s="12">
        <f>Calc_Financing_Ops!BR28</f>
        <v>0</v>
      </c>
      <c r="BS21" s="12">
        <f>Calc_Financing_Ops!BS28</f>
        <v>0</v>
      </c>
      <c r="BT21" s="12">
        <f>Calc_Financing_Ops!BT28</f>
        <v>0</v>
      </c>
      <c r="BU21" s="12">
        <f>Calc_Financing_Ops!BU28</f>
        <v>0</v>
      </c>
      <c r="BV21" s="12">
        <f>Calc_Financing_Ops!BV28</f>
        <v>0</v>
      </c>
      <c r="BW21" s="12">
        <f>Calc_Financing_Ops!BW28</f>
        <v>0</v>
      </c>
      <c r="BX21" s="12">
        <f>Calc_Financing_Ops!BX28</f>
        <v>0</v>
      </c>
      <c r="BY21" s="12">
        <f>Calc_Financing_Ops!BY28</f>
        <v>0</v>
      </c>
      <c r="BZ21" s="12">
        <f>Calc_Financing_Ops!BZ28</f>
        <v>0</v>
      </c>
      <c r="CA21" s="12">
        <f>Calc_Financing_Ops!CA28</f>
        <v>0</v>
      </c>
      <c r="CB21" s="12">
        <f>Calc_Financing_Ops!CB28</f>
        <v>0</v>
      </c>
      <c r="CC21" s="12">
        <f>Calc_Financing_Ops!CC28</f>
        <v>0</v>
      </c>
      <c r="CD21" s="12">
        <f>Calc_Financing_Ops!CD28</f>
        <v>0</v>
      </c>
    </row>
    <row r="22" spans="1:82" x14ac:dyDescent="0.45">
      <c r="A22" t="s">
        <v>261</v>
      </c>
      <c r="C22" s="12">
        <f>Calc_CFADS!C14</f>
        <v>225000</v>
      </c>
      <c r="D22" s="12">
        <f>Calc_CFADS!D14</f>
        <v>0</v>
      </c>
      <c r="E22" s="12">
        <f>Calc_CFADS!E14</f>
        <v>0</v>
      </c>
      <c r="F22" s="12">
        <f>Calc_CFADS!F14</f>
        <v>0</v>
      </c>
      <c r="G22" s="12">
        <f>Calc_CFADS!G14</f>
        <v>0</v>
      </c>
      <c r="H22" s="12">
        <f>Calc_CFADS!H14</f>
        <v>0</v>
      </c>
      <c r="I22" s="12">
        <f>Calc_CFADS!I14</f>
        <v>0</v>
      </c>
      <c r="J22" s="12">
        <f>Calc_CFADS!J14</f>
        <v>0</v>
      </c>
      <c r="K22" s="12">
        <f>Calc_CFADS!K14</f>
        <v>0</v>
      </c>
      <c r="L22" s="12">
        <f>Calc_CFADS!L14</f>
        <v>0</v>
      </c>
      <c r="M22" s="12">
        <f>Calc_CFADS!M14</f>
        <v>0</v>
      </c>
      <c r="N22" s="12">
        <f>Calc_CFADS!N14</f>
        <v>0</v>
      </c>
      <c r="O22" s="12">
        <f>Calc_CFADS!O14</f>
        <v>0</v>
      </c>
      <c r="P22" s="12">
        <f>Calc_CFADS!P14</f>
        <v>0</v>
      </c>
      <c r="Q22" s="12">
        <f>Calc_CFADS!Q14</f>
        <v>0</v>
      </c>
      <c r="R22" s="12">
        <f>Calc_CFADS!R14</f>
        <v>2000000</v>
      </c>
      <c r="S22" s="12">
        <f>Calc_CFADS!S14</f>
        <v>0</v>
      </c>
      <c r="T22" s="12">
        <f>Calc_CFADS!T14</f>
        <v>0</v>
      </c>
      <c r="U22" s="12">
        <f>Calc_CFADS!U14</f>
        <v>0</v>
      </c>
      <c r="V22" s="12">
        <f>Calc_CFADS!V14</f>
        <v>-2000000</v>
      </c>
      <c r="W22" s="12">
        <f>Calc_CFADS!W14</f>
        <v>0</v>
      </c>
      <c r="X22" s="12">
        <f>Calc_CFADS!X14</f>
        <v>0</v>
      </c>
      <c r="Y22" s="12">
        <f>Calc_CFADS!Y14</f>
        <v>0</v>
      </c>
      <c r="Z22" s="12">
        <f>Calc_CFADS!Z14</f>
        <v>0</v>
      </c>
      <c r="AA22" s="12">
        <f>Calc_CFADS!AA14</f>
        <v>0</v>
      </c>
      <c r="AB22" s="12">
        <f>Calc_CFADS!AB14</f>
        <v>0</v>
      </c>
      <c r="AC22" s="12">
        <f>Calc_CFADS!AC14</f>
        <v>0</v>
      </c>
      <c r="AD22" s="12">
        <f>Calc_CFADS!AD14</f>
        <v>0</v>
      </c>
      <c r="AE22" s="12">
        <f>Calc_CFADS!AE14</f>
        <v>0</v>
      </c>
      <c r="AF22" s="12">
        <f>Calc_CFADS!AF14</f>
        <v>0</v>
      </c>
      <c r="AG22" s="12">
        <f>Calc_CFADS!AG14</f>
        <v>0</v>
      </c>
      <c r="AH22" s="12">
        <f>Calc_CFADS!AH14</f>
        <v>0</v>
      </c>
      <c r="AI22" s="12">
        <f>Calc_CFADS!AI14</f>
        <v>0</v>
      </c>
      <c r="AJ22" s="12">
        <f>Calc_CFADS!AJ14</f>
        <v>0</v>
      </c>
      <c r="AK22" s="12">
        <f>Calc_CFADS!AK14</f>
        <v>0</v>
      </c>
      <c r="AL22" s="12">
        <f>Calc_CFADS!AL14</f>
        <v>2000000</v>
      </c>
      <c r="AM22" s="12">
        <f>Calc_CFADS!AM14</f>
        <v>0</v>
      </c>
      <c r="AN22" s="12">
        <f>Calc_CFADS!AN14</f>
        <v>0</v>
      </c>
      <c r="AO22" s="12">
        <f>Calc_CFADS!AO14</f>
        <v>0</v>
      </c>
      <c r="AP22" s="12">
        <f>Calc_CFADS!AP14</f>
        <v>-2000000</v>
      </c>
      <c r="AQ22" s="12">
        <f>Calc_CFADS!AQ14</f>
        <v>0</v>
      </c>
      <c r="AR22" s="12">
        <f>Calc_CFADS!AR14</f>
        <v>0</v>
      </c>
      <c r="AS22" s="12">
        <f>Calc_CFADS!AS14</f>
        <v>0</v>
      </c>
      <c r="AT22" s="12">
        <f>Calc_CFADS!AT14</f>
        <v>0</v>
      </c>
      <c r="AU22" s="12">
        <f>Calc_CFADS!AU14</f>
        <v>0</v>
      </c>
      <c r="AV22" s="12">
        <f>Calc_CFADS!AV14</f>
        <v>0</v>
      </c>
      <c r="AW22" s="12">
        <f>Calc_CFADS!AW14</f>
        <v>0</v>
      </c>
      <c r="AX22" s="12">
        <f>Calc_CFADS!AX14</f>
        <v>0</v>
      </c>
      <c r="AY22" s="12">
        <f>Calc_CFADS!AY14</f>
        <v>0</v>
      </c>
      <c r="AZ22" s="12">
        <f>Calc_CFADS!AZ14</f>
        <v>0</v>
      </c>
      <c r="BA22" s="12">
        <f>Calc_CFADS!BA14</f>
        <v>0</v>
      </c>
      <c r="BB22" s="12">
        <f>Calc_CFADS!BB14</f>
        <v>0</v>
      </c>
      <c r="BC22" s="12">
        <f>Calc_CFADS!BC14</f>
        <v>0</v>
      </c>
      <c r="BD22" s="12">
        <f>Calc_CFADS!BD14</f>
        <v>0</v>
      </c>
      <c r="BE22" s="12">
        <f>Calc_CFADS!BE14</f>
        <v>0</v>
      </c>
      <c r="BF22" s="12">
        <f>Calc_CFADS!BF14</f>
        <v>2000000</v>
      </c>
      <c r="BG22" s="12">
        <f>Calc_CFADS!BG14</f>
        <v>0</v>
      </c>
      <c r="BH22" s="12">
        <f>Calc_CFADS!BH14</f>
        <v>0</v>
      </c>
      <c r="BI22" s="12">
        <f>Calc_CFADS!BI14</f>
        <v>0</v>
      </c>
      <c r="BJ22" s="12">
        <f>Calc_CFADS!BJ14</f>
        <v>-2000000</v>
      </c>
      <c r="BK22" s="12">
        <f>Calc_CFADS!BK14</f>
        <v>0</v>
      </c>
      <c r="BL22" s="12">
        <f>Calc_CFADS!BL14</f>
        <v>0</v>
      </c>
      <c r="BM22" s="12">
        <f>Calc_CFADS!BM14</f>
        <v>0</v>
      </c>
      <c r="BN22" s="12">
        <f>Calc_CFADS!BN14</f>
        <v>0</v>
      </c>
      <c r="BO22" s="12">
        <f>Calc_CFADS!BO14</f>
        <v>0</v>
      </c>
      <c r="BP22" s="12">
        <f>Calc_CFADS!BP14</f>
        <v>0</v>
      </c>
      <c r="BQ22" s="12">
        <f>Calc_CFADS!BQ14</f>
        <v>0</v>
      </c>
      <c r="BR22" s="12">
        <f>Calc_CFADS!BR14</f>
        <v>0</v>
      </c>
      <c r="BS22" s="12">
        <f>Calc_CFADS!BS14</f>
        <v>0</v>
      </c>
      <c r="BT22" s="12">
        <f>Calc_CFADS!BT14</f>
        <v>0</v>
      </c>
      <c r="BU22" s="12">
        <f>Calc_CFADS!BU14</f>
        <v>0</v>
      </c>
      <c r="BV22" s="12">
        <f>Calc_CFADS!BV14</f>
        <v>0</v>
      </c>
      <c r="BW22" s="12">
        <f>Calc_CFADS!BW14</f>
        <v>0</v>
      </c>
      <c r="BX22" s="12">
        <f>Calc_CFADS!BX14</f>
        <v>0</v>
      </c>
      <c r="BY22" s="12">
        <f>Calc_CFADS!BY14</f>
        <v>0</v>
      </c>
      <c r="BZ22" s="12">
        <f>Calc_CFADS!BZ14</f>
        <v>2000000</v>
      </c>
      <c r="CA22" s="12">
        <f>Calc_CFADS!CA14</f>
        <v>-56250</v>
      </c>
      <c r="CB22" s="12">
        <f>Calc_CFADS!CB14</f>
        <v>-56250</v>
      </c>
      <c r="CC22" s="12">
        <f>Calc_CFADS!CC14</f>
        <v>-56250</v>
      </c>
      <c r="CD22" s="12">
        <f>Calc_CFADS!CD14</f>
        <v>-2056250</v>
      </c>
    </row>
    <row r="23" spans="1:82" x14ac:dyDescent="0.45">
      <c r="A23" t="s">
        <v>262</v>
      </c>
      <c r="C23" s="12">
        <f>Calc_CFADS!C16</f>
        <v>-3647412.7277662698</v>
      </c>
      <c r="D23" s="12">
        <f>Calc_CFADS!D16</f>
        <v>542737.85456600972</v>
      </c>
      <c r="E23" s="12">
        <f>Calc_CFADS!E16</f>
        <v>542136.5320391336</v>
      </c>
      <c r="F23" s="12">
        <f>Calc_CFADS!F16</f>
        <v>541526.7073114519</v>
      </c>
      <c r="G23" s="12">
        <f>Calc_CFADS!G16</f>
        <v>540908.27737553138</v>
      </c>
      <c r="H23" s="12">
        <f>Calc_CFADS!H16</f>
        <v>540281.137975964</v>
      </c>
      <c r="I23" s="12">
        <f>Calc_CFADS!I16</f>
        <v>539645.18359424779</v>
      </c>
      <c r="J23" s="12">
        <f>Calc_CFADS!J16</f>
        <v>539000.30743348366</v>
      </c>
      <c r="K23" s="12">
        <f>Calc_CFADS!K16</f>
        <v>538346.40140288696</v>
      </c>
      <c r="L23" s="12">
        <f>Calc_CFADS!L16</f>
        <v>537683.35610211222</v>
      </c>
      <c r="M23" s="12">
        <f>Calc_CFADS!M16</f>
        <v>537011.0608053857</v>
      </c>
      <c r="N23" s="12">
        <f>Calc_CFADS!N16</f>
        <v>536329.40344544919</v>
      </c>
      <c r="O23" s="12">
        <f>Calc_CFADS!O16</f>
        <v>535638.27059730561</v>
      </c>
      <c r="P23" s="12">
        <f>Calc_CFADS!P16</f>
        <v>534937.54746177047</v>
      </c>
      <c r="Q23" s="12">
        <f>Calc_CFADS!Q16</f>
        <v>534227.11784882564</v>
      </c>
      <c r="R23" s="12">
        <f>Calc_CFADS!R16</f>
        <v>-1466493.1358392395</v>
      </c>
      <c r="S23" s="12">
        <f>Calc_CFADS!S16</f>
        <v>532776.66737512965</v>
      </c>
      <c r="T23" s="12">
        <f>Calc_CFADS!T16</f>
        <v>522421.02241209522</v>
      </c>
      <c r="U23" s="12">
        <f>Calc_CFADS!U16</f>
        <v>521698.31326489407</v>
      </c>
      <c r="V23" s="12">
        <f>Calc_CFADS!V16</f>
        <v>533465.63127129292</v>
      </c>
      <c r="W23" s="12">
        <f>Calc_CFADS!W16</f>
        <v>532686.79791411664</v>
      </c>
      <c r="X23" s="12">
        <f>Calc_CFADS!X16</f>
        <v>531897.31174415117</v>
      </c>
      <c r="Y23" s="12">
        <f>Calc_CFADS!Y16</f>
        <v>531097.0436984722</v>
      </c>
      <c r="Z23" s="12">
        <f>Calc_CFADS!Z16</f>
        <v>530285.86315051001</v>
      </c>
      <c r="AA23" s="12">
        <f>Calc_CFADS!AA16</f>
        <v>529463.63789110025</v>
      </c>
      <c r="AB23" s="12">
        <f>Calc_CFADS!AB16</f>
        <v>528630.23410931765</v>
      </c>
      <c r="AC23" s="12">
        <f>Calc_CFADS!AC16</f>
        <v>527785.51637306297</v>
      </c>
      <c r="AD23" s="12">
        <f>Calc_CFADS!AD16</f>
        <v>526929.34760942659</v>
      </c>
      <c r="AE23" s="12">
        <f>Calc_CFADS!AE16</f>
        <v>526061.58908480895</v>
      </c>
      <c r="AF23" s="12">
        <f>Calc_CFADS!AF16</f>
        <v>525182.10038479464</v>
      </c>
      <c r="AG23" s="12">
        <f>Calc_CFADS!AG16</f>
        <v>524290.73939380166</v>
      </c>
      <c r="AH23" s="12">
        <f>Calc_CFADS!AH16</f>
        <v>523387.36227445537</v>
      </c>
      <c r="AI23" s="12">
        <f>Calc_CFADS!AI16</f>
        <v>522471.8234467397</v>
      </c>
      <c r="AJ23" s="12">
        <f>Calc_CFADS!AJ16</f>
        <v>521543.97556688078</v>
      </c>
      <c r="AK23" s="12">
        <f>Calc_CFADS!AK16</f>
        <v>520603.66950597754</v>
      </c>
      <c r="AL23" s="12">
        <f>Calc_CFADS!AL16</f>
        <v>-1480349.2456716248</v>
      </c>
      <c r="AM23" s="12">
        <f>Calc_CFADS!AM16</f>
        <v>518685.07726977509</v>
      </c>
      <c r="AN23" s="12">
        <f>Calc_CFADS!AN16</f>
        <v>508091.09909969475</v>
      </c>
      <c r="AO23" s="12">
        <f>Calc_CFADS!AO16</f>
        <v>507397.60193928541</v>
      </c>
      <c r="AP23" s="12">
        <f>Calc_CFADS!AP16</f>
        <v>519190.429356548</v>
      </c>
      <c r="AQ23" s="12">
        <f>Calc_CFADS!AQ16</f>
        <v>518081.79547617328</v>
      </c>
      <c r="AR23" s="12">
        <f>Calc_CFADS!AR16</f>
        <v>516959.73006993998</v>
      </c>
      <c r="AS23" s="12">
        <f>Calc_CFADS!AS16</f>
        <v>515824.07040974731</v>
      </c>
      <c r="AT23" s="12">
        <f>Calc_CFADS!AT16</f>
        <v>514674.65179597889</v>
      </c>
      <c r="AU23" s="12">
        <f>Calc_CFADS!AU16</f>
        <v>513511.30753362062</v>
      </c>
      <c r="AV23" s="12">
        <f>Calc_CFADS!AV16</f>
        <v>512333.86890808283</v>
      </c>
      <c r="AW23" s="12">
        <f>Calc_CFADS!AW16</f>
        <v>511142.16516073653</v>
      </c>
      <c r="AX23" s="12">
        <f>Calc_CFADS!AX16</f>
        <v>509936.02346414421</v>
      </c>
      <c r="AY23" s="12">
        <f>Calc_CFADS!AY16</f>
        <v>508715.26889699628</v>
      </c>
      <c r="AZ23" s="12">
        <f>Calc_CFADS!AZ16</f>
        <v>507479.72441874561</v>
      </c>
      <c r="BA23" s="12">
        <f>Calc_CFADS!BA16</f>
        <v>506229.21084393235</v>
      </c>
      <c r="BB23" s="12">
        <f>Calc_CFADS!BB16</f>
        <v>504963.54681619443</v>
      </c>
      <c r="BC23" s="12">
        <f>Calc_CFADS!BC16</f>
        <v>503682.54878196423</v>
      </c>
      <c r="BD23" s="12">
        <f>Calc_CFADS!BD16</f>
        <v>502386.03096385952</v>
      </c>
      <c r="BE23" s="12">
        <f>Calc_CFADS!BE16</f>
        <v>501073.80533372751</v>
      </c>
      <c r="BF23" s="12">
        <f>Calc_CFADS!BF16</f>
        <v>-1500254.3184146159</v>
      </c>
      <c r="BG23" s="12">
        <f>Calc_CFADS!BG16</f>
        <v>498401.46710701287</v>
      </c>
      <c r="BH23" s="12">
        <f>Calc_CFADS!BH16</f>
        <v>497166.39847328281</v>
      </c>
      <c r="BI23" s="12">
        <f>Calc_CFADS!BI16</f>
        <v>2291289.4009442842</v>
      </c>
      <c r="BJ23" s="12">
        <f>Calc_CFADS!BJ16</f>
        <v>2284716.0409969846</v>
      </c>
      <c r="BK23" s="12">
        <f>Calc_CFADS!BK16</f>
        <v>2278063.512633909</v>
      </c>
      <c r="BL23" s="12">
        <f>Calc_CFADS!BL16</f>
        <v>2278063.512633909</v>
      </c>
      <c r="BM23" s="12">
        <f>Calc_CFADS!BM16</f>
        <v>2278063.512633909</v>
      </c>
      <c r="BN23" s="12">
        <f>Calc_CFADS!BN16</f>
        <v>2278063.512633909</v>
      </c>
      <c r="BO23" s="12">
        <f>Calc_CFADS!BO16</f>
        <v>2278063.512633909</v>
      </c>
      <c r="BP23" s="12">
        <f>Calc_CFADS!BP16</f>
        <v>2278063.512633909</v>
      </c>
      <c r="BQ23" s="12">
        <f>Calc_CFADS!BQ16</f>
        <v>2278063.512633909</v>
      </c>
      <c r="BR23" s="12">
        <f>Calc_CFADS!BR16</f>
        <v>2278063.512633909</v>
      </c>
      <c r="BS23" s="12">
        <f>Calc_CFADS!BS16</f>
        <v>2278063.512633909</v>
      </c>
      <c r="BT23" s="12">
        <f>Calc_CFADS!BT16</f>
        <v>2278063.512633909</v>
      </c>
      <c r="BU23" s="12">
        <f>Calc_CFADS!BU16</f>
        <v>2278063.512633909</v>
      </c>
      <c r="BV23" s="12">
        <f>Calc_CFADS!BV16</f>
        <v>2278063.512633909</v>
      </c>
      <c r="BW23" s="12">
        <f>Calc_CFADS!BW16</f>
        <v>2278063.512633909</v>
      </c>
      <c r="BX23" s="12">
        <f>Calc_CFADS!BX16</f>
        <v>2278063.512633909</v>
      </c>
      <c r="BY23" s="12">
        <f>Calc_CFADS!BY16</f>
        <v>2278063.512633909</v>
      </c>
      <c r="BZ23" s="12">
        <f>Calc_CFADS!BZ16</f>
        <v>278063.51263390901</v>
      </c>
      <c r="CA23" s="12">
        <f>Calc_CFADS!CA16</f>
        <v>2334313.512633909</v>
      </c>
      <c r="CB23" s="12">
        <f>Calc_CFADS!CB16</f>
        <v>2334313.512633909</v>
      </c>
      <c r="CC23" s="12">
        <f>Calc_CFADS!CC16</f>
        <v>2334313.512633909</v>
      </c>
      <c r="CD23" s="12">
        <f>Calc_CFADS!CD16</f>
        <v>2334313.5126339085</v>
      </c>
    </row>
    <row r="24" spans="1:82" x14ac:dyDescent="0.45">
      <c r="A24" t="s">
        <v>263</v>
      </c>
      <c r="C24" s="18">
        <f t="shared" ref="C24:AH24" si="18">-C20-C21-C22-C23</f>
        <v>-1388707.8588384744</v>
      </c>
      <c r="D24" s="18">
        <f t="shared" si="18"/>
        <v>-1398619.3249450929</v>
      </c>
      <c r="E24" s="18">
        <f t="shared" si="18"/>
        <v>-1408649.6553285795</v>
      </c>
      <c r="F24" s="18">
        <f t="shared" si="18"/>
        <v>-1418800.2900753662</v>
      </c>
      <c r="G24" s="18">
        <f t="shared" si="18"/>
        <v>-1429072.6867190851</v>
      </c>
      <c r="H24" s="18">
        <f t="shared" si="18"/>
        <v>-1439468.320451949</v>
      </c>
      <c r="I24" s="18">
        <f t="shared" si="18"/>
        <v>-1449988.6843386916</v>
      </c>
      <c r="J24" s="18">
        <f t="shared" si="18"/>
        <v>-1460635.2895331006</v>
      </c>
      <c r="K24" s="18">
        <f t="shared" si="18"/>
        <v>-1471409.6654971726</v>
      </c>
      <c r="L24" s="18">
        <f t="shared" si="18"/>
        <v>-1482313.360222925</v>
      </c>
      <c r="M24" s="18">
        <f t="shared" si="18"/>
        <v>-1493347.9404568933</v>
      </c>
      <c r="N24" s="18">
        <f t="shared" si="18"/>
        <v>-1504514.9919273495</v>
      </c>
      <c r="O24" s="18">
        <f t="shared" si="18"/>
        <v>-1515816.1195742753</v>
      </c>
      <c r="P24" s="18">
        <f t="shared" si="18"/>
        <v>-1527252.9477821151</v>
      </c>
      <c r="Q24" s="18">
        <f t="shared" si="18"/>
        <v>-1538827.1206153582</v>
      </c>
      <c r="R24" s="18">
        <f t="shared" si="18"/>
        <v>-1550540.3020569657</v>
      </c>
      <c r="S24" s="18">
        <f t="shared" si="18"/>
        <v>-1562394.176249692</v>
      </c>
      <c r="T24" s="18">
        <f t="shared" si="18"/>
        <v>-1574390.4477403306</v>
      </c>
      <c r="U24" s="18">
        <f t="shared" si="18"/>
        <v>-1586530.8417269131</v>
      </c>
      <c r="V24" s="18">
        <f t="shared" si="18"/>
        <v>388682.8956910898</v>
      </c>
      <c r="W24" s="18">
        <f t="shared" si="18"/>
        <v>-1623859.1758173816</v>
      </c>
      <c r="X24" s="18">
        <f t="shared" si="18"/>
        <v>-1636551.9823989365</v>
      </c>
      <c r="Y24" s="18">
        <f t="shared" si="18"/>
        <v>-1649397.3502669602</v>
      </c>
      <c r="Z24" s="18">
        <f t="shared" si="18"/>
        <v>-1662397.1277601155</v>
      </c>
      <c r="AA24" s="18">
        <f t="shared" si="18"/>
        <v>-1675553.1856103996</v>
      </c>
      <c r="AB24" s="18">
        <f t="shared" si="18"/>
        <v>-1688867.4172144465</v>
      </c>
      <c r="AC24" s="18">
        <f t="shared" si="18"/>
        <v>-1702341.7389081195</v>
      </c>
      <c r="AD24" s="18">
        <f t="shared" si="18"/>
        <v>-1715978.0902444271</v>
      </c>
      <c r="AE24" s="18">
        <f t="shared" si="18"/>
        <v>-1729778.4342748097</v>
      </c>
      <c r="AF24" s="18">
        <f t="shared" si="18"/>
        <v>-1743744.7578338294</v>
      </c>
      <c r="AG24" s="18">
        <f t="shared" si="18"/>
        <v>-1757879.0718273141</v>
      </c>
      <c r="AH24" s="18">
        <f t="shared" si="18"/>
        <v>-1772183.4115239894</v>
      </c>
      <c r="AI24" s="18">
        <f t="shared" ref="AI24:BN24" si="19">-AI20-AI21-AI22-AI23</f>
        <v>-1786659.8368506434</v>
      </c>
      <c r="AJ24" s="18">
        <f t="shared" si="19"/>
        <v>-1801310.4326908705</v>
      </c>
      <c r="AK24" s="18">
        <f t="shared" si="19"/>
        <v>-1816137.3091874309</v>
      </c>
      <c r="AL24" s="18">
        <f t="shared" si="19"/>
        <v>-1831142.6020482769</v>
      </c>
      <c r="AM24" s="18">
        <f t="shared" si="19"/>
        <v>-1846328.4728562825</v>
      </c>
      <c r="AN24" s="18">
        <f t="shared" si="19"/>
        <v>-1861697.1093827321</v>
      </c>
      <c r="AO24" s="18">
        <f t="shared" si="19"/>
        <v>-1877250.7259045977</v>
      </c>
      <c r="AP24" s="18">
        <f t="shared" si="19"/>
        <v>94508.436474329093</v>
      </c>
      <c r="AQ24" s="18">
        <f t="shared" si="19"/>
        <v>-1921178.5010784985</v>
      </c>
      <c r="AR24" s="18">
        <f t="shared" si="19"/>
        <v>-1937055.4919132171</v>
      </c>
      <c r="AS24" s="18">
        <f t="shared" si="19"/>
        <v>-1953124.8385984327</v>
      </c>
      <c r="AT24" s="18">
        <f t="shared" si="19"/>
        <v>-1969388.8715992582</v>
      </c>
      <c r="AU24" s="18">
        <f t="shared" si="19"/>
        <v>-1985849.9496152855</v>
      </c>
      <c r="AV24" s="18">
        <f t="shared" si="19"/>
        <v>-2002510.4599226608</v>
      </c>
      <c r="AW24" s="18">
        <f t="shared" si="19"/>
        <v>-2019372.8187202988</v>
      </c>
      <c r="AX24" s="18">
        <f t="shared" si="19"/>
        <v>-2036439.471480293</v>
      </c>
      <c r="AY24" s="18">
        <f t="shared" si="19"/>
        <v>-2053712.8933025715</v>
      </c>
      <c r="AZ24" s="18">
        <f t="shared" si="19"/>
        <v>-2071195.5892738504</v>
      </c>
      <c r="BA24" s="18">
        <f t="shared" si="19"/>
        <v>-2088890.0948309354</v>
      </c>
      <c r="BB24" s="18">
        <f t="shared" si="19"/>
        <v>-2106798.9761284236</v>
      </c>
      <c r="BC24" s="18">
        <f t="shared" si="19"/>
        <v>-2124924.8304108623</v>
      </c>
      <c r="BD24" s="18">
        <f t="shared" si="19"/>
        <v>-2143270.2863894152</v>
      </c>
      <c r="BE24" s="18">
        <f t="shared" si="19"/>
        <v>-2161838.0046230927</v>
      </c>
      <c r="BF24" s="18">
        <f t="shared" si="19"/>
        <v>-2180630.6779046007</v>
      </c>
      <c r="BG24" s="18">
        <f t="shared" si="19"/>
        <v>-2199651.0316508664</v>
      </c>
      <c r="BH24" s="18">
        <f t="shared" si="19"/>
        <v>-2218901.8242982882</v>
      </c>
      <c r="BI24" s="18">
        <f t="shared" si="19"/>
        <v>-2238385.8477027845</v>
      </c>
      <c r="BJ24" s="18">
        <f t="shared" si="19"/>
        <v>-258105.92754468159</v>
      </c>
      <c r="BK24" s="18">
        <f t="shared" si="19"/>
        <v>-2278063.512633909</v>
      </c>
      <c r="BL24" s="18">
        <f t="shared" si="19"/>
        <v>-2278063.512633909</v>
      </c>
      <c r="BM24" s="18">
        <f t="shared" si="19"/>
        <v>-2278063.512633909</v>
      </c>
      <c r="BN24" s="18">
        <f t="shared" si="19"/>
        <v>-2278063.512633909</v>
      </c>
      <c r="BO24" s="18">
        <f t="shared" ref="BO24:CD24" si="20">-BO20-BO21-BO22-BO23</f>
        <v>-2278063.512633909</v>
      </c>
      <c r="BP24" s="18">
        <f t="shared" si="20"/>
        <v>-2278063.512633909</v>
      </c>
      <c r="BQ24" s="18">
        <f t="shared" si="20"/>
        <v>-2278063.512633909</v>
      </c>
      <c r="BR24" s="18">
        <f t="shared" si="20"/>
        <v>-2278063.512633909</v>
      </c>
      <c r="BS24" s="18">
        <f t="shared" si="20"/>
        <v>-2278063.512633909</v>
      </c>
      <c r="BT24" s="18">
        <f t="shared" si="20"/>
        <v>-2278063.512633909</v>
      </c>
      <c r="BU24" s="18">
        <f t="shared" si="20"/>
        <v>-2278063.512633909</v>
      </c>
      <c r="BV24" s="18">
        <f t="shared" si="20"/>
        <v>-2278063.512633909</v>
      </c>
      <c r="BW24" s="18">
        <f t="shared" si="20"/>
        <v>-2278063.512633909</v>
      </c>
      <c r="BX24" s="18">
        <f t="shared" si="20"/>
        <v>-2278063.512633909</v>
      </c>
      <c r="BY24" s="18">
        <f t="shared" si="20"/>
        <v>-2278063.512633909</v>
      </c>
      <c r="BZ24" s="18">
        <f t="shared" si="20"/>
        <v>-2278063.512633909</v>
      </c>
      <c r="CA24" s="18">
        <f t="shared" si="20"/>
        <v>-2278063.512633909</v>
      </c>
      <c r="CB24" s="18">
        <f t="shared" si="20"/>
        <v>-2278063.512633909</v>
      </c>
      <c r="CC24" s="18">
        <f t="shared" si="20"/>
        <v>-2278063.512633909</v>
      </c>
      <c r="CD24" s="18">
        <f t="shared" si="20"/>
        <v>-278063.51263390854</v>
      </c>
    </row>
    <row r="25" spans="1:82" x14ac:dyDescent="0.45">
      <c r="A25" t="s">
        <v>264</v>
      </c>
      <c r="C25" s="18">
        <f t="shared" ref="C25:AH25" si="21">C18+C19+C24</f>
        <v>0</v>
      </c>
      <c r="D25" s="18">
        <f t="shared" si="21"/>
        <v>0</v>
      </c>
      <c r="E25" s="18">
        <f t="shared" si="21"/>
        <v>0</v>
      </c>
      <c r="F25" s="18">
        <f t="shared" si="21"/>
        <v>0</v>
      </c>
      <c r="G25" s="18">
        <f t="shared" si="21"/>
        <v>0</v>
      </c>
      <c r="H25" s="18">
        <f t="shared" si="21"/>
        <v>0</v>
      </c>
      <c r="I25" s="18">
        <f t="shared" si="21"/>
        <v>0</v>
      </c>
      <c r="J25" s="18">
        <f t="shared" si="21"/>
        <v>0</v>
      </c>
      <c r="K25" s="18">
        <f t="shared" si="21"/>
        <v>0</v>
      </c>
      <c r="L25" s="18">
        <f t="shared" si="21"/>
        <v>0</v>
      </c>
      <c r="M25" s="18">
        <f t="shared" si="21"/>
        <v>0</v>
      </c>
      <c r="N25" s="18">
        <f t="shared" si="21"/>
        <v>0</v>
      </c>
      <c r="O25" s="18">
        <f t="shared" si="21"/>
        <v>0</v>
      </c>
      <c r="P25" s="18">
        <f t="shared" si="21"/>
        <v>0</v>
      </c>
      <c r="Q25" s="18">
        <f t="shared" si="21"/>
        <v>0</v>
      </c>
      <c r="R25" s="18">
        <f t="shared" si="21"/>
        <v>0</v>
      </c>
      <c r="S25" s="18">
        <f t="shared" si="21"/>
        <v>0</v>
      </c>
      <c r="T25" s="18">
        <f t="shared" si="21"/>
        <v>0</v>
      </c>
      <c r="U25" s="18">
        <f t="shared" si="21"/>
        <v>0</v>
      </c>
      <c r="V25" s="18">
        <f t="shared" si="21"/>
        <v>0</v>
      </c>
      <c r="W25" s="18">
        <f t="shared" si="21"/>
        <v>0</v>
      </c>
      <c r="X25" s="18">
        <f t="shared" si="21"/>
        <v>0</v>
      </c>
      <c r="Y25" s="18">
        <f t="shared" si="21"/>
        <v>0</v>
      </c>
      <c r="Z25" s="18">
        <f t="shared" si="21"/>
        <v>0</v>
      </c>
      <c r="AA25" s="18">
        <f t="shared" si="21"/>
        <v>0</v>
      </c>
      <c r="AB25" s="18">
        <f t="shared" si="21"/>
        <v>0</v>
      </c>
      <c r="AC25" s="18">
        <f t="shared" si="21"/>
        <v>0</v>
      </c>
      <c r="AD25" s="18">
        <f t="shared" si="21"/>
        <v>0</v>
      </c>
      <c r="AE25" s="18">
        <f t="shared" si="21"/>
        <v>0</v>
      </c>
      <c r="AF25" s="18">
        <f t="shared" si="21"/>
        <v>0</v>
      </c>
      <c r="AG25" s="18">
        <f t="shared" si="21"/>
        <v>0</v>
      </c>
      <c r="AH25" s="18">
        <f t="shared" si="21"/>
        <v>0</v>
      </c>
      <c r="AI25" s="18">
        <f t="shared" ref="AI25:BN25" si="22">AI18+AI19+AI24</f>
        <v>0</v>
      </c>
      <c r="AJ25" s="18">
        <f t="shared" si="22"/>
        <v>0</v>
      </c>
      <c r="AK25" s="18">
        <f t="shared" si="22"/>
        <v>0</v>
      </c>
      <c r="AL25" s="18">
        <f t="shared" si="22"/>
        <v>0</v>
      </c>
      <c r="AM25" s="18">
        <f t="shared" si="22"/>
        <v>0</v>
      </c>
      <c r="AN25" s="18">
        <f t="shared" si="22"/>
        <v>0</v>
      </c>
      <c r="AO25" s="18">
        <f t="shared" si="22"/>
        <v>0</v>
      </c>
      <c r="AP25" s="18">
        <f t="shared" si="22"/>
        <v>-4.6566128730773926E-10</v>
      </c>
      <c r="AQ25" s="18">
        <f t="shared" si="22"/>
        <v>0</v>
      </c>
      <c r="AR25" s="18">
        <f t="shared" si="22"/>
        <v>0</v>
      </c>
      <c r="AS25" s="18">
        <f t="shared" si="22"/>
        <v>0</v>
      </c>
      <c r="AT25" s="18">
        <f t="shared" si="22"/>
        <v>0</v>
      </c>
      <c r="AU25" s="18">
        <f t="shared" si="22"/>
        <v>0</v>
      </c>
      <c r="AV25" s="18">
        <f t="shared" si="22"/>
        <v>0</v>
      </c>
      <c r="AW25" s="18">
        <f t="shared" si="22"/>
        <v>0</v>
      </c>
      <c r="AX25" s="18">
        <f t="shared" si="22"/>
        <v>0</v>
      </c>
      <c r="AY25" s="18">
        <f t="shared" si="22"/>
        <v>0</v>
      </c>
      <c r="AZ25" s="18">
        <f t="shared" si="22"/>
        <v>0</v>
      </c>
      <c r="BA25" s="18">
        <f t="shared" si="22"/>
        <v>0</v>
      </c>
      <c r="BB25" s="18">
        <f t="shared" si="22"/>
        <v>0</v>
      </c>
      <c r="BC25" s="18">
        <f t="shared" si="22"/>
        <v>0</v>
      </c>
      <c r="BD25" s="18">
        <f t="shared" si="22"/>
        <v>0</v>
      </c>
      <c r="BE25" s="18">
        <f t="shared" si="22"/>
        <v>0</v>
      </c>
      <c r="BF25" s="18">
        <f t="shared" si="22"/>
        <v>0</v>
      </c>
      <c r="BG25" s="18">
        <f t="shared" si="22"/>
        <v>0</v>
      </c>
      <c r="BH25" s="18">
        <f t="shared" si="22"/>
        <v>0</v>
      </c>
      <c r="BI25" s="18">
        <f t="shared" si="22"/>
        <v>0</v>
      </c>
      <c r="BJ25" s="18">
        <f t="shared" si="22"/>
        <v>2.3283064365386963E-10</v>
      </c>
      <c r="BK25" s="18">
        <f t="shared" si="22"/>
        <v>0</v>
      </c>
      <c r="BL25" s="18">
        <f t="shared" si="22"/>
        <v>0</v>
      </c>
      <c r="BM25" s="18">
        <f t="shared" si="22"/>
        <v>0</v>
      </c>
      <c r="BN25" s="18">
        <f t="shared" si="22"/>
        <v>0</v>
      </c>
      <c r="BO25" s="18">
        <f t="shared" ref="BO25:CD25" si="23">BO18+BO19+BO24</f>
        <v>0</v>
      </c>
      <c r="BP25" s="18">
        <f t="shared" si="23"/>
        <v>0</v>
      </c>
      <c r="BQ25" s="18">
        <f t="shared" si="23"/>
        <v>0</v>
      </c>
      <c r="BR25" s="18">
        <f t="shared" si="23"/>
        <v>0</v>
      </c>
      <c r="BS25" s="18">
        <f t="shared" si="23"/>
        <v>0</v>
      </c>
      <c r="BT25" s="18">
        <f t="shared" si="23"/>
        <v>0</v>
      </c>
      <c r="BU25" s="18">
        <f t="shared" si="23"/>
        <v>0</v>
      </c>
      <c r="BV25" s="18">
        <f t="shared" si="23"/>
        <v>0</v>
      </c>
      <c r="BW25" s="18">
        <f t="shared" si="23"/>
        <v>0</v>
      </c>
      <c r="BX25" s="18">
        <f t="shared" si="23"/>
        <v>0</v>
      </c>
      <c r="BY25" s="18">
        <f t="shared" si="23"/>
        <v>0</v>
      </c>
      <c r="BZ25" s="18">
        <f t="shared" si="23"/>
        <v>0</v>
      </c>
      <c r="CA25" s="18">
        <f t="shared" si="23"/>
        <v>0</v>
      </c>
      <c r="CB25" s="18">
        <f t="shared" si="23"/>
        <v>0</v>
      </c>
      <c r="CC25" s="18">
        <f t="shared" si="23"/>
        <v>0</v>
      </c>
      <c r="CD25" s="18">
        <f t="shared" si="23"/>
        <v>4.6566128730773926E-10</v>
      </c>
    </row>
    <row r="26" spans="1:82" x14ac:dyDescent="0.45">
      <c r="A26" t="s">
        <v>265</v>
      </c>
      <c r="C26" s="18">
        <f>0</f>
        <v>0</v>
      </c>
      <c r="D26" s="18">
        <f t="shared" ref="D26:AI26" si="24">C27</f>
        <v>0</v>
      </c>
      <c r="E26" s="18">
        <f t="shared" si="24"/>
        <v>0</v>
      </c>
      <c r="F26" s="18">
        <f t="shared" si="24"/>
        <v>0</v>
      </c>
      <c r="G26" s="18">
        <f t="shared" si="24"/>
        <v>0</v>
      </c>
      <c r="H26" s="18">
        <f t="shared" si="24"/>
        <v>0</v>
      </c>
      <c r="I26" s="18">
        <f t="shared" si="24"/>
        <v>0</v>
      </c>
      <c r="J26" s="18">
        <f t="shared" si="24"/>
        <v>0</v>
      </c>
      <c r="K26" s="18">
        <f t="shared" si="24"/>
        <v>0</v>
      </c>
      <c r="L26" s="18">
        <f t="shared" si="24"/>
        <v>0</v>
      </c>
      <c r="M26" s="18">
        <f t="shared" si="24"/>
        <v>0</v>
      </c>
      <c r="N26" s="18">
        <f t="shared" si="24"/>
        <v>0</v>
      </c>
      <c r="O26" s="18">
        <f t="shared" si="24"/>
        <v>0</v>
      </c>
      <c r="P26" s="18">
        <f t="shared" si="24"/>
        <v>0</v>
      </c>
      <c r="Q26" s="18">
        <f t="shared" si="24"/>
        <v>0</v>
      </c>
      <c r="R26" s="18">
        <f t="shared" si="24"/>
        <v>0</v>
      </c>
      <c r="S26" s="18">
        <f t="shared" si="24"/>
        <v>0</v>
      </c>
      <c r="T26" s="18">
        <f t="shared" si="24"/>
        <v>0</v>
      </c>
      <c r="U26" s="18">
        <f t="shared" si="24"/>
        <v>0</v>
      </c>
      <c r="V26" s="18">
        <f t="shared" si="24"/>
        <v>0</v>
      </c>
      <c r="W26" s="18">
        <f t="shared" si="24"/>
        <v>0</v>
      </c>
      <c r="X26" s="18">
        <f t="shared" si="24"/>
        <v>0</v>
      </c>
      <c r="Y26" s="18">
        <f t="shared" si="24"/>
        <v>0</v>
      </c>
      <c r="Z26" s="18">
        <f t="shared" si="24"/>
        <v>0</v>
      </c>
      <c r="AA26" s="18">
        <f t="shared" si="24"/>
        <v>0</v>
      </c>
      <c r="AB26" s="18">
        <f t="shared" si="24"/>
        <v>0</v>
      </c>
      <c r="AC26" s="18">
        <f t="shared" si="24"/>
        <v>0</v>
      </c>
      <c r="AD26" s="18">
        <f t="shared" si="24"/>
        <v>0</v>
      </c>
      <c r="AE26" s="18">
        <f t="shared" si="24"/>
        <v>0</v>
      </c>
      <c r="AF26" s="18">
        <f t="shared" si="24"/>
        <v>0</v>
      </c>
      <c r="AG26" s="18">
        <f t="shared" si="24"/>
        <v>0</v>
      </c>
      <c r="AH26" s="18">
        <f t="shared" si="24"/>
        <v>0</v>
      </c>
      <c r="AI26" s="18">
        <f t="shared" si="24"/>
        <v>0</v>
      </c>
      <c r="AJ26" s="18">
        <f t="shared" ref="AJ26:BO26" si="25">AI27</f>
        <v>0</v>
      </c>
      <c r="AK26" s="18">
        <f t="shared" si="25"/>
        <v>0</v>
      </c>
      <c r="AL26" s="18">
        <f t="shared" si="25"/>
        <v>0</v>
      </c>
      <c r="AM26" s="18">
        <f t="shared" si="25"/>
        <v>0</v>
      </c>
      <c r="AN26" s="18">
        <f t="shared" si="25"/>
        <v>0</v>
      </c>
      <c r="AO26" s="18">
        <f t="shared" si="25"/>
        <v>0</v>
      </c>
      <c r="AP26" s="18">
        <f t="shared" si="25"/>
        <v>0</v>
      </c>
      <c r="AQ26" s="18">
        <f t="shared" si="25"/>
        <v>-4.6566128730773926E-10</v>
      </c>
      <c r="AR26" s="18">
        <f t="shared" si="25"/>
        <v>-4.6566128730773926E-10</v>
      </c>
      <c r="AS26" s="18">
        <f t="shared" si="25"/>
        <v>-4.6566128730773926E-10</v>
      </c>
      <c r="AT26" s="18">
        <f t="shared" si="25"/>
        <v>-4.6566128730773926E-10</v>
      </c>
      <c r="AU26" s="18">
        <f t="shared" si="25"/>
        <v>-4.6566128730773926E-10</v>
      </c>
      <c r="AV26" s="18">
        <f t="shared" si="25"/>
        <v>-4.6566128730773926E-10</v>
      </c>
      <c r="AW26" s="18">
        <f t="shared" si="25"/>
        <v>-4.6566128730773926E-10</v>
      </c>
      <c r="AX26" s="18">
        <f t="shared" si="25"/>
        <v>-4.6566128730773926E-10</v>
      </c>
      <c r="AY26" s="18">
        <f t="shared" si="25"/>
        <v>-4.6566128730773926E-10</v>
      </c>
      <c r="AZ26" s="18">
        <f t="shared" si="25"/>
        <v>-4.6566128730773926E-10</v>
      </c>
      <c r="BA26" s="18">
        <f t="shared" si="25"/>
        <v>-4.6566128730773926E-10</v>
      </c>
      <c r="BB26" s="18">
        <f t="shared" si="25"/>
        <v>-4.6566128730773926E-10</v>
      </c>
      <c r="BC26" s="18">
        <f t="shared" si="25"/>
        <v>-4.6566128730773926E-10</v>
      </c>
      <c r="BD26" s="18">
        <f t="shared" si="25"/>
        <v>-4.6566128730773926E-10</v>
      </c>
      <c r="BE26" s="18">
        <f t="shared" si="25"/>
        <v>-4.6566128730773926E-10</v>
      </c>
      <c r="BF26" s="18">
        <f t="shared" si="25"/>
        <v>-4.6566128730773926E-10</v>
      </c>
      <c r="BG26" s="18">
        <f t="shared" si="25"/>
        <v>-4.6566128730773926E-10</v>
      </c>
      <c r="BH26" s="18">
        <f t="shared" si="25"/>
        <v>-4.6566128730773926E-10</v>
      </c>
      <c r="BI26" s="18">
        <f t="shared" si="25"/>
        <v>-4.6566128730773926E-10</v>
      </c>
      <c r="BJ26" s="18">
        <f t="shared" si="25"/>
        <v>-4.6566128730773926E-10</v>
      </c>
      <c r="BK26" s="18">
        <f t="shared" si="25"/>
        <v>-2.3283064365386963E-10</v>
      </c>
      <c r="BL26" s="18">
        <f t="shared" si="25"/>
        <v>-2.3283064365386963E-10</v>
      </c>
      <c r="BM26" s="18">
        <f t="shared" si="25"/>
        <v>-2.3283064365386963E-10</v>
      </c>
      <c r="BN26" s="18">
        <f t="shared" si="25"/>
        <v>-2.3283064365386963E-10</v>
      </c>
      <c r="BO26" s="18">
        <f t="shared" si="25"/>
        <v>-2.3283064365386963E-10</v>
      </c>
      <c r="BP26" s="18">
        <f t="shared" ref="BP26:CD26" si="26">BO27</f>
        <v>-2.3283064365386963E-10</v>
      </c>
      <c r="BQ26" s="18">
        <f t="shared" si="26"/>
        <v>-2.3283064365386963E-10</v>
      </c>
      <c r="BR26" s="18">
        <f t="shared" si="26"/>
        <v>-2.3283064365386963E-10</v>
      </c>
      <c r="BS26" s="18">
        <f t="shared" si="26"/>
        <v>-2.3283064365386963E-10</v>
      </c>
      <c r="BT26" s="18">
        <f t="shared" si="26"/>
        <v>-2.3283064365386963E-10</v>
      </c>
      <c r="BU26" s="18">
        <f t="shared" si="26"/>
        <v>-2.3283064365386963E-10</v>
      </c>
      <c r="BV26" s="18">
        <f t="shared" si="26"/>
        <v>-2.3283064365386963E-10</v>
      </c>
      <c r="BW26" s="18">
        <f t="shared" si="26"/>
        <v>-2.3283064365386963E-10</v>
      </c>
      <c r="BX26" s="18">
        <f t="shared" si="26"/>
        <v>-2.3283064365386963E-10</v>
      </c>
      <c r="BY26" s="18">
        <f t="shared" si="26"/>
        <v>-2.3283064365386963E-10</v>
      </c>
      <c r="BZ26" s="18">
        <f t="shared" si="26"/>
        <v>-2.3283064365386963E-10</v>
      </c>
      <c r="CA26" s="18">
        <f t="shared" si="26"/>
        <v>-2.3283064365386963E-10</v>
      </c>
      <c r="CB26" s="18">
        <f t="shared" si="26"/>
        <v>-2.3283064365386963E-10</v>
      </c>
      <c r="CC26" s="18">
        <f t="shared" si="26"/>
        <v>-2.3283064365386963E-10</v>
      </c>
      <c r="CD26" s="18">
        <f t="shared" si="26"/>
        <v>-2.3283064365386963E-10</v>
      </c>
    </row>
    <row r="27" spans="1:82" x14ac:dyDescent="0.45">
      <c r="A27" t="s">
        <v>266</v>
      </c>
      <c r="C27" s="18">
        <f t="shared" ref="C27:AH27" si="27">C26+C25</f>
        <v>0</v>
      </c>
      <c r="D27" s="18">
        <f t="shared" si="27"/>
        <v>0</v>
      </c>
      <c r="E27" s="18">
        <f t="shared" si="27"/>
        <v>0</v>
      </c>
      <c r="F27" s="18">
        <f t="shared" si="27"/>
        <v>0</v>
      </c>
      <c r="G27" s="18">
        <f t="shared" si="27"/>
        <v>0</v>
      </c>
      <c r="H27" s="18">
        <f t="shared" si="27"/>
        <v>0</v>
      </c>
      <c r="I27" s="18">
        <f t="shared" si="27"/>
        <v>0</v>
      </c>
      <c r="J27" s="18">
        <f t="shared" si="27"/>
        <v>0</v>
      </c>
      <c r="K27" s="18">
        <f t="shared" si="27"/>
        <v>0</v>
      </c>
      <c r="L27" s="18">
        <f t="shared" si="27"/>
        <v>0</v>
      </c>
      <c r="M27" s="18">
        <f t="shared" si="27"/>
        <v>0</v>
      </c>
      <c r="N27" s="18">
        <f t="shared" si="27"/>
        <v>0</v>
      </c>
      <c r="O27" s="18">
        <f t="shared" si="27"/>
        <v>0</v>
      </c>
      <c r="P27" s="18">
        <f t="shared" si="27"/>
        <v>0</v>
      </c>
      <c r="Q27" s="18">
        <f t="shared" si="27"/>
        <v>0</v>
      </c>
      <c r="R27" s="18">
        <f t="shared" si="27"/>
        <v>0</v>
      </c>
      <c r="S27" s="18">
        <f t="shared" si="27"/>
        <v>0</v>
      </c>
      <c r="T27" s="18">
        <f t="shared" si="27"/>
        <v>0</v>
      </c>
      <c r="U27" s="18">
        <f t="shared" si="27"/>
        <v>0</v>
      </c>
      <c r="V27" s="18">
        <f t="shared" si="27"/>
        <v>0</v>
      </c>
      <c r="W27" s="18">
        <f t="shared" si="27"/>
        <v>0</v>
      </c>
      <c r="X27" s="18">
        <f t="shared" si="27"/>
        <v>0</v>
      </c>
      <c r="Y27" s="18">
        <f t="shared" si="27"/>
        <v>0</v>
      </c>
      <c r="Z27" s="18">
        <f t="shared" si="27"/>
        <v>0</v>
      </c>
      <c r="AA27" s="18">
        <f t="shared" si="27"/>
        <v>0</v>
      </c>
      <c r="AB27" s="18">
        <f t="shared" si="27"/>
        <v>0</v>
      </c>
      <c r="AC27" s="18">
        <f t="shared" si="27"/>
        <v>0</v>
      </c>
      <c r="AD27" s="18">
        <f t="shared" si="27"/>
        <v>0</v>
      </c>
      <c r="AE27" s="18">
        <f t="shared" si="27"/>
        <v>0</v>
      </c>
      <c r="AF27" s="18">
        <f t="shared" si="27"/>
        <v>0</v>
      </c>
      <c r="AG27" s="18">
        <f t="shared" si="27"/>
        <v>0</v>
      </c>
      <c r="AH27" s="18">
        <f t="shared" si="27"/>
        <v>0</v>
      </c>
      <c r="AI27" s="18">
        <f t="shared" ref="AI27:BN27" si="28">AI26+AI25</f>
        <v>0</v>
      </c>
      <c r="AJ27" s="18">
        <f t="shared" si="28"/>
        <v>0</v>
      </c>
      <c r="AK27" s="18">
        <f t="shared" si="28"/>
        <v>0</v>
      </c>
      <c r="AL27" s="18">
        <f t="shared" si="28"/>
        <v>0</v>
      </c>
      <c r="AM27" s="18">
        <f t="shared" si="28"/>
        <v>0</v>
      </c>
      <c r="AN27" s="18">
        <f t="shared" si="28"/>
        <v>0</v>
      </c>
      <c r="AO27" s="18">
        <f t="shared" si="28"/>
        <v>0</v>
      </c>
      <c r="AP27" s="18">
        <f t="shared" si="28"/>
        <v>-4.6566128730773926E-10</v>
      </c>
      <c r="AQ27" s="18">
        <f t="shared" si="28"/>
        <v>-4.6566128730773926E-10</v>
      </c>
      <c r="AR27" s="18">
        <f t="shared" si="28"/>
        <v>-4.6566128730773926E-10</v>
      </c>
      <c r="AS27" s="18">
        <f t="shared" si="28"/>
        <v>-4.6566128730773926E-10</v>
      </c>
      <c r="AT27" s="18">
        <f t="shared" si="28"/>
        <v>-4.6566128730773926E-10</v>
      </c>
      <c r="AU27" s="18">
        <f t="shared" si="28"/>
        <v>-4.6566128730773926E-10</v>
      </c>
      <c r="AV27" s="18">
        <f t="shared" si="28"/>
        <v>-4.6566128730773926E-10</v>
      </c>
      <c r="AW27" s="18">
        <f t="shared" si="28"/>
        <v>-4.6566128730773926E-10</v>
      </c>
      <c r="AX27" s="18">
        <f t="shared" si="28"/>
        <v>-4.6566128730773926E-10</v>
      </c>
      <c r="AY27" s="18">
        <f t="shared" si="28"/>
        <v>-4.6566128730773926E-10</v>
      </c>
      <c r="AZ27" s="18">
        <f t="shared" si="28"/>
        <v>-4.6566128730773926E-10</v>
      </c>
      <c r="BA27" s="18">
        <f t="shared" si="28"/>
        <v>-4.6566128730773926E-10</v>
      </c>
      <c r="BB27" s="18">
        <f t="shared" si="28"/>
        <v>-4.6566128730773926E-10</v>
      </c>
      <c r="BC27" s="18">
        <f t="shared" si="28"/>
        <v>-4.6566128730773926E-10</v>
      </c>
      <c r="BD27" s="18">
        <f t="shared" si="28"/>
        <v>-4.6566128730773926E-10</v>
      </c>
      <c r="BE27" s="18">
        <f t="shared" si="28"/>
        <v>-4.6566128730773926E-10</v>
      </c>
      <c r="BF27" s="18">
        <f t="shared" si="28"/>
        <v>-4.6566128730773926E-10</v>
      </c>
      <c r="BG27" s="18">
        <f t="shared" si="28"/>
        <v>-4.6566128730773926E-10</v>
      </c>
      <c r="BH27" s="18">
        <f t="shared" si="28"/>
        <v>-4.6566128730773926E-10</v>
      </c>
      <c r="BI27" s="18">
        <f t="shared" si="28"/>
        <v>-4.6566128730773926E-10</v>
      </c>
      <c r="BJ27" s="18">
        <f t="shared" si="28"/>
        <v>-2.3283064365386963E-10</v>
      </c>
      <c r="BK27" s="18">
        <f t="shared" si="28"/>
        <v>-2.3283064365386963E-10</v>
      </c>
      <c r="BL27" s="18">
        <f t="shared" si="28"/>
        <v>-2.3283064365386963E-10</v>
      </c>
      <c r="BM27" s="18">
        <f t="shared" si="28"/>
        <v>-2.3283064365386963E-10</v>
      </c>
      <c r="BN27" s="18">
        <f t="shared" si="28"/>
        <v>-2.3283064365386963E-10</v>
      </c>
      <c r="BO27" s="18">
        <f t="shared" ref="BO27:CD27" si="29">BO26+BO25</f>
        <v>-2.3283064365386963E-10</v>
      </c>
      <c r="BP27" s="18">
        <f t="shared" si="29"/>
        <v>-2.3283064365386963E-10</v>
      </c>
      <c r="BQ27" s="18">
        <f t="shared" si="29"/>
        <v>-2.3283064365386963E-10</v>
      </c>
      <c r="BR27" s="18">
        <f t="shared" si="29"/>
        <v>-2.3283064365386963E-10</v>
      </c>
      <c r="BS27" s="18">
        <f t="shared" si="29"/>
        <v>-2.3283064365386963E-10</v>
      </c>
      <c r="BT27" s="18">
        <f t="shared" si="29"/>
        <v>-2.3283064365386963E-10</v>
      </c>
      <c r="BU27" s="18">
        <f t="shared" si="29"/>
        <v>-2.3283064365386963E-10</v>
      </c>
      <c r="BV27" s="18">
        <f t="shared" si="29"/>
        <v>-2.3283064365386963E-10</v>
      </c>
      <c r="BW27" s="18">
        <f t="shared" si="29"/>
        <v>-2.3283064365386963E-10</v>
      </c>
      <c r="BX27" s="18">
        <f t="shared" si="29"/>
        <v>-2.3283064365386963E-10</v>
      </c>
      <c r="BY27" s="18">
        <f t="shared" si="29"/>
        <v>-2.3283064365386963E-10</v>
      </c>
      <c r="BZ27" s="18">
        <f t="shared" si="29"/>
        <v>-2.3283064365386963E-10</v>
      </c>
      <c r="CA27" s="18">
        <f t="shared" si="29"/>
        <v>-2.3283064365386963E-10</v>
      </c>
      <c r="CB27" s="18">
        <f t="shared" si="29"/>
        <v>-2.3283064365386963E-10</v>
      </c>
      <c r="CC27" s="18">
        <f t="shared" si="29"/>
        <v>-2.3283064365386963E-10</v>
      </c>
      <c r="CD27" s="18">
        <f t="shared" si="29"/>
        <v>2.3283064365386963E-10</v>
      </c>
    </row>
    <row r="29" spans="1:82" x14ac:dyDescent="0.45">
      <c r="A29" t="s">
        <v>267</v>
      </c>
      <c r="C29" s="18">
        <f t="shared" ref="C29:AH29" si="30">C27</f>
        <v>0</v>
      </c>
      <c r="D29" s="18">
        <f t="shared" si="30"/>
        <v>0</v>
      </c>
      <c r="E29" s="18">
        <f t="shared" si="30"/>
        <v>0</v>
      </c>
      <c r="F29" s="18">
        <f t="shared" si="30"/>
        <v>0</v>
      </c>
      <c r="G29" s="18">
        <f t="shared" si="30"/>
        <v>0</v>
      </c>
      <c r="H29" s="18">
        <f t="shared" si="30"/>
        <v>0</v>
      </c>
      <c r="I29" s="18">
        <f t="shared" si="30"/>
        <v>0</v>
      </c>
      <c r="J29" s="18">
        <f t="shared" si="30"/>
        <v>0</v>
      </c>
      <c r="K29" s="18">
        <f t="shared" si="30"/>
        <v>0</v>
      </c>
      <c r="L29" s="18">
        <f t="shared" si="30"/>
        <v>0</v>
      </c>
      <c r="M29" s="18">
        <f t="shared" si="30"/>
        <v>0</v>
      </c>
      <c r="N29" s="18">
        <f t="shared" si="30"/>
        <v>0</v>
      </c>
      <c r="O29" s="18">
        <f t="shared" si="30"/>
        <v>0</v>
      </c>
      <c r="P29" s="18">
        <f t="shared" si="30"/>
        <v>0</v>
      </c>
      <c r="Q29" s="18">
        <f t="shared" si="30"/>
        <v>0</v>
      </c>
      <c r="R29" s="18">
        <f t="shared" si="30"/>
        <v>0</v>
      </c>
      <c r="S29" s="18">
        <f t="shared" si="30"/>
        <v>0</v>
      </c>
      <c r="T29" s="18">
        <f t="shared" si="30"/>
        <v>0</v>
      </c>
      <c r="U29" s="18">
        <f t="shared" si="30"/>
        <v>0</v>
      </c>
      <c r="V29" s="18">
        <f t="shared" si="30"/>
        <v>0</v>
      </c>
      <c r="W29" s="18">
        <f t="shared" si="30"/>
        <v>0</v>
      </c>
      <c r="X29" s="18">
        <f t="shared" si="30"/>
        <v>0</v>
      </c>
      <c r="Y29" s="18">
        <f t="shared" si="30"/>
        <v>0</v>
      </c>
      <c r="Z29" s="18">
        <f t="shared" si="30"/>
        <v>0</v>
      </c>
      <c r="AA29" s="18">
        <f t="shared" si="30"/>
        <v>0</v>
      </c>
      <c r="AB29" s="18">
        <f t="shared" si="30"/>
        <v>0</v>
      </c>
      <c r="AC29" s="18">
        <f t="shared" si="30"/>
        <v>0</v>
      </c>
      <c r="AD29" s="18">
        <f t="shared" si="30"/>
        <v>0</v>
      </c>
      <c r="AE29" s="18">
        <f t="shared" si="30"/>
        <v>0</v>
      </c>
      <c r="AF29" s="18">
        <f t="shared" si="30"/>
        <v>0</v>
      </c>
      <c r="AG29" s="18">
        <f t="shared" si="30"/>
        <v>0</v>
      </c>
      <c r="AH29" s="18">
        <f t="shared" si="30"/>
        <v>0</v>
      </c>
      <c r="AI29" s="18">
        <f t="shared" ref="AI29:BN29" si="31">AI27</f>
        <v>0</v>
      </c>
      <c r="AJ29" s="18">
        <f t="shared" si="31"/>
        <v>0</v>
      </c>
      <c r="AK29" s="18">
        <f t="shared" si="31"/>
        <v>0</v>
      </c>
      <c r="AL29" s="18">
        <f t="shared" si="31"/>
        <v>0</v>
      </c>
      <c r="AM29" s="18">
        <f t="shared" si="31"/>
        <v>0</v>
      </c>
      <c r="AN29" s="18">
        <f t="shared" si="31"/>
        <v>0</v>
      </c>
      <c r="AO29" s="18">
        <f t="shared" si="31"/>
        <v>0</v>
      </c>
      <c r="AP29" s="18">
        <f t="shared" si="31"/>
        <v>-4.6566128730773926E-10</v>
      </c>
      <c r="AQ29" s="18">
        <f t="shared" si="31"/>
        <v>-4.6566128730773926E-10</v>
      </c>
      <c r="AR29" s="18">
        <f t="shared" si="31"/>
        <v>-4.6566128730773926E-10</v>
      </c>
      <c r="AS29" s="18">
        <f t="shared" si="31"/>
        <v>-4.6566128730773926E-10</v>
      </c>
      <c r="AT29" s="18">
        <f t="shared" si="31"/>
        <v>-4.6566128730773926E-10</v>
      </c>
      <c r="AU29" s="18">
        <f t="shared" si="31"/>
        <v>-4.6566128730773926E-10</v>
      </c>
      <c r="AV29" s="18">
        <f t="shared" si="31"/>
        <v>-4.6566128730773926E-10</v>
      </c>
      <c r="AW29" s="18">
        <f t="shared" si="31"/>
        <v>-4.6566128730773926E-10</v>
      </c>
      <c r="AX29" s="18">
        <f t="shared" si="31"/>
        <v>-4.6566128730773926E-10</v>
      </c>
      <c r="AY29" s="18">
        <f t="shared" si="31"/>
        <v>-4.6566128730773926E-10</v>
      </c>
      <c r="AZ29" s="18">
        <f t="shared" si="31"/>
        <v>-4.6566128730773926E-10</v>
      </c>
      <c r="BA29" s="18">
        <f t="shared" si="31"/>
        <v>-4.6566128730773926E-10</v>
      </c>
      <c r="BB29" s="18">
        <f t="shared" si="31"/>
        <v>-4.6566128730773926E-10</v>
      </c>
      <c r="BC29" s="18">
        <f t="shared" si="31"/>
        <v>-4.6566128730773926E-10</v>
      </c>
      <c r="BD29" s="18">
        <f t="shared" si="31"/>
        <v>-4.6566128730773926E-10</v>
      </c>
      <c r="BE29" s="18">
        <f t="shared" si="31"/>
        <v>-4.6566128730773926E-10</v>
      </c>
      <c r="BF29" s="18">
        <f t="shared" si="31"/>
        <v>-4.6566128730773926E-10</v>
      </c>
      <c r="BG29" s="18">
        <f t="shared" si="31"/>
        <v>-4.6566128730773926E-10</v>
      </c>
      <c r="BH29" s="18">
        <f t="shared" si="31"/>
        <v>-4.6566128730773926E-10</v>
      </c>
      <c r="BI29" s="18">
        <f t="shared" si="31"/>
        <v>-4.6566128730773926E-10</v>
      </c>
      <c r="BJ29" s="18">
        <f t="shared" si="31"/>
        <v>-2.3283064365386963E-10</v>
      </c>
      <c r="BK29" s="18">
        <f t="shared" si="31"/>
        <v>-2.3283064365386963E-10</v>
      </c>
      <c r="BL29" s="18">
        <f t="shared" si="31"/>
        <v>-2.3283064365386963E-10</v>
      </c>
      <c r="BM29" s="18">
        <f t="shared" si="31"/>
        <v>-2.3283064365386963E-10</v>
      </c>
      <c r="BN29" s="18">
        <f t="shared" si="31"/>
        <v>-2.3283064365386963E-10</v>
      </c>
      <c r="BO29" s="18">
        <f t="shared" ref="BO29:CD29" si="32">BO27</f>
        <v>-2.3283064365386963E-10</v>
      </c>
      <c r="BP29" s="18">
        <f t="shared" si="32"/>
        <v>-2.3283064365386963E-10</v>
      </c>
      <c r="BQ29" s="18">
        <f t="shared" si="32"/>
        <v>-2.3283064365386963E-10</v>
      </c>
      <c r="BR29" s="18">
        <f t="shared" si="32"/>
        <v>-2.3283064365386963E-10</v>
      </c>
      <c r="BS29" s="18">
        <f t="shared" si="32"/>
        <v>-2.3283064365386963E-10</v>
      </c>
      <c r="BT29" s="18">
        <f t="shared" si="32"/>
        <v>-2.3283064365386963E-10</v>
      </c>
      <c r="BU29" s="18">
        <f t="shared" si="32"/>
        <v>-2.3283064365386963E-10</v>
      </c>
      <c r="BV29" s="18">
        <f t="shared" si="32"/>
        <v>-2.3283064365386963E-10</v>
      </c>
      <c r="BW29" s="18">
        <f t="shared" si="32"/>
        <v>-2.3283064365386963E-10</v>
      </c>
      <c r="BX29" s="18">
        <f t="shared" si="32"/>
        <v>-2.3283064365386963E-10</v>
      </c>
      <c r="BY29" s="18">
        <f t="shared" si="32"/>
        <v>-2.3283064365386963E-10</v>
      </c>
      <c r="BZ29" s="18">
        <f t="shared" si="32"/>
        <v>-2.3283064365386963E-10</v>
      </c>
      <c r="CA29" s="18">
        <f t="shared" si="32"/>
        <v>-2.3283064365386963E-10</v>
      </c>
      <c r="CB29" s="18">
        <f t="shared" si="32"/>
        <v>-2.3283064365386963E-10</v>
      </c>
      <c r="CC29" s="18">
        <f t="shared" si="32"/>
        <v>-2.3283064365386963E-10</v>
      </c>
      <c r="CD29" s="18">
        <f t="shared" si="32"/>
        <v>2.3283064365386963E-10</v>
      </c>
    </row>
    <row r="30" spans="1:82" x14ac:dyDescent="0.45">
      <c r="A30" t="s">
        <v>268</v>
      </c>
      <c r="C30" s="12">
        <f>Calc_Financing_Ops!C27</f>
        <v>3961351.3771275897</v>
      </c>
      <c r="D30" s="12">
        <f>Calc_Financing_Ops!D27</f>
        <v>3956897.9245300833</v>
      </c>
      <c r="E30" s="12">
        <f>Calc_Financing_Ops!E27</f>
        <v>3952382.4036607235</v>
      </c>
      <c r="F30" s="12">
        <f>Calc_Financing_Ops!F27</f>
        <v>3947804.0625385232</v>
      </c>
      <c r="G30" s="12">
        <f>Calc_Financing_Ops!G27</f>
        <v>3943162.1400719574</v>
      </c>
      <c r="H30" s="12">
        <f>Calc_Financing_Ops!H27</f>
        <v>3938455.8659485849</v>
      </c>
      <c r="I30" s="12">
        <f>Calc_Financing_Ops!I27</f>
        <v>3933684.4605233329</v>
      </c>
      <c r="J30" s="12">
        <f>Calc_Financing_Ops!J27</f>
        <v>3928847.134705429</v>
      </c>
      <c r="K30" s="12">
        <f>Calc_Financing_Ops!K27</f>
        <v>3923943.0898439623</v>
      </c>
      <c r="L30" s="12">
        <f>Calc_Financing_Ops!L27</f>
        <v>3918971.5176120587</v>
      </c>
      <c r="M30" s="12">
        <f>Calc_Financing_Ops!M27</f>
        <v>3913931.5998896533</v>
      </c>
      <c r="N30" s="12">
        <f>Calc_Financing_Ops!N27</f>
        <v>3908822.5086448416</v>
      </c>
      <c r="O30" s="12">
        <f>Calc_Financing_Ops!O27</f>
        <v>3903643.4058137946</v>
      </c>
      <c r="P30" s="12">
        <f>Calc_Financing_Ops!P27</f>
        <v>3898393.4431792181</v>
      </c>
      <c r="Q30" s="12">
        <f>Calc_Financing_Ops!Q27</f>
        <v>3893071.762247337</v>
      </c>
      <c r="R30" s="12">
        <f>Calc_Financing_Ops!R27</f>
        <v>3887677.4941233974</v>
      </c>
      <c r="S30" s="12">
        <f>Calc_Financing_Ops!S27</f>
        <v>3882209.7593856482</v>
      </c>
      <c r="T30" s="12">
        <f>Calc_Financing_Ops!T27</f>
        <v>3886283.0525731919</v>
      </c>
      <c r="U30" s="12">
        <f>Calc_Financing_Ops!U27</f>
        <v>3890253.3515243535</v>
      </c>
      <c r="V30" s="12">
        <f>Calc_Financing_Ops!V27</f>
        <v>3884504.0238089627</v>
      </c>
      <c r="W30" s="12">
        <f>Calc_Financing_Ops!W27</f>
        <v>3878676.9277962502</v>
      </c>
      <c r="X30" s="12">
        <f>Calc_Financing_Ops!X27</f>
        <v>3872771.1212933837</v>
      </c>
      <c r="Y30" s="12">
        <f>Calc_Financing_Ops!Y27</f>
        <v>3866785.650692502</v>
      </c>
      <c r="Z30" s="12">
        <f>Calc_Financing_Ops!Z27</f>
        <v>3860719.5508324169</v>
      </c>
      <c r="AA30" s="12">
        <f>Calc_Financing_Ops!AA27</f>
        <v>3854571.8448586427</v>
      </c>
      <c r="AB30" s="12">
        <f>Calc_Financing_Ops!AB27</f>
        <v>3848341.5440817242</v>
      </c>
      <c r="AC30" s="12">
        <f>Calc_Financing_Ops!AC27</f>
        <v>3842027.6478338549</v>
      </c>
      <c r="AD30" s="12">
        <f>Calc_Financing_Ops!AD27</f>
        <v>3835629.1433237521</v>
      </c>
      <c r="AE30" s="12">
        <f>Calc_Financing_Ops!AE27</f>
        <v>3829145.0054897759</v>
      </c>
      <c r="AF30" s="12">
        <f>Calc_Financing_Ops!AF27</f>
        <v>3822574.196851274</v>
      </c>
      <c r="AG30" s="12">
        <f>Calc_Financing_Ops!AG27</f>
        <v>3815915.6673581125</v>
      </c>
      <c r="AH30" s="12">
        <f>Calc_Financing_Ops!AH27</f>
        <v>3809168.3542383993</v>
      </c>
      <c r="AI30" s="12">
        <f>Calc_Financing_Ops!AI27</f>
        <v>3802331.1818443513</v>
      </c>
      <c r="AJ30" s="12">
        <f>Calc_Financing_Ops!AJ27</f>
        <v>3795403.0614962988</v>
      </c>
      <c r="AK30" s="12">
        <f>Calc_Financing_Ops!AK27</f>
        <v>3788382.8913247986</v>
      </c>
      <c r="AL30" s="12">
        <f>Calc_Financing_Ops!AL27</f>
        <v>3781269.5561108356</v>
      </c>
      <c r="AM30" s="12">
        <f>Calc_Financing_Ops!AM27</f>
        <v>3774061.9271240877</v>
      </c>
      <c r="AN30" s="12">
        <f>Calc_Financing_Ops!AN27</f>
        <v>3776374.2465746165</v>
      </c>
      <c r="AO30" s="12">
        <f>Calc_Financing_Ops!AO27</f>
        <v>3778291.8042223342</v>
      </c>
      <c r="AP30" s="12">
        <f>Calc_Financing_Ops!AP27</f>
        <v>3770198.4892511684</v>
      </c>
      <c r="AQ30" s="12">
        <f>Calc_Financing_Ops!AQ27</f>
        <v>3762007.1206563134</v>
      </c>
      <c r="AR30" s="12">
        <f>Calc_Financing_Ops!AR27</f>
        <v>3753716.5104804058</v>
      </c>
      <c r="AS30" s="12">
        <f>Calc_Financing_Ops!AS27</f>
        <v>3745325.4563735202</v>
      </c>
      <c r="AT30" s="12">
        <f>Calc_Financing_Ops!AT27</f>
        <v>3736832.7414188012</v>
      </c>
      <c r="AU30" s="12">
        <f>Calc_Financing_Ops!AU27</f>
        <v>3728237.1339559769</v>
      </c>
      <c r="AV30" s="12">
        <f>Calc_Financing_Ops!AV27</f>
        <v>3719537.3874027384</v>
      </c>
      <c r="AW30" s="12">
        <f>Calc_Financing_Ops!AW27</f>
        <v>3710732.240073951</v>
      </c>
      <c r="AX30" s="12">
        <f>Calc_Financing_Ops!AX27</f>
        <v>3701820.4149986794</v>
      </c>
      <c r="AY30" s="12">
        <f>Calc_Financing_Ops!AY27</f>
        <v>3692800.619734996</v>
      </c>
      <c r="AZ30" s="12">
        <f>Calc_Financing_Ops!AZ27</f>
        <v>3683671.5461825416</v>
      </c>
      <c r="BA30" s="12">
        <f>Calc_Financing_Ops!BA27</f>
        <v>3674431.8703928171</v>
      </c>
      <c r="BB30" s="12">
        <f>Calc_Financing_Ops!BB27</f>
        <v>3665080.2523771776</v>
      </c>
      <c r="BC30" s="12">
        <f>Calc_Financing_Ops!BC27</f>
        <v>3655615.3359125038</v>
      </c>
      <c r="BD30" s="12">
        <f>Calc_Financing_Ops!BD27</f>
        <v>3646035.7483445075</v>
      </c>
      <c r="BE30" s="12">
        <f>Calc_Financing_Ops!BE27</f>
        <v>3636340.100388668</v>
      </c>
      <c r="BF30" s="12">
        <f>Calc_Financing_Ops!BF27</f>
        <v>3626526.9859287483</v>
      </c>
      <c r="BG30" s="12">
        <f>Calc_Financing_Ops!BG27</f>
        <v>3616594.9818128715</v>
      </c>
      <c r="BH30" s="12">
        <f>Calc_Financing_Ops!BH27</f>
        <v>3606417.2161270771</v>
      </c>
      <c r="BI30" s="12">
        <f>Calc_Financing_Ops!BI27</f>
        <v>1800617.6769391664</v>
      </c>
      <c r="BJ30" s="12">
        <f>Calc_Financing_Ops!BJ27</f>
        <v>0</v>
      </c>
      <c r="BK30" s="12">
        <f>Calc_Financing_Ops!BK27</f>
        <v>0</v>
      </c>
      <c r="BL30" s="12">
        <f>Calc_Financing_Ops!BL27</f>
        <v>0</v>
      </c>
      <c r="BM30" s="12">
        <f>Calc_Financing_Ops!BM27</f>
        <v>0</v>
      </c>
      <c r="BN30" s="12">
        <f>Calc_Financing_Ops!BN27</f>
        <v>0</v>
      </c>
      <c r="BO30" s="12">
        <f>Calc_Financing_Ops!BO27</f>
        <v>0</v>
      </c>
      <c r="BP30" s="12">
        <f>Calc_Financing_Ops!BP27</f>
        <v>0</v>
      </c>
      <c r="BQ30" s="12">
        <f>Calc_Financing_Ops!BQ27</f>
        <v>0</v>
      </c>
      <c r="BR30" s="12">
        <f>Calc_Financing_Ops!BR27</f>
        <v>0</v>
      </c>
      <c r="BS30" s="12">
        <f>Calc_Financing_Ops!BS27</f>
        <v>0</v>
      </c>
      <c r="BT30" s="12">
        <f>Calc_Financing_Ops!BT27</f>
        <v>0</v>
      </c>
      <c r="BU30" s="12">
        <f>Calc_Financing_Ops!BU27</f>
        <v>0</v>
      </c>
      <c r="BV30" s="12">
        <f>Calc_Financing_Ops!BV27</f>
        <v>0</v>
      </c>
      <c r="BW30" s="12">
        <f>Calc_Financing_Ops!BW27</f>
        <v>0</v>
      </c>
      <c r="BX30" s="12">
        <f>Calc_Financing_Ops!BX27</f>
        <v>0</v>
      </c>
      <c r="BY30" s="12">
        <f>Calc_Financing_Ops!BY27</f>
        <v>0</v>
      </c>
      <c r="BZ30" s="12">
        <f>Calc_Financing_Ops!BZ27</f>
        <v>0</v>
      </c>
      <c r="CA30" s="12">
        <f>Calc_Financing_Ops!CA27</f>
        <v>0</v>
      </c>
      <c r="CB30" s="12">
        <f>Calc_Financing_Ops!CB27</f>
        <v>0</v>
      </c>
      <c r="CC30" s="12">
        <f>Calc_Financing_Ops!CC27</f>
        <v>0</v>
      </c>
      <c r="CD30" s="12">
        <f>Calc_Financing_Ops!CD27</f>
        <v>0</v>
      </c>
    </row>
    <row r="31" spans="1:82" x14ac:dyDescent="0.45">
      <c r="A31" t="s">
        <v>269</v>
      </c>
      <c r="C31" s="12">
        <f>Calc_CFADS!C13</f>
        <v>225000</v>
      </c>
      <c r="D31" s="12">
        <f>Calc_CFADS!D13</f>
        <v>225000</v>
      </c>
      <c r="E31" s="12">
        <f>Calc_CFADS!E13</f>
        <v>225000</v>
      </c>
      <c r="F31" s="12">
        <f>Calc_CFADS!F13</f>
        <v>225000</v>
      </c>
      <c r="G31" s="12">
        <f>Calc_CFADS!G13</f>
        <v>225000</v>
      </c>
      <c r="H31" s="12">
        <f>Calc_CFADS!H13</f>
        <v>225000</v>
      </c>
      <c r="I31" s="12">
        <f>Calc_CFADS!I13</f>
        <v>225000</v>
      </c>
      <c r="J31" s="12">
        <f>Calc_CFADS!J13</f>
        <v>225000</v>
      </c>
      <c r="K31" s="12">
        <f>Calc_CFADS!K13</f>
        <v>225000</v>
      </c>
      <c r="L31" s="12">
        <f>Calc_CFADS!L13</f>
        <v>225000</v>
      </c>
      <c r="M31" s="12">
        <f>Calc_CFADS!M13</f>
        <v>225000</v>
      </c>
      <c r="N31" s="12">
        <f>Calc_CFADS!N13</f>
        <v>225000</v>
      </c>
      <c r="O31" s="12">
        <f>Calc_CFADS!O13</f>
        <v>225000</v>
      </c>
      <c r="P31" s="12">
        <f>Calc_CFADS!P13</f>
        <v>225000</v>
      </c>
      <c r="Q31" s="12">
        <f>Calc_CFADS!Q13</f>
        <v>225000</v>
      </c>
      <c r="R31" s="12">
        <f>Calc_CFADS!R13</f>
        <v>2225000</v>
      </c>
      <c r="S31" s="12">
        <f>Calc_CFADS!S13</f>
        <v>2225000</v>
      </c>
      <c r="T31" s="12">
        <f>Calc_CFADS!T13</f>
        <v>2225000</v>
      </c>
      <c r="U31" s="12">
        <f>Calc_CFADS!U13</f>
        <v>2225000</v>
      </c>
      <c r="V31" s="12">
        <f>Calc_CFADS!V13</f>
        <v>225000</v>
      </c>
      <c r="W31" s="12">
        <f>Calc_CFADS!W13</f>
        <v>225000</v>
      </c>
      <c r="X31" s="12">
        <f>Calc_CFADS!X13</f>
        <v>225000</v>
      </c>
      <c r="Y31" s="12">
        <f>Calc_CFADS!Y13</f>
        <v>225000</v>
      </c>
      <c r="Z31" s="12">
        <f>Calc_CFADS!Z13</f>
        <v>225000</v>
      </c>
      <c r="AA31" s="12">
        <f>Calc_CFADS!AA13</f>
        <v>225000</v>
      </c>
      <c r="AB31" s="12">
        <f>Calc_CFADS!AB13</f>
        <v>225000</v>
      </c>
      <c r="AC31" s="12">
        <f>Calc_CFADS!AC13</f>
        <v>225000</v>
      </c>
      <c r="AD31" s="12">
        <f>Calc_CFADS!AD13</f>
        <v>225000</v>
      </c>
      <c r="AE31" s="12">
        <f>Calc_CFADS!AE13</f>
        <v>225000</v>
      </c>
      <c r="AF31" s="12">
        <f>Calc_CFADS!AF13</f>
        <v>225000</v>
      </c>
      <c r="AG31" s="12">
        <f>Calc_CFADS!AG13</f>
        <v>225000</v>
      </c>
      <c r="AH31" s="12">
        <f>Calc_CFADS!AH13</f>
        <v>225000</v>
      </c>
      <c r="AI31" s="12">
        <f>Calc_CFADS!AI13</f>
        <v>225000</v>
      </c>
      <c r="AJ31" s="12">
        <f>Calc_CFADS!AJ13</f>
        <v>225000</v>
      </c>
      <c r="AK31" s="12">
        <f>Calc_CFADS!AK13</f>
        <v>225000</v>
      </c>
      <c r="AL31" s="12">
        <f>Calc_CFADS!AL13</f>
        <v>2225000</v>
      </c>
      <c r="AM31" s="12">
        <f>Calc_CFADS!AM13</f>
        <v>2225000</v>
      </c>
      <c r="AN31" s="12">
        <f>Calc_CFADS!AN13</f>
        <v>2225000</v>
      </c>
      <c r="AO31" s="12">
        <f>Calc_CFADS!AO13</f>
        <v>2225000</v>
      </c>
      <c r="AP31" s="12">
        <f>Calc_CFADS!AP13</f>
        <v>225000</v>
      </c>
      <c r="AQ31" s="12">
        <f>Calc_CFADS!AQ13</f>
        <v>225000</v>
      </c>
      <c r="AR31" s="12">
        <f>Calc_CFADS!AR13</f>
        <v>225000</v>
      </c>
      <c r="AS31" s="12">
        <f>Calc_CFADS!AS13</f>
        <v>225000</v>
      </c>
      <c r="AT31" s="12">
        <f>Calc_CFADS!AT13</f>
        <v>225000</v>
      </c>
      <c r="AU31" s="12">
        <f>Calc_CFADS!AU13</f>
        <v>225000</v>
      </c>
      <c r="AV31" s="12">
        <f>Calc_CFADS!AV13</f>
        <v>225000</v>
      </c>
      <c r="AW31" s="12">
        <f>Calc_CFADS!AW13</f>
        <v>225000</v>
      </c>
      <c r="AX31" s="12">
        <f>Calc_CFADS!AX13</f>
        <v>225000</v>
      </c>
      <c r="AY31" s="12">
        <f>Calc_CFADS!AY13</f>
        <v>225000</v>
      </c>
      <c r="AZ31" s="12">
        <f>Calc_CFADS!AZ13</f>
        <v>225000</v>
      </c>
      <c r="BA31" s="12">
        <f>Calc_CFADS!BA13</f>
        <v>225000</v>
      </c>
      <c r="BB31" s="12">
        <f>Calc_CFADS!BB13</f>
        <v>225000</v>
      </c>
      <c r="BC31" s="12">
        <f>Calc_CFADS!BC13</f>
        <v>225000</v>
      </c>
      <c r="BD31" s="12">
        <f>Calc_CFADS!BD13</f>
        <v>225000</v>
      </c>
      <c r="BE31" s="12">
        <f>Calc_CFADS!BE13</f>
        <v>225000</v>
      </c>
      <c r="BF31" s="12">
        <f>Calc_CFADS!BF13</f>
        <v>2225000</v>
      </c>
      <c r="BG31" s="12">
        <f>Calc_CFADS!BG13</f>
        <v>2225000</v>
      </c>
      <c r="BH31" s="12">
        <f>Calc_CFADS!BH13</f>
        <v>2225000</v>
      </c>
      <c r="BI31" s="12">
        <f>Calc_CFADS!BI13</f>
        <v>2225000</v>
      </c>
      <c r="BJ31" s="12">
        <f>Calc_CFADS!BJ13</f>
        <v>225000</v>
      </c>
      <c r="BK31" s="12">
        <f>Calc_CFADS!BK13</f>
        <v>225000</v>
      </c>
      <c r="BL31" s="12">
        <f>Calc_CFADS!BL13</f>
        <v>225000</v>
      </c>
      <c r="BM31" s="12">
        <f>Calc_CFADS!BM13</f>
        <v>225000</v>
      </c>
      <c r="BN31" s="12">
        <f>Calc_CFADS!BN13</f>
        <v>225000</v>
      </c>
      <c r="BO31" s="12">
        <f>Calc_CFADS!BO13</f>
        <v>225000</v>
      </c>
      <c r="BP31" s="12">
        <f>Calc_CFADS!BP13</f>
        <v>225000</v>
      </c>
      <c r="BQ31" s="12">
        <f>Calc_CFADS!BQ13</f>
        <v>225000</v>
      </c>
      <c r="BR31" s="12">
        <f>Calc_CFADS!BR13</f>
        <v>225000</v>
      </c>
      <c r="BS31" s="12">
        <f>Calc_CFADS!BS13</f>
        <v>225000</v>
      </c>
      <c r="BT31" s="12">
        <f>Calc_CFADS!BT13</f>
        <v>225000</v>
      </c>
      <c r="BU31" s="12">
        <f>Calc_CFADS!BU13</f>
        <v>225000</v>
      </c>
      <c r="BV31" s="12">
        <f>Calc_CFADS!BV13</f>
        <v>225000</v>
      </c>
      <c r="BW31" s="12">
        <f>Calc_CFADS!BW13</f>
        <v>225000</v>
      </c>
      <c r="BX31" s="12">
        <f>Calc_CFADS!BX13</f>
        <v>225000</v>
      </c>
      <c r="BY31" s="12">
        <f>Calc_CFADS!BY13</f>
        <v>225000</v>
      </c>
      <c r="BZ31" s="12">
        <f>Calc_CFADS!BZ13</f>
        <v>2225000</v>
      </c>
      <c r="CA31" s="12">
        <f>Calc_CFADS!CA13</f>
        <v>2168750</v>
      </c>
      <c r="CB31" s="12">
        <f>Calc_CFADS!CB13</f>
        <v>2112500</v>
      </c>
      <c r="CC31" s="12">
        <f>Calc_CFADS!CC13</f>
        <v>2056250</v>
      </c>
      <c r="CD31" s="12">
        <f>Calc_CFADS!CD13</f>
        <v>0</v>
      </c>
    </row>
    <row r="32" spans="1:82" x14ac:dyDescent="0.45">
      <c r="A32" t="s">
        <v>270</v>
      </c>
      <c r="C32" s="18">
        <f>Calc_Capex!$Z$17-C19-C8</f>
        <v>103229163.74231526</v>
      </c>
      <c r="D32" s="18">
        <f t="shared" ref="D32:AI32" si="33">C32-D19-D8</f>
        <v>101976597.19177963</v>
      </c>
      <c r="E32" s="18">
        <f t="shared" si="33"/>
        <v>100722624.39124399</v>
      </c>
      <c r="F32" s="18">
        <f t="shared" si="33"/>
        <v>99467245.34070836</v>
      </c>
      <c r="G32" s="18">
        <f t="shared" si="33"/>
        <v>98210460.040172726</v>
      </c>
      <c r="H32" s="18">
        <f t="shared" si="33"/>
        <v>96952268.489637092</v>
      </c>
      <c r="I32" s="18">
        <f t="shared" si="33"/>
        <v>95692670.689101458</v>
      </c>
      <c r="J32" s="18">
        <f t="shared" si="33"/>
        <v>94431666.638565823</v>
      </c>
      <c r="K32" s="18">
        <f t="shared" si="33"/>
        <v>93169256.338030189</v>
      </c>
      <c r="L32" s="18">
        <f t="shared" si="33"/>
        <v>91905439.787494555</v>
      </c>
      <c r="M32" s="18">
        <f t="shared" si="33"/>
        <v>90640216.986958921</v>
      </c>
      <c r="N32" s="18">
        <f t="shared" si="33"/>
        <v>89373587.936423287</v>
      </c>
      <c r="O32" s="18">
        <f t="shared" si="33"/>
        <v>88105552.635887653</v>
      </c>
      <c r="P32" s="18">
        <f t="shared" si="33"/>
        <v>86836111.085352018</v>
      </c>
      <c r="Q32" s="18">
        <f t="shared" si="33"/>
        <v>85565263.284816384</v>
      </c>
      <c r="R32" s="18">
        <f t="shared" si="33"/>
        <v>84293009.23428075</v>
      </c>
      <c r="S32" s="18">
        <f t="shared" si="33"/>
        <v>83019348.933745116</v>
      </c>
      <c r="T32" s="18">
        <f t="shared" si="33"/>
        <v>81744282.383209482</v>
      </c>
      <c r="U32" s="18">
        <f t="shared" si="33"/>
        <v>80467809.582673848</v>
      </c>
      <c r="V32" s="18">
        <f t="shared" si="33"/>
        <v>81139930.532138214</v>
      </c>
      <c r="W32" s="18">
        <f t="shared" si="33"/>
        <v>79810645.231602579</v>
      </c>
      <c r="X32" s="18">
        <f t="shared" si="33"/>
        <v>78479953.681066945</v>
      </c>
      <c r="Y32" s="18">
        <f t="shared" si="33"/>
        <v>77147855.880531311</v>
      </c>
      <c r="Z32" s="18">
        <f t="shared" si="33"/>
        <v>75814351.829995677</v>
      </c>
      <c r="AA32" s="18">
        <f t="shared" si="33"/>
        <v>74479441.529460043</v>
      </c>
      <c r="AB32" s="18">
        <f t="shared" si="33"/>
        <v>73143124.978924409</v>
      </c>
      <c r="AC32" s="18">
        <f t="shared" si="33"/>
        <v>71805402.178388774</v>
      </c>
      <c r="AD32" s="18">
        <f t="shared" si="33"/>
        <v>70466273.12785314</v>
      </c>
      <c r="AE32" s="18">
        <f t="shared" si="33"/>
        <v>69125737.827317506</v>
      </c>
      <c r="AF32" s="18">
        <f t="shared" si="33"/>
        <v>67783796.276781872</v>
      </c>
      <c r="AG32" s="18">
        <f t="shared" si="33"/>
        <v>66440448.476246238</v>
      </c>
      <c r="AH32" s="18">
        <f t="shared" si="33"/>
        <v>65095694.425710604</v>
      </c>
      <c r="AI32" s="18">
        <f t="shared" si="33"/>
        <v>63749534.125174969</v>
      </c>
      <c r="AJ32" s="18">
        <f t="shared" ref="AJ32:BO32" si="34">AI32-AJ19-AJ8</f>
        <v>62401967.574639335</v>
      </c>
      <c r="AK32" s="18">
        <f t="shared" si="34"/>
        <v>61052994.774103701</v>
      </c>
      <c r="AL32" s="18">
        <f t="shared" si="34"/>
        <v>59702615.723568067</v>
      </c>
      <c r="AM32" s="18">
        <f t="shared" si="34"/>
        <v>58350830.423032433</v>
      </c>
      <c r="AN32" s="18">
        <f t="shared" si="34"/>
        <v>56997638.872496799</v>
      </c>
      <c r="AO32" s="18">
        <f t="shared" si="34"/>
        <v>55643041.071961164</v>
      </c>
      <c r="AP32" s="18">
        <f t="shared" si="34"/>
        <v>56237037.02142553</v>
      </c>
      <c r="AQ32" s="18">
        <f t="shared" si="34"/>
        <v>54831032.970889896</v>
      </c>
      <c r="AR32" s="18">
        <f t="shared" si="34"/>
        <v>53425028.920354262</v>
      </c>
      <c r="AS32" s="18">
        <f t="shared" si="34"/>
        <v>52019024.869818628</v>
      </c>
      <c r="AT32" s="18">
        <f t="shared" si="34"/>
        <v>50613020.819282994</v>
      </c>
      <c r="AU32" s="18">
        <f t="shared" si="34"/>
        <v>49207016.76874736</v>
      </c>
      <c r="AV32" s="18">
        <f t="shared" si="34"/>
        <v>47801012.718211725</v>
      </c>
      <c r="AW32" s="18">
        <f t="shared" si="34"/>
        <v>46395008.667676091</v>
      </c>
      <c r="AX32" s="18">
        <f t="shared" si="34"/>
        <v>44989004.617140457</v>
      </c>
      <c r="AY32" s="18">
        <f t="shared" si="34"/>
        <v>43583000.566604823</v>
      </c>
      <c r="AZ32" s="18">
        <f t="shared" si="34"/>
        <v>42176996.516069189</v>
      </c>
      <c r="BA32" s="18">
        <f t="shared" si="34"/>
        <v>40770992.465533555</v>
      </c>
      <c r="BB32" s="18">
        <f t="shared" si="34"/>
        <v>39364988.41499792</v>
      </c>
      <c r="BC32" s="18">
        <f t="shared" si="34"/>
        <v>37958984.364462286</v>
      </c>
      <c r="BD32" s="18">
        <f t="shared" si="34"/>
        <v>36552980.313926652</v>
      </c>
      <c r="BE32" s="18">
        <f t="shared" si="34"/>
        <v>35146976.263391018</v>
      </c>
      <c r="BF32" s="18">
        <f t="shared" si="34"/>
        <v>33740972.212855384</v>
      </c>
      <c r="BG32" s="18">
        <f t="shared" si="34"/>
        <v>32334968.162319746</v>
      </c>
      <c r="BH32" s="18">
        <f t="shared" si="34"/>
        <v>30928964.111784108</v>
      </c>
      <c r="BI32" s="18">
        <f t="shared" si="34"/>
        <v>29522960.06124847</v>
      </c>
      <c r="BJ32" s="18">
        <f t="shared" si="34"/>
        <v>30116956.010712832</v>
      </c>
      <c r="BK32" s="18">
        <f t="shared" si="34"/>
        <v>28710951.960177194</v>
      </c>
      <c r="BL32" s="18">
        <f t="shared" si="34"/>
        <v>27304947.909641556</v>
      </c>
      <c r="BM32" s="18">
        <f t="shared" si="34"/>
        <v>25898943.859105919</v>
      </c>
      <c r="BN32" s="18">
        <f t="shared" si="34"/>
        <v>24492939.808570281</v>
      </c>
      <c r="BO32" s="18">
        <f t="shared" si="34"/>
        <v>23086935.758034643</v>
      </c>
      <c r="BP32" s="18">
        <f t="shared" ref="BP32:CD32" si="35">BO32-BP19-BP8</f>
        <v>21680931.707499005</v>
      </c>
      <c r="BQ32" s="18">
        <f t="shared" si="35"/>
        <v>20274927.656963367</v>
      </c>
      <c r="BR32" s="18">
        <f t="shared" si="35"/>
        <v>18868923.606427729</v>
      </c>
      <c r="BS32" s="18">
        <f t="shared" si="35"/>
        <v>17462919.555892091</v>
      </c>
      <c r="BT32" s="18">
        <f t="shared" si="35"/>
        <v>16056915.505356455</v>
      </c>
      <c r="BU32" s="18">
        <f t="shared" si="35"/>
        <v>14650911.454820819</v>
      </c>
      <c r="BV32" s="18">
        <f t="shared" si="35"/>
        <v>13244907.404285183</v>
      </c>
      <c r="BW32" s="18">
        <f t="shared" si="35"/>
        <v>11838903.353749547</v>
      </c>
      <c r="BX32" s="18">
        <f t="shared" si="35"/>
        <v>10432899.303213911</v>
      </c>
      <c r="BY32" s="18">
        <f t="shared" si="35"/>
        <v>9026895.2526782751</v>
      </c>
      <c r="BZ32" s="18">
        <f t="shared" si="35"/>
        <v>7620891.2021426391</v>
      </c>
      <c r="CA32" s="18">
        <f t="shared" si="35"/>
        <v>6214887.1516070031</v>
      </c>
      <c r="CB32" s="18">
        <f t="shared" si="35"/>
        <v>4808883.101071367</v>
      </c>
      <c r="CC32" s="18">
        <f t="shared" si="35"/>
        <v>3402879.050535731</v>
      </c>
      <c r="CD32" s="18">
        <f t="shared" si="35"/>
        <v>3996875.000000095</v>
      </c>
    </row>
    <row r="33" spans="1:82" x14ac:dyDescent="0.45">
      <c r="A33" t="s">
        <v>271</v>
      </c>
      <c r="C33" s="18">
        <f t="shared" ref="C33:AH33" si="36">C29+C30+C31+C32</f>
        <v>107415515.11944285</v>
      </c>
      <c r="D33" s="18">
        <f t="shared" si="36"/>
        <v>106158495.11630972</v>
      </c>
      <c r="E33" s="18">
        <f t="shared" si="36"/>
        <v>104900006.79490472</v>
      </c>
      <c r="F33" s="18">
        <f t="shared" si="36"/>
        <v>103640049.40324688</v>
      </c>
      <c r="G33" s="18">
        <f t="shared" si="36"/>
        <v>102378622.18024468</v>
      </c>
      <c r="H33" s="18">
        <f t="shared" si="36"/>
        <v>101115724.35558568</v>
      </c>
      <c r="I33" s="18">
        <f t="shared" si="36"/>
        <v>99851355.149624795</v>
      </c>
      <c r="J33" s="18">
        <f t="shared" si="36"/>
        <v>98585513.773271248</v>
      </c>
      <c r="K33" s="18">
        <f t="shared" si="36"/>
        <v>97318199.427874148</v>
      </c>
      <c r="L33" s="18">
        <f t="shared" si="36"/>
        <v>96049411.30510661</v>
      </c>
      <c r="M33" s="18">
        <f t="shared" si="36"/>
        <v>94779148.586848572</v>
      </c>
      <c r="N33" s="18">
        <f t="shared" si="36"/>
        <v>93507410.445068121</v>
      </c>
      <c r="O33" s="18">
        <f t="shared" si="36"/>
        <v>92234196.041701451</v>
      </c>
      <c r="P33" s="18">
        <f t="shared" si="36"/>
        <v>90959504.528531238</v>
      </c>
      <c r="Q33" s="18">
        <f t="shared" si="36"/>
        <v>89683335.047063723</v>
      </c>
      <c r="R33" s="18">
        <f t="shared" si="36"/>
        <v>90405686.728404149</v>
      </c>
      <c r="S33" s="18">
        <f t="shared" si="36"/>
        <v>89126558.693130761</v>
      </c>
      <c r="T33" s="18">
        <f t="shared" si="36"/>
        <v>87855565.435782671</v>
      </c>
      <c r="U33" s="18">
        <f t="shared" si="36"/>
        <v>86583062.934198201</v>
      </c>
      <c r="V33" s="18">
        <f t="shared" si="36"/>
        <v>85249434.55594717</v>
      </c>
      <c r="W33" s="18">
        <f t="shared" si="36"/>
        <v>83914322.159398824</v>
      </c>
      <c r="X33" s="18">
        <f t="shared" si="36"/>
        <v>82577724.802360326</v>
      </c>
      <c r="Y33" s="18">
        <f t="shared" si="36"/>
        <v>81239641.531223819</v>
      </c>
      <c r="Z33" s="18">
        <f t="shared" si="36"/>
        <v>79900071.380828097</v>
      </c>
      <c r="AA33" s="18">
        <f t="shared" si="36"/>
        <v>78559013.374318689</v>
      </c>
      <c r="AB33" s="18">
        <f t="shared" si="36"/>
        <v>77216466.523006126</v>
      </c>
      <c r="AC33" s="18">
        <f t="shared" si="36"/>
        <v>75872429.826222628</v>
      </c>
      <c r="AD33" s="18">
        <f t="shared" si="36"/>
        <v>74526902.27117689</v>
      </c>
      <c r="AE33" s="18">
        <f t="shared" si="36"/>
        <v>73179882.832807288</v>
      </c>
      <c r="AF33" s="18">
        <f t="shared" si="36"/>
        <v>71831370.47363314</v>
      </c>
      <c r="AG33" s="18">
        <f t="shared" si="36"/>
        <v>70481364.143604353</v>
      </c>
      <c r="AH33" s="18">
        <f t="shared" si="36"/>
        <v>69129862.779949009</v>
      </c>
      <c r="AI33" s="18">
        <f t="shared" ref="AI33:BN33" si="37">AI29+AI30+AI31+AI32</f>
        <v>67776865.307019323</v>
      </c>
      <c r="AJ33" s="18">
        <f t="shared" si="37"/>
        <v>66422370.636135638</v>
      </c>
      <c r="AK33" s="18">
        <f t="shared" si="37"/>
        <v>65066377.665428497</v>
      </c>
      <c r="AL33" s="18">
        <f t="shared" si="37"/>
        <v>65708885.279678904</v>
      </c>
      <c r="AM33" s="18">
        <f t="shared" si="37"/>
        <v>64349892.350156523</v>
      </c>
      <c r="AN33" s="18">
        <f t="shared" si="37"/>
        <v>62999013.119071417</v>
      </c>
      <c r="AO33" s="18">
        <f t="shared" si="37"/>
        <v>61646332.876183495</v>
      </c>
      <c r="AP33" s="18">
        <f t="shared" si="37"/>
        <v>60232235.510676697</v>
      </c>
      <c r="AQ33" s="18">
        <f t="shared" si="37"/>
        <v>58818040.091546208</v>
      </c>
      <c r="AR33" s="18">
        <f t="shared" si="37"/>
        <v>57403745.430834666</v>
      </c>
      <c r="AS33" s="18">
        <f t="shared" si="37"/>
        <v>55989350.326192148</v>
      </c>
      <c r="AT33" s="18">
        <f t="shared" si="37"/>
        <v>54574853.560701795</v>
      </c>
      <c r="AU33" s="18">
        <f t="shared" si="37"/>
        <v>53160253.902703337</v>
      </c>
      <c r="AV33" s="18">
        <f t="shared" si="37"/>
        <v>51745550.105614461</v>
      </c>
      <c r="AW33" s="18">
        <f t="shared" si="37"/>
        <v>50330740.90775004</v>
      </c>
      <c r="AX33" s="18">
        <f t="shared" si="37"/>
        <v>48915825.032139137</v>
      </c>
      <c r="AY33" s="18">
        <f t="shared" si="37"/>
        <v>47500801.186339818</v>
      </c>
      <c r="AZ33" s="18">
        <f t="shared" si="37"/>
        <v>46085668.062251732</v>
      </c>
      <c r="BA33" s="18">
        <f t="shared" si="37"/>
        <v>44670424.335926369</v>
      </c>
      <c r="BB33" s="18">
        <f t="shared" si="37"/>
        <v>43255068.667375095</v>
      </c>
      <c r="BC33" s="18">
        <f t="shared" si="37"/>
        <v>41839599.70037479</v>
      </c>
      <c r="BD33" s="18">
        <f t="shared" si="37"/>
        <v>40424016.062271163</v>
      </c>
      <c r="BE33" s="18">
        <f t="shared" si="37"/>
        <v>39008316.363779686</v>
      </c>
      <c r="BF33" s="18">
        <f t="shared" si="37"/>
        <v>39592499.198784128</v>
      </c>
      <c r="BG33" s="18">
        <f t="shared" si="37"/>
        <v>38176563.144132614</v>
      </c>
      <c r="BH33" s="18">
        <f t="shared" si="37"/>
        <v>36760381.327911183</v>
      </c>
      <c r="BI33" s="18">
        <f t="shared" si="37"/>
        <v>33548577.738187637</v>
      </c>
      <c r="BJ33" s="18">
        <f t="shared" si="37"/>
        <v>30341956.010712832</v>
      </c>
      <c r="BK33" s="18">
        <f t="shared" si="37"/>
        <v>28935951.960177194</v>
      </c>
      <c r="BL33" s="18">
        <f t="shared" si="37"/>
        <v>27529947.909641556</v>
      </c>
      <c r="BM33" s="18">
        <f t="shared" si="37"/>
        <v>26123943.859105919</v>
      </c>
      <c r="BN33" s="18">
        <f t="shared" si="37"/>
        <v>24717939.808570281</v>
      </c>
      <c r="BO33" s="18">
        <f t="shared" ref="BO33:CD33" si="38">BO29+BO30+BO31+BO32</f>
        <v>23311935.758034643</v>
      </c>
      <c r="BP33" s="18">
        <f t="shared" si="38"/>
        <v>21905931.707499005</v>
      </c>
      <c r="BQ33" s="18">
        <f t="shared" si="38"/>
        <v>20499927.656963367</v>
      </c>
      <c r="BR33" s="18">
        <f t="shared" si="38"/>
        <v>19093923.606427729</v>
      </c>
      <c r="BS33" s="18">
        <f t="shared" si="38"/>
        <v>17687919.555892091</v>
      </c>
      <c r="BT33" s="18">
        <f t="shared" si="38"/>
        <v>16281915.505356455</v>
      </c>
      <c r="BU33" s="18">
        <f t="shared" si="38"/>
        <v>14875911.454820819</v>
      </c>
      <c r="BV33" s="18">
        <f t="shared" si="38"/>
        <v>13469907.404285183</v>
      </c>
      <c r="BW33" s="18">
        <f t="shared" si="38"/>
        <v>12063903.353749547</v>
      </c>
      <c r="BX33" s="18">
        <f t="shared" si="38"/>
        <v>10657899.303213911</v>
      </c>
      <c r="BY33" s="18">
        <f t="shared" si="38"/>
        <v>9251895.2526782751</v>
      </c>
      <c r="BZ33" s="18">
        <f t="shared" si="38"/>
        <v>9845891.2021426391</v>
      </c>
      <c r="CA33" s="18">
        <f t="shared" si="38"/>
        <v>8383637.1516070031</v>
      </c>
      <c r="CB33" s="18">
        <f t="shared" si="38"/>
        <v>6921383.101071367</v>
      </c>
      <c r="CC33" s="18">
        <f t="shared" si="38"/>
        <v>5459129.050535731</v>
      </c>
      <c r="CD33" s="18">
        <f t="shared" si="38"/>
        <v>3996875.000000095</v>
      </c>
    </row>
    <row r="34" spans="1:82" x14ac:dyDescent="0.45">
      <c r="A34" t="s">
        <v>272</v>
      </c>
      <c r="C34" s="12">
        <f>Calc_Financing_Ops!C23</f>
        <v>74763094.461228102</v>
      </c>
      <c r="D34" s="12">
        <f>Calc_Financing_Ops!D23</f>
        <v>73902759.538251519</v>
      </c>
      <c r="E34" s="12">
        <f>Calc_Financing_Ops!E23</f>
        <v>73031730.894092709</v>
      </c>
      <c r="F34" s="12">
        <f>Calc_Financing_Ops!F23</f>
        <v>72149878.970206589</v>
      </c>
      <c r="G34" s="12">
        <f>Calc_Financing_Ops!G23</f>
        <v>71257072.638396472</v>
      </c>
      <c r="H34" s="12">
        <f>Calc_Financing_Ops!H23</f>
        <v>70353179.181797117</v>
      </c>
      <c r="I34" s="12">
        <f>Calc_Financing_Ops!I23</f>
        <v>69438064.275627419</v>
      </c>
      <c r="J34" s="12">
        <f>Calc_Financing_Ops!J23</f>
        <v>68511591.967709899</v>
      </c>
      <c r="K34" s="12">
        <f>Calc_Financing_Ops!K23</f>
        <v>67573624.65875414</v>
      </c>
      <c r="L34" s="12">
        <f>Calc_Financing_Ops!L23</f>
        <v>66624023.082401425</v>
      </c>
      <c r="M34" s="12">
        <f>Calc_Financing_Ops!M23</f>
        <v>65662646.285027511</v>
      </c>
      <c r="N34" s="12">
        <f>Calc_Financing_Ops!N23</f>
        <v>64689351.605300799</v>
      </c>
      <c r="O34" s="12">
        <f>Calc_Financing_Ops!O23</f>
        <v>63703994.653492786</v>
      </c>
      <c r="P34" s="12">
        <f>Calc_Financing_Ops!P23</f>
        <v>62706429.290537864</v>
      </c>
      <c r="Q34" s="12">
        <f>Calc_Financing_Ops!Q23</f>
        <v>61696507.606839448</v>
      </c>
      <c r="R34" s="12">
        <f>Calc_Financing_Ops!R23</f>
        <v>60674079.900819302</v>
      </c>
      <c r="S34" s="12">
        <f>Calc_Financing_Ops!S23</f>
        <v>59638994.65720699</v>
      </c>
      <c r="T34" s="12">
        <f>Calc_Financing_Ops!T23</f>
        <v>58591098.525066301</v>
      </c>
      <c r="U34" s="12">
        <f>Calc_Financing_Ops!U23</f>
        <v>57530236.295555443</v>
      </c>
      <c r="V34" s="12">
        <f>Calc_Financing_Ops!V23</f>
        <v>56446635.494802438</v>
      </c>
      <c r="W34" s="12">
        <f>Calc_Financing_Ops!W23</f>
        <v>55349636.020886458</v>
      </c>
      <c r="X34" s="12">
        <f>Calc_Financing_Ops!X23</f>
        <v>54239075.543728806</v>
      </c>
      <c r="Y34" s="12">
        <f>Calc_Financing_Ops!Y23</f>
        <v>53114789.766559437</v>
      </c>
      <c r="Z34" s="12">
        <f>Calc_Financing_Ops!Z23</f>
        <v>51976612.402089745</v>
      </c>
      <c r="AA34" s="12">
        <f>Calc_Financing_Ops!AA23</f>
        <v>50824375.148396671</v>
      </c>
      <c r="AB34" s="12">
        <f>Calc_Financing_Ops!AB23</f>
        <v>49657907.664514624</v>
      </c>
      <c r="AC34" s="12">
        <f>Calc_Financing_Ops!AC23</f>
        <v>48477037.545731701</v>
      </c>
      <c r="AD34" s="12">
        <f>Calc_Financing_Ops!AD23</f>
        <v>47281590.2985866</v>
      </c>
      <c r="AE34" s="12">
        <f>Calc_Financing_Ops!AE23</f>
        <v>46071389.315562621</v>
      </c>
      <c r="AF34" s="12">
        <f>Calc_Financing_Ops!AF23</f>
        <v>44846255.849475086</v>
      </c>
      <c r="AG34" s="12">
        <f>Calc_Financing_Ops!AG23</f>
        <v>43606008.987548411</v>
      </c>
      <c r="AH34" s="12">
        <f>Calc_Financing_Ops!AH23</f>
        <v>42350465.625179164</v>
      </c>
      <c r="AI34" s="12">
        <f>Calc_Financing_Ops!AI23</f>
        <v>41079440.439381212</v>
      </c>
      <c r="AJ34" s="12">
        <f>Calc_Financing_Ops!AJ23</f>
        <v>39792745.861909166</v>
      </c>
      <c r="AK34" s="12">
        <f>Calc_Financing_Ops!AK23</f>
        <v>38490192.052056216</v>
      </c>
      <c r="AL34" s="12">
        <f>Calc_Financing_Ops!AL23</f>
        <v>37171586.869122349</v>
      </c>
      <c r="AM34" s="12">
        <f>Calc_Financing_Ops!AM23</f>
        <v>35836735.84454909</v>
      </c>
      <c r="AN34" s="12">
        <f>Calc_Financing_Ops!AN23</f>
        <v>34485442.153716579</v>
      </c>
      <c r="AO34" s="12">
        <f>Calc_Financing_Ops!AO23</f>
        <v>33117506.587398984</v>
      </c>
      <c r="AP34" s="12">
        <f>Calc_Financing_Ops!AP23</f>
        <v>31723112.138258696</v>
      </c>
      <c r="AQ34" s="12">
        <f>Calc_Financing_Ops!AQ23</f>
        <v>30311824.064061515</v>
      </c>
      <c r="AR34" s="12">
        <f>Calc_Financing_Ops!AR23</f>
        <v>28883437.692042328</v>
      </c>
      <c r="AS34" s="12">
        <f>Calc_Financing_Ops!AS23</f>
        <v>27437745.869746756</v>
      </c>
      <c r="AT34" s="12">
        <f>Calc_Financing_Ops!AT23</f>
        <v>25974538.934988759</v>
      </c>
      <c r="AU34" s="12">
        <f>Calc_Financing_Ops!AU23</f>
        <v>24493604.685444269</v>
      </c>
      <c r="AV34" s="12">
        <f>Calc_Financing_Ops!AV23</f>
        <v>22994728.347876452</v>
      </c>
      <c r="AW34" s="12">
        <f>Calc_Financing_Ops!AW23</f>
        <v>21477692.546988104</v>
      </c>
      <c r="AX34" s="12">
        <f>Calc_Financing_Ops!AX23</f>
        <v>19942277.273896683</v>
      </c>
      <c r="AY34" s="12">
        <f>Calc_Financing_Ops!AY23</f>
        <v>18388259.854227424</v>
      </c>
      <c r="AZ34" s="12">
        <f>Calc_Financing_Ops!AZ23</f>
        <v>16815414.915819865</v>
      </c>
      <c r="BA34" s="12">
        <f>Calc_Financing_Ops!BA23</f>
        <v>15223514.356043138</v>
      </c>
      <c r="BB34" s="12">
        <f>Calc_Financing_Ops!BB23</f>
        <v>13612327.308715269</v>
      </c>
      <c r="BC34" s="12">
        <f>Calc_Financing_Ops!BC23</f>
        <v>11981620.110621698</v>
      </c>
      <c r="BD34" s="12">
        <f>Calc_Financing_Ops!BD23</f>
        <v>10331156.267628146</v>
      </c>
      <c r="BE34" s="12">
        <f>Calc_Financing_Ops!BE23</f>
        <v>8660696.4203829411</v>
      </c>
      <c r="BF34" s="12">
        <f>Calc_Financing_Ops!BF23</f>
        <v>6969998.3096038047</v>
      </c>
      <c r="BG34" s="12">
        <f>Calc_Financing_Ops!BG23</f>
        <v>5258816.7409440745</v>
      </c>
      <c r="BH34" s="12">
        <f>Calc_Financing_Ops!BH23</f>
        <v>3526903.5494332747</v>
      </c>
      <c r="BI34" s="12">
        <f>Calc_Financing_Ops!BI23</f>
        <v>1774007.5634868634</v>
      </c>
      <c r="BJ34" s="12">
        <f>Calc_Financing_Ops!BJ23</f>
        <v>0</v>
      </c>
      <c r="BK34" s="12">
        <f>Calc_Financing_Ops!BK23</f>
        <v>0</v>
      </c>
      <c r="BL34" s="12">
        <f>Calc_Financing_Ops!BL23</f>
        <v>0</v>
      </c>
      <c r="BM34" s="12">
        <f>Calc_Financing_Ops!BM23</f>
        <v>0</v>
      </c>
      <c r="BN34" s="12">
        <f>Calc_Financing_Ops!BN23</f>
        <v>0</v>
      </c>
      <c r="BO34" s="12">
        <f>Calc_Financing_Ops!BO23</f>
        <v>0</v>
      </c>
      <c r="BP34" s="12">
        <f>Calc_Financing_Ops!BP23</f>
        <v>0</v>
      </c>
      <c r="BQ34" s="12">
        <f>Calc_Financing_Ops!BQ23</f>
        <v>0</v>
      </c>
      <c r="BR34" s="12">
        <f>Calc_Financing_Ops!BR23</f>
        <v>0</v>
      </c>
      <c r="BS34" s="12">
        <f>Calc_Financing_Ops!BS23</f>
        <v>0</v>
      </c>
      <c r="BT34" s="12">
        <f>Calc_Financing_Ops!BT23</f>
        <v>0</v>
      </c>
      <c r="BU34" s="12">
        <f>Calc_Financing_Ops!BU23</f>
        <v>0</v>
      </c>
      <c r="BV34" s="12">
        <f>Calc_Financing_Ops!BV23</f>
        <v>0</v>
      </c>
      <c r="BW34" s="12">
        <f>Calc_Financing_Ops!BW23</f>
        <v>0</v>
      </c>
      <c r="BX34" s="12">
        <f>Calc_Financing_Ops!BX23</f>
        <v>0</v>
      </c>
      <c r="BY34" s="12">
        <f>Calc_Financing_Ops!BY23</f>
        <v>0</v>
      </c>
      <c r="BZ34" s="12">
        <f>Calc_Financing_Ops!BZ23</f>
        <v>0</v>
      </c>
      <c r="CA34" s="12">
        <f>Calc_Financing_Ops!CA23</f>
        <v>0</v>
      </c>
      <c r="CB34" s="12">
        <f>Calc_Financing_Ops!CB23</f>
        <v>0</v>
      </c>
      <c r="CC34" s="12">
        <f>Calc_Financing_Ops!CC23</f>
        <v>0</v>
      </c>
      <c r="CD34" s="12">
        <f>Calc_Financing_Ops!CD23</f>
        <v>0</v>
      </c>
    </row>
    <row r="35" spans="1:82" x14ac:dyDescent="0.45">
      <c r="A35" t="s">
        <v>273</v>
      </c>
      <c r="C35" s="12">
        <f>Calc_Capex!$Z$13</f>
        <v>28867460.372145649</v>
      </c>
      <c r="D35" s="12">
        <f>Calc_Capex!$Z$13</f>
        <v>28867460.372145649</v>
      </c>
      <c r="E35" s="12">
        <f>Calc_Capex!$Z$13</f>
        <v>28867460.372145649</v>
      </c>
      <c r="F35" s="12">
        <f>Calc_Capex!$Z$13</f>
        <v>28867460.372145649</v>
      </c>
      <c r="G35" s="12">
        <f>Calc_Capex!$Z$13</f>
        <v>28867460.372145649</v>
      </c>
      <c r="H35" s="12">
        <f>Calc_Capex!$Z$13</f>
        <v>28867460.372145649</v>
      </c>
      <c r="I35" s="12">
        <f>Calc_Capex!$Z$13</f>
        <v>28867460.372145649</v>
      </c>
      <c r="J35" s="12">
        <f>Calc_Capex!$Z$13</f>
        <v>28867460.372145649</v>
      </c>
      <c r="K35" s="12">
        <f>Calc_Capex!$Z$13</f>
        <v>28867460.372145649</v>
      </c>
      <c r="L35" s="12">
        <f>Calc_Capex!$Z$13</f>
        <v>28867460.372145649</v>
      </c>
      <c r="M35" s="12">
        <f>Calc_Capex!$Z$13</f>
        <v>28867460.372145649</v>
      </c>
      <c r="N35" s="12">
        <f>Calc_Capex!$Z$13</f>
        <v>28867460.372145649</v>
      </c>
      <c r="O35" s="12">
        <f>Calc_Capex!$Z$13</f>
        <v>28867460.372145649</v>
      </c>
      <c r="P35" s="12">
        <f>Calc_Capex!$Z$13</f>
        <v>28867460.372145649</v>
      </c>
      <c r="Q35" s="12">
        <f>Calc_Capex!$Z$13</f>
        <v>28867460.372145649</v>
      </c>
      <c r="R35" s="12">
        <f>Calc_Capex!$Z$13</f>
        <v>28867460.372145649</v>
      </c>
      <c r="S35" s="12">
        <f>Calc_Capex!$Z$13</f>
        <v>28867460.372145649</v>
      </c>
      <c r="T35" s="12">
        <f>Calc_Capex!$Z$13</f>
        <v>28867460.372145649</v>
      </c>
      <c r="U35" s="12">
        <f>Calc_Capex!$Z$13</f>
        <v>28867460.372145649</v>
      </c>
      <c r="V35" s="12">
        <f>Calc_Capex!$Z$13</f>
        <v>28867460.372145649</v>
      </c>
      <c r="W35" s="12">
        <f>Calc_Capex!$Z$13</f>
        <v>28867460.372145649</v>
      </c>
      <c r="X35" s="12">
        <f>Calc_Capex!$Z$13</f>
        <v>28867460.372145649</v>
      </c>
      <c r="Y35" s="12">
        <f>Calc_Capex!$Z$13</f>
        <v>28867460.372145649</v>
      </c>
      <c r="Z35" s="12">
        <f>Calc_Capex!$Z$13</f>
        <v>28867460.372145649</v>
      </c>
      <c r="AA35" s="12">
        <f>Calc_Capex!$Z$13</f>
        <v>28867460.372145649</v>
      </c>
      <c r="AB35" s="12">
        <f>Calc_Capex!$Z$13</f>
        <v>28867460.372145649</v>
      </c>
      <c r="AC35" s="12">
        <f>Calc_Capex!$Z$13</f>
        <v>28867460.372145649</v>
      </c>
      <c r="AD35" s="12">
        <f>Calc_Capex!$Z$13</f>
        <v>28867460.372145649</v>
      </c>
      <c r="AE35" s="12">
        <f>Calc_Capex!$Z$13</f>
        <v>28867460.372145649</v>
      </c>
      <c r="AF35" s="12">
        <f>Calc_Capex!$Z$13</f>
        <v>28867460.372145649</v>
      </c>
      <c r="AG35" s="12">
        <f>Calc_Capex!$Z$13</f>
        <v>28867460.372145649</v>
      </c>
      <c r="AH35" s="12">
        <f>Calc_Capex!$Z$13</f>
        <v>28867460.372145649</v>
      </c>
      <c r="AI35" s="12">
        <f>Calc_Capex!$Z$13</f>
        <v>28867460.372145649</v>
      </c>
      <c r="AJ35" s="12">
        <f>Calc_Capex!$Z$13</f>
        <v>28867460.372145649</v>
      </c>
      <c r="AK35" s="12">
        <f>Calc_Capex!$Z$13</f>
        <v>28867460.372145649</v>
      </c>
      <c r="AL35" s="12">
        <f>Calc_Capex!$Z$13</f>
        <v>28867460.372145649</v>
      </c>
      <c r="AM35" s="12">
        <f>Calc_Capex!$Z$13</f>
        <v>28867460.372145649</v>
      </c>
      <c r="AN35" s="12">
        <f>Calc_Capex!$Z$13</f>
        <v>28867460.372145649</v>
      </c>
      <c r="AO35" s="12">
        <f>Calc_Capex!$Z$13</f>
        <v>28867460.372145649</v>
      </c>
      <c r="AP35" s="12">
        <f>Calc_Capex!$Z$13</f>
        <v>28867460.372145649</v>
      </c>
      <c r="AQ35" s="12">
        <f>Calc_Capex!$Z$13</f>
        <v>28867460.372145649</v>
      </c>
      <c r="AR35" s="12">
        <f>Calc_Capex!$Z$13</f>
        <v>28867460.372145649</v>
      </c>
      <c r="AS35" s="12">
        <f>Calc_Capex!$Z$13</f>
        <v>28867460.372145649</v>
      </c>
      <c r="AT35" s="12">
        <f>Calc_Capex!$Z$13</f>
        <v>28867460.372145649</v>
      </c>
      <c r="AU35" s="12">
        <f>Calc_Capex!$Z$13</f>
        <v>28867460.372145649</v>
      </c>
      <c r="AV35" s="12">
        <f>Calc_Capex!$Z$13</f>
        <v>28867460.372145649</v>
      </c>
      <c r="AW35" s="12">
        <f>Calc_Capex!$Z$13</f>
        <v>28867460.372145649</v>
      </c>
      <c r="AX35" s="12">
        <f>Calc_Capex!$Z$13</f>
        <v>28867460.372145649</v>
      </c>
      <c r="AY35" s="12">
        <f>Calc_Capex!$Z$13</f>
        <v>28867460.372145649</v>
      </c>
      <c r="AZ35" s="12">
        <f>Calc_Capex!$Z$13</f>
        <v>28867460.372145649</v>
      </c>
      <c r="BA35" s="12">
        <f>Calc_Capex!$Z$13</f>
        <v>28867460.372145649</v>
      </c>
      <c r="BB35" s="12">
        <f>Calc_Capex!$Z$13</f>
        <v>28867460.372145649</v>
      </c>
      <c r="BC35" s="12">
        <f>Calc_Capex!$Z$13</f>
        <v>28867460.372145649</v>
      </c>
      <c r="BD35" s="12">
        <f>Calc_Capex!$Z$13</f>
        <v>28867460.372145649</v>
      </c>
      <c r="BE35" s="12">
        <f>Calc_Capex!$Z$13</f>
        <v>28867460.372145649</v>
      </c>
      <c r="BF35" s="12">
        <f>Calc_Capex!$Z$13</f>
        <v>28867460.372145649</v>
      </c>
      <c r="BG35" s="12">
        <f>Calc_Capex!$Z$13</f>
        <v>28867460.372145649</v>
      </c>
      <c r="BH35" s="12">
        <f>Calc_Capex!$Z$13</f>
        <v>28867460.372145649</v>
      </c>
      <c r="BI35" s="12">
        <f>Calc_Capex!$Z$13</f>
        <v>28867460.372145649</v>
      </c>
      <c r="BJ35" s="12">
        <f>Calc_Capex!$Z$13</f>
        <v>28867460.372145649</v>
      </c>
      <c r="BK35" s="12">
        <f>Calc_Capex!$Z$13</f>
        <v>28867460.372145649</v>
      </c>
      <c r="BL35" s="12">
        <f>Calc_Capex!$Z$13</f>
        <v>28867460.372145649</v>
      </c>
      <c r="BM35" s="12">
        <f>Calc_Capex!$Z$13</f>
        <v>28867460.372145649</v>
      </c>
      <c r="BN35" s="12">
        <f>Calc_Capex!$Z$13</f>
        <v>28867460.372145649</v>
      </c>
      <c r="BO35" s="12">
        <f>Calc_Capex!$Z$13</f>
        <v>28867460.372145649</v>
      </c>
      <c r="BP35" s="12">
        <f>Calc_Capex!$Z$13</f>
        <v>28867460.372145649</v>
      </c>
      <c r="BQ35" s="12">
        <f>Calc_Capex!$Z$13</f>
        <v>28867460.372145649</v>
      </c>
      <c r="BR35" s="12">
        <f>Calc_Capex!$Z$13</f>
        <v>28867460.372145649</v>
      </c>
      <c r="BS35" s="12">
        <f>Calc_Capex!$Z$13</f>
        <v>28867460.372145649</v>
      </c>
      <c r="BT35" s="12">
        <f>Calc_Capex!$Z$13</f>
        <v>28867460.372145649</v>
      </c>
      <c r="BU35" s="12">
        <f>Calc_Capex!$Z$13</f>
        <v>28867460.372145649</v>
      </c>
      <c r="BV35" s="12">
        <f>Calc_Capex!$Z$13</f>
        <v>28867460.372145649</v>
      </c>
      <c r="BW35" s="12">
        <f>Calc_Capex!$Z$13</f>
        <v>28867460.372145649</v>
      </c>
      <c r="BX35" s="12">
        <f>Calc_Capex!$Z$13</f>
        <v>28867460.372145649</v>
      </c>
      <c r="BY35" s="12">
        <f>Calc_Capex!$Z$13</f>
        <v>28867460.372145649</v>
      </c>
      <c r="BZ35" s="12">
        <f>Calc_Capex!$Z$13</f>
        <v>28867460.372145649</v>
      </c>
      <c r="CA35" s="12">
        <f>Calc_Capex!$Z$13</f>
        <v>28867460.372145649</v>
      </c>
      <c r="CB35" s="12">
        <f>Calc_Capex!$Z$13</f>
        <v>28867460.372145649</v>
      </c>
      <c r="CC35" s="12">
        <f>Calc_Capex!$Z$13</f>
        <v>28867460.372145649</v>
      </c>
      <c r="CD35" s="12">
        <f>Calc_Capex!$Z$13</f>
        <v>28867460.372145649</v>
      </c>
    </row>
    <row r="36" spans="1:82" x14ac:dyDescent="0.45">
      <c r="A36" t="s">
        <v>274</v>
      </c>
      <c r="C36" s="18">
        <f>C14-C23</f>
        <v>3784960.2860691086</v>
      </c>
      <c r="D36" s="18">
        <f t="shared" ref="D36:AI36" si="39">C36+D14-D23</f>
        <v>3388275.2059125556</v>
      </c>
      <c r="E36" s="18">
        <f t="shared" si="39"/>
        <v>3000815.528666365</v>
      </c>
      <c r="F36" s="18">
        <f t="shared" si="39"/>
        <v>2622710.060894643</v>
      </c>
      <c r="G36" s="18">
        <f t="shared" si="39"/>
        <v>2254089.1697025602</v>
      </c>
      <c r="H36" s="18">
        <f t="shared" si="39"/>
        <v>1895084.8016429085</v>
      </c>
      <c r="I36" s="18">
        <f t="shared" si="39"/>
        <v>1545830.5018517158</v>
      </c>
      <c r="J36" s="18">
        <f t="shared" si="39"/>
        <v>1206461.4334156965</v>
      </c>
      <c r="K36" s="18">
        <f t="shared" si="39"/>
        <v>877114.3969743459</v>
      </c>
      <c r="L36" s="18">
        <f t="shared" si="39"/>
        <v>557927.8505595224</v>
      </c>
      <c r="M36" s="18">
        <f t="shared" si="39"/>
        <v>249041.92967539351</v>
      </c>
      <c r="N36" s="18">
        <f t="shared" si="39"/>
        <v>-49401.532378342352</v>
      </c>
      <c r="O36" s="18">
        <f t="shared" si="39"/>
        <v>-337258.98393700912</v>
      </c>
      <c r="P36" s="18">
        <f t="shared" si="39"/>
        <v>-614385.13415230066</v>
      </c>
      <c r="Q36" s="18">
        <f t="shared" si="39"/>
        <v>-880632.93192140444</v>
      </c>
      <c r="R36" s="18">
        <f t="shared" si="39"/>
        <v>864146.45543916407</v>
      </c>
      <c r="S36" s="18">
        <f t="shared" si="39"/>
        <v>620103.66377809015</v>
      </c>
      <c r="T36" s="18">
        <f t="shared" si="39"/>
        <v>397006.53857068915</v>
      </c>
      <c r="U36" s="18">
        <f t="shared" si="39"/>
        <v>185366.26649707207</v>
      </c>
      <c r="V36" s="18">
        <f t="shared" si="39"/>
        <v>-64661.311000946735</v>
      </c>
      <c r="W36" s="18">
        <f t="shared" si="39"/>
        <v>-302774.23363331793</v>
      </c>
      <c r="X36" s="18">
        <f t="shared" si="39"/>
        <v>-528811.11351416889</v>
      </c>
      <c r="Y36" s="18">
        <f t="shared" si="39"/>
        <v>-742608.60748131736</v>
      </c>
      <c r="Z36" s="18">
        <f t="shared" si="39"/>
        <v>-944001.39340734819</v>
      </c>
      <c r="AA36" s="18">
        <f t="shared" si="39"/>
        <v>-1132822.1462236852</v>
      </c>
      <c r="AB36" s="18">
        <f t="shared" si="39"/>
        <v>-1308901.5136541924</v>
      </c>
      <c r="AC36" s="18">
        <f t="shared" si="39"/>
        <v>-1472068.0916547719</v>
      </c>
      <c r="AD36" s="18">
        <f t="shared" si="39"/>
        <v>-1622148.3995554072</v>
      </c>
      <c r="AE36" s="18">
        <f t="shared" si="39"/>
        <v>-1758966.8549010425</v>
      </c>
      <c r="AF36" s="18">
        <f t="shared" si="39"/>
        <v>-1882345.7479876438</v>
      </c>
      <c r="AG36" s="18">
        <f t="shared" si="39"/>
        <v>-1992105.2160897674</v>
      </c>
      <c r="AH36" s="18">
        <f t="shared" si="39"/>
        <v>-2088063.2173758696</v>
      </c>
      <c r="AI36" s="18">
        <f t="shared" si="39"/>
        <v>-2170035.5045076022</v>
      </c>
      <c r="AJ36" s="18">
        <f t="shared" ref="AJ36:BO36" si="40">AI36+AJ14-AJ23</f>
        <v>-2237835.597919249</v>
      </c>
      <c r="AK36" s="18">
        <f t="shared" si="40"/>
        <v>-2291274.7587734321</v>
      </c>
      <c r="AL36" s="18">
        <f t="shared" si="40"/>
        <v>-330161.96158916689</v>
      </c>
      <c r="AM36" s="18">
        <f t="shared" si="40"/>
        <v>-354303.86653829552</v>
      </c>
      <c r="AN36" s="18">
        <f t="shared" si="40"/>
        <v>-353889.40679089469</v>
      </c>
      <c r="AO36" s="18">
        <f t="shared" si="40"/>
        <v>-338634.0833612188</v>
      </c>
      <c r="AP36" s="18">
        <f t="shared" si="40"/>
        <v>-358336.99972773256</v>
      </c>
      <c r="AQ36" s="18">
        <f t="shared" si="40"/>
        <v>-361244.34466104337</v>
      </c>
      <c r="AR36" s="18">
        <f t="shared" si="40"/>
        <v>-347152.63335340249</v>
      </c>
      <c r="AS36" s="18">
        <f t="shared" si="40"/>
        <v>-315855.91570035322</v>
      </c>
      <c r="AT36" s="18">
        <f t="shared" si="40"/>
        <v>-267145.74643271032</v>
      </c>
      <c r="AU36" s="18">
        <f t="shared" si="40"/>
        <v>-200811.1548866817</v>
      </c>
      <c r="AV36" s="18">
        <f t="shared" si="40"/>
        <v>-116638.61440773972</v>
      </c>
      <c r="AW36" s="18">
        <f t="shared" si="40"/>
        <v>-14412.011383813457</v>
      </c>
      <c r="AX36" s="18">
        <f t="shared" si="40"/>
        <v>106087.38609669893</v>
      </c>
      <c r="AY36" s="18">
        <f t="shared" si="40"/>
        <v>245080.95996663789</v>
      </c>
      <c r="AZ36" s="18">
        <f t="shared" si="40"/>
        <v>402792.77428610646</v>
      </c>
      <c r="BA36" s="18">
        <f t="shared" si="40"/>
        <v>579449.60773747345</v>
      </c>
      <c r="BB36" s="18">
        <f t="shared" si="40"/>
        <v>775280.98651406658</v>
      </c>
      <c r="BC36" s="18">
        <f t="shared" si="40"/>
        <v>990519.21760732844</v>
      </c>
      <c r="BD36" s="18">
        <f t="shared" si="40"/>
        <v>1225399.4224972476</v>
      </c>
      <c r="BE36" s="18">
        <f t="shared" si="40"/>
        <v>1480159.5712509763</v>
      </c>
      <c r="BF36" s="18">
        <f t="shared" si="40"/>
        <v>3755040.5170345572</v>
      </c>
      <c r="BG36" s="18">
        <f t="shared" si="40"/>
        <v>4050286.0310427742</v>
      </c>
      <c r="BH36" s="18">
        <f t="shared" si="40"/>
        <v>4366017.4063321427</v>
      </c>
      <c r="BI36" s="18">
        <f t="shared" si="40"/>
        <v>2907109.8025550069</v>
      </c>
      <c r="BJ36" s="18">
        <f t="shared" si="40"/>
        <v>1474495.6385670677</v>
      </c>
      <c r="BK36" s="18">
        <f t="shared" si="40"/>
        <v>68491.588031431194</v>
      </c>
      <c r="BL36" s="18">
        <f t="shared" si="40"/>
        <v>-1337512.4625042051</v>
      </c>
      <c r="BM36" s="18">
        <f t="shared" si="40"/>
        <v>-2743516.5130398413</v>
      </c>
      <c r="BN36" s="18">
        <f t="shared" si="40"/>
        <v>-4149520.5635754773</v>
      </c>
      <c r="BO36" s="18">
        <f t="shared" si="40"/>
        <v>-5555524.6141111143</v>
      </c>
      <c r="BP36" s="18">
        <f t="shared" ref="BP36:CD36" si="41">BO36+BP14-BP23</f>
        <v>-6961528.6646467503</v>
      </c>
      <c r="BQ36" s="18">
        <f t="shared" si="41"/>
        <v>-8367532.7151823863</v>
      </c>
      <c r="BR36" s="18">
        <f t="shared" si="41"/>
        <v>-9773536.7657180224</v>
      </c>
      <c r="BS36" s="18">
        <f t="shared" si="41"/>
        <v>-11179540.816253658</v>
      </c>
      <c r="BT36" s="18">
        <f t="shared" si="41"/>
        <v>-12585544.866789294</v>
      </c>
      <c r="BU36" s="18">
        <f t="shared" si="41"/>
        <v>-13991548.91732493</v>
      </c>
      <c r="BV36" s="18">
        <f t="shared" si="41"/>
        <v>-15397552.967860566</v>
      </c>
      <c r="BW36" s="18">
        <f t="shared" si="41"/>
        <v>-16803557.018396202</v>
      </c>
      <c r="BX36" s="18">
        <f t="shared" si="41"/>
        <v>-18209561.06893184</v>
      </c>
      <c r="BY36" s="18">
        <f t="shared" si="41"/>
        <v>-19615565.119467475</v>
      </c>
      <c r="BZ36" s="18">
        <f t="shared" si="41"/>
        <v>-19021569.170003109</v>
      </c>
      <c r="CA36" s="18">
        <f t="shared" si="41"/>
        <v>-20483823.220538743</v>
      </c>
      <c r="CB36" s="18">
        <f t="shared" si="41"/>
        <v>-21946077.271074377</v>
      </c>
      <c r="CC36" s="18">
        <f t="shared" si="41"/>
        <v>-23408331.321610011</v>
      </c>
      <c r="CD36" s="18">
        <f t="shared" si="41"/>
        <v>-24870585.372145645</v>
      </c>
    </row>
    <row r="37" spans="1:82" x14ac:dyDescent="0.45">
      <c r="A37" t="s">
        <v>275</v>
      </c>
      <c r="C37" s="18">
        <f t="shared" ref="C37:AH37" si="42">C35+C36</f>
        <v>32652420.658214759</v>
      </c>
      <c r="D37" s="18">
        <f t="shared" si="42"/>
        <v>32255735.578058206</v>
      </c>
      <c r="E37" s="18">
        <f t="shared" si="42"/>
        <v>31868275.900812015</v>
      </c>
      <c r="F37" s="18">
        <f t="shared" si="42"/>
        <v>31490170.433040291</v>
      </c>
      <c r="G37" s="18">
        <f t="shared" si="42"/>
        <v>31121549.541848209</v>
      </c>
      <c r="H37" s="18">
        <f t="shared" si="42"/>
        <v>30762545.173788559</v>
      </c>
      <c r="I37" s="18">
        <f t="shared" si="42"/>
        <v>30413290.873997364</v>
      </c>
      <c r="J37" s="18">
        <f t="shared" si="42"/>
        <v>30073921.805561345</v>
      </c>
      <c r="K37" s="18">
        <f t="shared" si="42"/>
        <v>29744574.769119997</v>
      </c>
      <c r="L37" s="18">
        <f t="shared" si="42"/>
        <v>29425388.222705171</v>
      </c>
      <c r="M37" s="18">
        <f t="shared" si="42"/>
        <v>29116502.301821042</v>
      </c>
      <c r="N37" s="18">
        <f t="shared" si="42"/>
        <v>28818058.839767307</v>
      </c>
      <c r="O37" s="18">
        <f t="shared" si="42"/>
        <v>28530201.388208639</v>
      </c>
      <c r="P37" s="18">
        <f t="shared" si="42"/>
        <v>28253075.237993348</v>
      </c>
      <c r="Q37" s="18">
        <f t="shared" si="42"/>
        <v>27986827.440224245</v>
      </c>
      <c r="R37" s="18">
        <f t="shared" si="42"/>
        <v>29731606.827584814</v>
      </c>
      <c r="S37" s="18">
        <f t="shared" si="42"/>
        <v>29487564.035923738</v>
      </c>
      <c r="T37" s="18">
        <f t="shared" si="42"/>
        <v>29264466.91071634</v>
      </c>
      <c r="U37" s="18">
        <f t="shared" si="42"/>
        <v>29052826.638642721</v>
      </c>
      <c r="V37" s="18">
        <f t="shared" si="42"/>
        <v>28802799.061144702</v>
      </c>
      <c r="W37" s="18">
        <f t="shared" si="42"/>
        <v>28564686.138512332</v>
      </c>
      <c r="X37" s="18">
        <f t="shared" si="42"/>
        <v>28338649.258631479</v>
      </c>
      <c r="Y37" s="18">
        <f t="shared" si="42"/>
        <v>28124851.764664333</v>
      </c>
      <c r="Z37" s="18">
        <f t="shared" si="42"/>
        <v>27923458.978738301</v>
      </c>
      <c r="AA37" s="18">
        <f t="shared" si="42"/>
        <v>27734638.225921962</v>
      </c>
      <c r="AB37" s="18">
        <f t="shared" si="42"/>
        <v>27558558.858491458</v>
      </c>
      <c r="AC37" s="18">
        <f t="shared" si="42"/>
        <v>27395392.280490875</v>
      </c>
      <c r="AD37" s="18">
        <f t="shared" si="42"/>
        <v>27245311.972590242</v>
      </c>
      <c r="AE37" s="18">
        <f t="shared" si="42"/>
        <v>27108493.517244607</v>
      </c>
      <c r="AF37" s="18">
        <f t="shared" si="42"/>
        <v>26985114.624158006</v>
      </c>
      <c r="AG37" s="18">
        <f t="shared" si="42"/>
        <v>26875355.156055883</v>
      </c>
      <c r="AH37" s="18">
        <f t="shared" si="42"/>
        <v>26779397.154769778</v>
      </c>
      <c r="AI37" s="18">
        <f t="shared" ref="AI37:BN37" si="43">AI35+AI36</f>
        <v>26697424.867638048</v>
      </c>
      <c r="AJ37" s="18">
        <f t="shared" si="43"/>
        <v>26629624.774226401</v>
      </c>
      <c r="AK37" s="18">
        <f t="shared" si="43"/>
        <v>26576185.613372218</v>
      </c>
      <c r="AL37" s="18">
        <f t="shared" si="43"/>
        <v>28537298.41055648</v>
      </c>
      <c r="AM37" s="18">
        <f t="shared" si="43"/>
        <v>28513156.505607352</v>
      </c>
      <c r="AN37" s="18">
        <f t="shared" si="43"/>
        <v>28513570.965354756</v>
      </c>
      <c r="AO37" s="18">
        <f t="shared" si="43"/>
        <v>28528826.288784429</v>
      </c>
      <c r="AP37" s="18">
        <f t="shared" si="43"/>
        <v>28509123.372417916</v>
      </c>
      <c r="AQ37" s="18">
        <f t="shared" si="43"/>
        <v>28506216.027484607</v>
      </c>
      <c r="AR37" s="18">
        <f t="shared" si="43"/>
        <v>28520307.738792248</v>
      </c>
      <c r="AS37" s="18">
        <f t="shared" si="43"/>
        <v>28551604.456445295</v>
      </c>
      <c r="AT37" s="18">
        <f t="shared" si="43"/>
        <v>28600314.625712939</v>
      </c>
      <c r="AU37" s="18">
        <f t="shared" si="43"/>
        <v>28666649.217258967</v>
      </c>
      <c r="AV37" s="18">
        <f t="shared" si="43"/>
        <v>28750821.757737909</v>
      </c>
      <c r="AW37" s="18">
        <f t="shared" si="43"/>
        <v>28853048.360761836</v>
      </c>
      <c r="AX37" s="18">
        <f t="shared" si="43"/>
        <v>28973547.758242346</v>
      </c>
      <c r="AY37" s="18">
        <f t="shared" si="43"/>
        <v>29112541.332112286</v>
      </c>
      <c r="AZ37" s="18">
        <f t="shared" si="43"/>
        <v>29270253.146431755</v>
      </c>
      <c r="BA37" s="18">
        <f t="shared" si="43"/>
        <v>29446909.979883123</v>
      </c>
      <c r="BB37" s="18">
        <f t="shared" si="43"/>
        <v>29642741.358659714</v>
      </c>
      <c r="BC37" s="18">
        <f t="shared" si="43"/>
        <v>29857979.589752976</v>
      </c>
      <c r="BD37" s="18">
        <f t="shared" si="43"/>
        <v>30092859.794642895</v>
      </c>
      <c r="BE37" s="18">
        <f t="shared" si="43"/>
        <v>30347619.943396624</v>
      </c>
      <c r="BF37" s="18">
        <f t="shared" si="43"/>
        <v>32622500.889180206</v>
      </c>
      <c r="BG37" s="18">
        <f t="shared" si="43"/>
        <v>32917746.403188422</v>
      </c>
      <c r="BH37" s="18">
        <f t="shared" si="43"/>
        <v>33233477.778477792</v>
      </c>
      <c r="BI37" s="18">
        <f t="shared" si="43"/>
        <v>31774570.174700655</v>
      </c>
      <c r="BJ37" s="18">
        <f t="shared" si="43"/>
        <v>30341956.010712717</v>
      </c>
      <c r="BK37" s="18">
        <f t="shared" si="43"/>
        <v>28935951.960177079</v>
      </c>
      <c r="BL37" s="18">
        <f t="shared" si="43"/>
        <v>27529947.909641445</v>
      </c>
      <c r="BM37" s="18">
        <f t="shared" si="43"/>
        <v>26123943.859105807</v>
      </c>
      <c r="BN37" s="18">
        <f t="shared" si="43"/>
        <v>24717939.808570173</v>
      </c>
      <c r="BO37" s="18">
        <f t="shared" ref="BO37:CD37" si="44">BO35+BO36</f>
        <v>23311935.758034535</v>
      </c>
      <c r="BP37" s="18">
        <f t="shared" si="44"/>
        <v>21905931.707498901</v>
      </c>
      <c r="BQ37" s="18">
        <f t="shared" si="44"/>
        <v>20499927.656963263</v>
      </c>
      <c r="BR37" s="18">
        <f t="shared" si="44"/>
        <v>19093923.606427625</v>
      </c>
      <c r="BS37" s="18">
        <f t="shared" si="44"/>
        <v>17687919.555891991</v>
      </c>
      <c r="BT37" s="18">
        <f t="shared" si="44"/>
        <v>16281915.505356355</v>
      </c>
      <c r="BU37" s="18">
        <f t="shared" si="44"/>
        <v>14875911.454820719</v>
      </c>
      <c r="BV37" s="18">
        <f t="shared" si="44"/>
        <v>13469907.404285083</v>
      </c>
      <c r="BW37" s="18">
        <f t="shared" si="44"/>
        <v>12063903.353749447</v>
      </c>
      <c r="BX37" s="18">
        <f t="shared" si="44"/>
        <v>10657899.303213809</v>
      </c>
      <c r="BY37" s="18">
        <f t="shared" si="44"/>
        <v>9251895.2526781745</v>
      </c>
      <c r="BZ37" s="18">
        <f t="shared" si="44"/>
        <v>9845891.2021425404</v>
      </c>
      <c r="CA37" s="18">
        <f t="shared" si="44"/>
        <v>8383637.1516069062</v>
      </c>
      <c r="CB37" s="18">
        <f t="shared" si="44"/>
        <v>6921383.101071272</v>
      </c>
      <c r="CC37" s="18">
        <f t="shared" si="44"/>
        <v>5459129.0505356379</v>
      </c>
      <c r="CD37" s="18">
        <f t="shared" si="44"/>
        <v>3996875.0000000037</v>
      </c>
    </row>
    <row r="38" spans="1:82" x14ac:dyDescent="0.45">
      <c r="A38" t="s">
        <v>276</v>
      </c>
      <c r="C38" s="18">
        <f t="shared" ref="C38:AH38" si="45">C34+C37</f>
        <v>107415515.11944287</v>
      </c>
      <c r="D38" s="18">
        <f t="shared" si="45"/>
        <v>106158495.11630973</v>
      </c>
      <c r="E38" s="18">
        <f t="shared" si="45"/>
        <v>104900006.79490472</v>
      </c>
      <c r="F38" s="18">
        <f t="shared" si="45"/>
        <v>103640049.40324688</v>
      </c>
      <c r="G38" s="18">
        <f t="shared" si="45"/>
        <v>102378622.18024468</v>
      </c>
      <c r="H38" s="18">
        <f t="shared" si="45"/>
        <v>101115724.35558568</v>
      </c>
      <c r="I38" s="18">
        <f t="shared" si="45"/>
        <v>99851355.14962478</v>
      </c>
      <c r="J38" s="18">
        <f t="shared" si="45"/>
        <v>98585513.773271248</v>
      </c>
      <c r="K38" s="18">
        <f t="shared" si="45"/>
        <v>97318199.427874133</v>
      </c>
      <c r="L38" s="18">
        <f t="shared" si="45"/>
        <v>96049411.305106595</v>
      </c>
      <c r="M38" s="18">
        <f t="shared" si="45"/>
        <v>94779148.586848557</v>
      </c>
      <c r="N38" s="18">
        <f t="shared" si="45"/>
        <v>93507410.445068106</v>
      </c>
      <c r="O38" s="18">
        <f t="shared" si="45"/>
        <v>92234196.041701421</v>
      </c>
      <c r="P38" s="18">
        <f t="shared" si="45"/>
        <v>90959504.528531209</v>
      </c>
      <c r="Q38" s="18">
        <f t="shared" si="45"/>
        <v>89683335.047063693</v>
      </c>
      <c r="R38" s="18">
        <f t="shared" si="45"/>
        <v>90405686.72840412</v>
      </c>
      <c r="S38" s="18">
        <f t="shared" si="45"/>
        <v>89126558.693130732</v>
      </c>
      <c r="T38" s="18">
        <f t="shared" si="45"/>
        <v>87855565.435782641</v>
      </c>
      <c r="U38" s="18">
        <f t="shared" si="45"/>
        <v>86583062.934198171</v>
      </c>
      <c r="V38" s="18">
        <f t="shared" si="45"/>
        <v>85249434.55594714</v>
      </c>
      <c r="W38" s="18">
        <f t="shared" si="45"/>
        <v>83914322.159398794</v>
      </c>
      <c r="X38" s="18">
        <f t="shared" si="45"/>
        <v>82577724.802360281</v>
      </c>
      <c r="Y38" s="18">
        <f t="shared" si="45"/>
        <v>81239641.531223774</v>
      </c>
      <c r="Z38" s="18">
        <f t="shared" si="45"/>
        <v>79900071.380828053</v>
      </c>
      <c r="AA38" s="18">
        <f t="shared" si="45"/>
        <v>78559013.37431863</v>
      </c>
      <c r="AB38" s="18">
        <f t="shared" si="45"/>
        <v>77216466.523006082</v>
      </c>
      <c r="AC38" s="18">
        <f t="shared" si="45"/>
        <v>75872429.826222569</v>
      </c>
      <c r="AD38" s="18">
        <f t="shared" si="45"/>
        <v>74526902.271176845</v>
      </c>
      <c r="AE38" s="18">
        <f t="shared" si="45"/>
        <v>73179882.832807228</v>
      </c>
      <c r="AF38" s="18">
        <f t="shared" si="45"/>
        <v>71831370.473633096</v>
      </c>
      <c r="AG38" s="18">
        <f t="shared" si="45"/>
        <v>70481364.143604293</v>
      </c>
      <c r="AH38" s="18">
        <f t="shared" si="45"/>
        <v>69129862.77994895</v>
      </c>
      <c r="AI38" s="18">
        <f t="shared" ref="AI38:BN38" si="46">AI34+AI37</f>
        <v>67776865.307019264</v>
      </c>
      <c r="AJ38" s="18">
        <f t="shared" si="46"/>
        <v>66422370.636135563</v>
      </c>
      <c r="AK38" s="18">
        <f t="shared" si="46"/>
        <v>65066377.66542843</v>
      </c>
      <c r="AL38" s="18">
        <f t="shared" si="46"/>
        <v>65708885.279678829</v>
      </c>
      <c r="AM38" s="18">
        <f t="shared" si="46"/>
        <v>64349892.350156441</v>
      </c>
      <c r="AN38" s="18">
        <f t="shared" si="46"/>
        <v>62999013.119071335</v>
      </c>
      <c r="AO38" s="18">
        <f t="shared" si="46"/>
        <v>61646332.876183413</v>
      </c>
      <c r="AP38" s="18">
        <f t="shared" si="46"/>
        <v>60232235.510676607</v>
      </c>
      <c r="AQ38" s="18">
        <f t="shared" si="46"/>
        <v>58818040.091546118</v>
      </c>
      <c r="AR38" s="18">
        <f t="shared" si="46"/>
        <v>57403745.430834576</v>
      </c>
      <c r="AS38" s="18">
        <f t="shared" si="46"/>
        <v>55989350.326192051</v>
      </c>
      <c r="AT38" s="18">
        <f t="shared" si="46"/>
        <v>54574853.560701698</v>
      </c>
      <c r="AU38" s="18">
        <f t="shared" si="46"/>
        <v>53160253.902703241</v>
      </c>
      <c r="AV38" s="18">
        <f t="shared" si="46"/>
        <v>51745550.105614364</v>
      </c>
      <c r="AW38" s="18">
        <f t="shared" si="46"/>
        <v>50330740.907749936</v>
      </c>
      <c r="AX38" s="18">
        <f t="shared" si="46"/>
        <v>48915825.032139033</v>
      </c>
      <c r="AY38" s="18">
        <f t="shared" si="46"/>
        <v>47500801.186339706</v>
      </c>
      <c r="AZ38" s="18">
        <f t="shared" si="46"/>
        <v>46085668.06225162</v>
      </c>
      <c r="BA38" s="18">
        <f t="shared" si="46"/>
        <v>44670424.335926265</v>
      </c>
      <c r="BB38" s="18">
        <f t="shared" si="46"/>
        <v>43255068.667374983</v>
      </c>
      <c r="BC38" s="18">
        <f t="shared" si="46"/>
        <v>41839599.700374678</v>
      </c>
      <c r="BD38" s="18">
        <f t="shared" si="46"/>
        <v>40424016.062271044</v>
      </c>
      <c r="BE38" s="18">
        <f t="shared" si="46"/>
        <v>39008316.363779567</v>
      </c>
      <c r="BF38" s="18">
        <f t="shared" si="46"/>
        <v>39592499.198784009</v>
      </c>
      <c r="BG38" s="18">
        <f t="shared" si="46"/>
        <v>38176563.144132495</v>
      </c>
      <c r="BH38" s="18">
        <f t="shared" si="46"/>
        <v>36760381.327911064</v>
      </c>
      <c r="BI38" s="18">
        <f t="shared" si="46"/>
        <v>33548577.738187518</v>
      </c>
      <c r="BJ38" s="18">
        <f t="shared" si="46"/>
        <v>30341956.010712717</v>
      </c>
      <c r="BK38" s="18">
        <f t="shared" si="46"/>
        <v>28935951.960177079</v>
      </c>
      <c r="BL38" s="18">
        <f t="shared" si="46"/>
        <v>27529947.909641445</v>
      </c>
      <c r="BM38" s="18">
        <f t="shared" si="46"/>
        <v>26123943.859105807</v>
      </c>
      <c r="BN38" s="18">
        <f t="shared" si="46"/>
        <v>24717939.808570173</v>
      </c>
      <c r="BO38" s="18">
        <f t="shared" ref="BO38:CD38" si="47">BO34+BO37</f>
        <v>23311935.758034535</v>
      </c>
      <c r="BP38" s="18">
        <f t="shared" si="47"/>
        <v>21905931.707498901</v>
      </c>
      <c r="BQ38" s="18">
        <f t="shared" si="47"/>
        <v>20499927.656963263</v>
      </c>
      <c r="BR38" s="18">
        <f t="shared" si="47"/>
        <v>19093923.606427625</v>
      </c>
      <c r="BS38" s="18">
        <f t="shared" si="47"/>
        <v>17687919.555891991</v>
      </c>
      <c r="BT38" s="18">
        <f t="shared" si="47"/>
        <v>16281915.505356355</v>
      </c>
      <c r="BU38" s="18">
        <f t="shared" si="47"/>
        <v>14875911.454820719</v>
      </c>
      <c r="BV38" s="18">
        <f t="shared" si="47"/>
        <v>13469907.404285083</v>
      </c>
      <c r="BW38" s="18">
        <f t="shared" si="47"/>
        <v>12063903.353749447</v>
      </c>
      <c r="BX38" s="18">
        <f t="shared" si="47"/>
        <v>10657899.303213809</v>
      </c>
      <c r="BY38" s="18">
        <f t="shared" si="47"/>
        <v>9251895.2526781745</v>
      </c>
      <c r="BZ38" s="18">
        <f t="shared" si="47"/>
        <v>9845891.2021425404</v>
      </c>
      <c r="CA38" s="18">
        <f t="shared" si="47"/>
        <v>8383637.1516069062</v>
      </c>
      <c r="CB38" s="18">
        <f t="shared" si="47"/>
        <v>6921383.101071272</v>
      </c>
      <c r="CC38" s="18">
        <f t="shared" si="47"/>
        <v>5459129.0505356379</v>
      </c>
      <c r="CD38" s="18">
        <f t="shared" si="47"/>
        <v>3996875.0000000037</v>
      </c>
    </row>
    <row r="41" spans="1:82" x14ac:dyDescent="0.45">
      <c r="A41" s="3" t="s">
        <v>85</v>
      </c>
    </row>
    <row r="42" spans="1:82" x14ac:dyDescent="0.45">
      <c r="A42" t="s">
        <v>277</v>
      </c>
      <c r="CD42" s="26">
        <f>SUMPRODUCT(--(ROUND(C33:CD33-C38:CD38,2)&lt;&gt;0))</f>
        <v>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</sheetPr>
  <dimension ref="A1:DB31"/>
  <sheetViews>
    <sheetView tabSelected="1" workbookViewId="0"/>
  </sheetViews>
  <sheetFormatPr defaultRowHeight="14.25" x14ac:dyDescent="0.45"/>
  <sheetData>
    <row r="1" spans="1:106" ht="15.75" x14ac:dyDescent="0.5">
      <c r="A1" s="10" t="s">
        <v>278</v>
      </c>
    </row>
    <row r="2" spans="1:106" x14ac:dyDescent="0.45">
      <c r="A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</row>
    <row r="4" spans="1:106" x14ac:dyDescent="0.45">
      <c r="A4" t="s">
        <v>300</v>
      </c>
      <c r="C4" s="12">
        <f>SUM(FS_Quarterly!C5:F5)</f>
        <v>15000000</v>
      </c>
      <c r="D4" s="12">
        <f>SUM(FS_Quarterly!G5:J5)</f>
        <v>15000000</v>
      </c>
      <c r="E4" s="12">
        <f>SUM(FS_Quarterly!K5:N5)</f>
        <v>15000000</v>
      </c>
      <c r="F4" s="12">
        <f>SUM(FS_Quarterly!O5:R5)</f>
        <v>15000000</v>
      </c>
      <c r="G4" s="12">
        <f>SUM(FS_Quarterly!S5:V5)</f>
        <v>15000000</v>
      </c>
      <c r="H4" s="12">
        <f>SUM(FS_Quarterly!W5:Z5)</f>
        <v>15000000</v>
      </c>
      <c r="I4" s="12">
        <f>SUM(FS_Quarterly!AA5:AD5)</f>
        <v>15000000</v>
      </c>
      <c r="J4" s="12">
        <f>SUM(FS_Quarterly!AE5:AH5)</f>
        <v>15000000</v>
      </c>
      <c r="K4" s="12">
        <f>SUM(FS_Quarterly!AI5:AL5)</f>
        <v>15000000</v>
      </c>
      <c r="L4" s="12">
        <f>SUM(FS_Quarterly!AM5:AP5)</f>
        <v>15000000</v>
      </c>
      <c r="M4" s="12">
        <f>SUM(FS_Quarterly!AQ5:AT5)</f>
        <v>15000000</v>
      </c>
      <c r="N4" s="12">
        <f>SUM(FS_Quarterly!AU5:AX5)</f>
        <v>15000000</v>
      </c>
      <c r="O4" s="12">
        <f>SUM(FS_Quarterly!AY5:BB5)</f>
        <v>15000000</v>
      </c>
      <c r="P4" s="12">
        <f>SUM(FS_Quarterly!BC5:BF5)</f>
        <v>15000000</v>
      </c>
      <c r="Q4" s="12">
        <f>SUM(FS_Quarterly!BG5:BJ5)</f>
        <v>15000000</v>
      </c>
      <c r="R4" s="12">
        <f>SUM(FS_Quarterly!BK5:BN5)</f>
        <v>15000000</v>
      </c>
      <c r="S4" s="12">
        <f>SUM(FS_Quarterly!BO5:BR5)</f>
        <v>15000000</v>
      </c>
      <c r="T4" s="12">
        <f>SUM(FS_Quarterly!BS5:BV5)</f>
        <v>15000000</v>
      </c>
      <c r="U4" s="12">
        <f>SUM(FS_Quarterly!BW5:BZ5)</f>
        <v>15000000</v>
      </c>
      <c r="V4" s="12">
        <f>SUM(FS_Quarterly!CA5:CD5)</f>
        <v>15000000</v>
      </c>
    </row>
    <row r="5" spans="1:106" x14ac:dyDescent="0.45">
      <c r="A5" t="s">
        <v>301</v>
      </c>
      <c r="C5" s="12">
        <f>SUM(FS_Quarterly!C7:F7)</f>
        <v>10500000</v>
      </c>
      <c r="D5" s="12">
        <f>SUM(FS_Quarterly!G7:J7)</f>
        <v>10500000</v>
      </c>
      <c r="E5" s="12">
        <f>SUM(FS_Quarterly!K7:N7)</f>
        <v>10500000</v>
      </c>
      <c r="F5" s="12">
        <f>SUM(FS_Quarterly!O7:R7)</f>
        <v>10500000</v>
      </c>
      <c r="G5" s="12">
        <f>SUM(FS_Quarterly!S7:V7)</f>
        <v>10500000</v>
      </c>
      <c r="H5" s="12">
        <f>SUM(FS_Quarterly!W7:Z7)</f>
        <v>10500000</v>
      </c>
      <c r="I5" s="12">
        <f>SUM(FS_Quarterly!AA7:AD7)</f>
        <v>10500000</v>
      </c>
      <c r="J5" s="12">
        <f>SUM(FS_Quarterly!AE7:AH7)</f>
        <v>10500000</v>
      </c>
      <c r="K5" s="12">
        <f>SUM(FS_Quarterly!AI7:AL7)</f>
        <v>10500000</v>
      </c>
      <c r="L5" s="12">
        <f>SUM(FS_Quarterly!AM7:AP7)</f>
        <v>10500000</v>
      </c>
      <c r="M5" s="12">
        <f>SUM(FS_Quarterly!AQ7:AT7)</f>
        <v>10500000</v>
      </c>
      <c r="N5" s="12">
        <f>SUM(FS_Quarterly!AU7:AX7)</f>
        <v>10500000</v>
      </c>
      <c r="O5" s="12">
        <f>SUM(FS_Quarterly!AY7:BB7)</f>
        <v>10500000</v>
      </c>
      <c r="P5" s="12">
        <f>SUM(FS_Quarterly!BC7:BF7)</f>
        <v>10500000</v>
      </c>
      <c r="Q5" s="12">
        <f>SUM(FS_Quarterly!BG7:BJ7)</f>
        <v>10500000</v>
      </c>
      <c r="R5" s="12">
        <f>SUM(FS_Quarterly!BK7:BN7)</f>
        <v>10500000</v>
      </c>
      <c r="S5" s="12">
        <f>SUM(FS_Quarterly!BO7:BR7)</f>
        <v>10500000</v>
      </c>
      <c r="T5" s="12">
        <f>SUM(FS_Quarterly!BS7:BV7)</f>
        <v>10500000</v>
      </c>
      <c r="U5" s="12">
        <f>SUM(FS_Quarterly!BW7:BZ7)</f>
        <v>10500000</v>
      </c>
      <c r="V5" s="12">
        <f>SUM(FS_Quarterly!CA7:CD7)</f>
        <v>10500000</v>
      </c>
    </row>
    <row r="6" spans="1:106" x14ac:dyDescent="0.45">
      <c r="A6" t="s">
        <v>302</v>
      </c>
      <c r="C6" s="12">
        <f>SUM(FS_Quarterly!C14:F14)</f>
        <v>601698.42704496859</v>
      </c>
      <c r="D6" s="12">
        <f>SUM(FS_Quarterly!G14:J14)</f>
        <v>743586.27890028071</v>
      </c>
      <c r="E6" s="12">
        <f>SUM(FS_Quarterly!K14:N14)</f>
        <v>893507.25596179534</v>
      </c>
      <c r="F6" s="12">
        <f>SUM(FS_Quarterly!O14:R14)</f>
        <v>1051857.7878861688</v>
      </c>
      <c r="G6" s="12">
        <f>SUM(FS_Quarterly!S14:V14)</f>
        <v>1181553.8678833011</v>
      </c>
      <c r="H6" s="12">
        <f>SUM(FS_Quarterly!W14:Z14)</f>
        <v>1246626.9341008486</v>
      </c>
      <c r="I6" s="12">
        <f>SUM(FS_Quarterly!AA14:AD14)</f>
        <v>1434661.7298348481</v>
      </c>
      <c r="J6" s="12">
        <f>SUM(FS_Quarterly!AE14:AH14)</f>
        <v>1633006.9733173982</v>
      </c>
      <c r="K6" s="12">
        <f>SUM(FS_Quarterly!AI14:AL14)</f>
        <v>1842171.4786346767</v>
      </c>
      <c r="L6" s="12">
        <f>SUM(FS_Quarterly!AM14:AP14)</f>
        <v>2025189.1695267376</v>
      </c>
      <c r="M6" s="12">
        <f>SUM(FS_Quarterly!AQ14:AT14)</f>
        <v>2156731.501046862</v>
      </c>
      <c r="N6" s="12">
        <f>SUM(FS_Quarterly!AU14:AX14)</f>
        <v>2420156.4975959933</v>
      </c>
      <c r="O6" s="12">
        <f>SUM(FS_Quarterly!AY14:BB14)</f>
        <v>2696581.3513932363</v>
      </c>
      <c r="P6" s="12">
        <f>SUM(FS_Quarterly!BC14:BF14)</f>
        <v>2986647.5971854259</v>
      </c>
      <c r="Q6" s="12">
        <f>SUM(FS_Quarterly!BG14:BJ14)</f>
        <v>3291028.4290540759</v>
      </c>
      <c r="R6" s="12">
        <f>SUM(FS_Quarterly!BK14:BN14)</f>
        <v>3488237.848393091</v>
      </c>
      <c r="S6" s="12">
        <f>SUM(FS_Quarterly!BO14:BR14)</f>
        <v>3488237.848393091</v>
      </c>
      <c r="T6" s="12">
        <f>SUM(FS_Quarterly!BS14:BV14)</f>
        <v>3488237.848393091</v>
      </c>
      <c r="U6" s="12">
        <f>SUM(FS_Quarterly!BW14:BZ14)</f>
        <v>3488237.848393091</v>
      </c>
      <c r="V6" s="12">
        <f>SUM(FS_Quarterly!CA14:CD14)</f>
        <v>3488237.848393091</v>
      </c>
    </row>
    <row r="7" spans="1:106" x14ac:dyDescent="0.45">
      <c r="A7" t="s">
        <v>303</v>
      </c>
      <c r="C7" s="12">
        <f>FS_Quarterly!F29</f>
        <v>0</v>
      </c>
      <c r="D7" s="12">
        <f>FS_Quarterly!J29</f>
        <v>0</v>
      </c>
      <c r="E7" s="12">
        <f>FS_Quarterly!N29</f>
        <v>0</v>
      </c>
      <c r="F7" s="12">
        <f>FS_Quarterly!R29</f>
        <v>0</v>
      </c>
      <c r="G7" s="12">
        <f>FS_Quarterly!V29</f>
        <v>0</v>
      </c>
      <c r="H7" s="12">
        <f>FS_Quarterly!Z29</f>
        <v>0</v>
      </c>
      <c r="I7" s="12">
        <f>FS_Quarterly!AD29</f>
        <v>0</v>
      </c>
      <c r="J7" s="12">
        <f>FS_Quarterly!AH29</f>
        <v>0</v>
      </c>
      <c r="K7" s="12">
        <f>FS_Quarterly!AL29</f>
        <v>0</v>
      </c>
      <c r="L7" s="12">
        <f>FS_Quarterly!AP29</f>
        <v>-4.6566128730773926E-10</v>
      </c>
      <c r="M7" s="12">
        <f>FS_Quarterly!AT29</f>
        <v>-4.6566128730773926E-10</v>
      </c>
      <c r="N7" s="12">
        <f>FS_Quarterly!AX29</f>
        <v>-4.6566128730773926E-10</v>
      </c>
      <c r="O7" s="12">
        <f>FS_Quarterly!BB29</f>
        <v>-4.6566128730773926E-10</v>
      </c>
      <c r="P7" s="12">
        <f>FS_Quarterly!BF29</f>
        <v>-4.6566128730773926E-10</v>
      </c>
      <c r="Q7" s="12">
        <f>FS_Quarterly!BJ29</f>
        <v>-2.3283064365386963E-10</v>
      </c>
      <c r="R7" s="12">
        <f>FS_Quarterly!BN29</f>
        <v>-2.3283064365386963E-10</v>
      </c>
      <c r="S7" s="12">
        <f>FS_Quarterly!BR29</f>
        <v>-2.3283064365386963E-10</v>
      </c>
      <c r="T7" s="12">
        <f>FS_Quarterly!BV29</f>
        <v>-2.3283064365386963E-10</v>
      </c>
      <c r="U7" s="12">
        <f>FS_Quarterly!BZ29</f>
        <v>-2.3283064365386963E-10</v>
      </c>
      <c r="V7" s="12">
        <f>FS_Quarterly!CD29</f>
        <v>2.3283064365386963E-10</v>
      </c>
    </row>
    <row r="8" spans="1:106" x14ac:dyDescent="0.45">
      <c r="A8" t="s">
        <v>304</v>
      </c>
      <c r="C8" s="12">
        <f>FS_Quarterly!F34</f>
        <v>72149878.970206589</v>
      </c>
      <c r="D8" s="12">
        <f>FS_Quarterly!J34</f>
        <v>68511591.967709899</v>
      </c>
      <c r="E8" s="12">
        <f>FS_Quarterly!N34</f>
        <v>64689351.605300799</v>
      </c>
      <c r="F8" s="12">
        <f>FS_Quarterly!R34</f>
        <v>60674079.900819302</v>
      </c>
      <c r="G8" s="12">
        <f>FS_Quarterly!V34</f>
        <v>56446635.494802438</v>
      </c>
      <c r="H8" s="12">
        <f>FS_Quarterly!Z34</f>
        <v>51976612.402089745</v>
      </c>
      <c r="I8" s="12">
        <f>FS_Quarterly!AD34</f>
        <v>47281590.2985866</v>
      </c>
      <c r="J8" s="12">
        <f>FS_Quarterly!AH34</f>
        <v>42350465.625179164</v>
      </c>
      <c r="K8" s="12">
        <f>FS_Quarterly!AL34</f>
        <v>37171586.869122349</v>
      </c>
      <c r="L8" s="12">
        <f>FS_Quarterly!AP34</f>
        <v>31723112.138258696</v>
      </c>
      <c r="M8" s="12">
        <f>FS_Quarterly!AT34</f>
        <v>25974538.934988759</v>
      </c>
      <c r="N8" s="12">
        <f>FS_Quarterly!AX34</f>
        <v>19942277.273896683</v>
      </c>
      <c r="O8" s="12">
        <f>FS_Quarterly!BB34</f>
        <v>13612327.308715269</v>
      </c>
      <c r="P8" s="12">
        <f>FS_Quarterly!BF34</f>
        <v>6969998.3096038047</v>
      </c>
      <c r="Q8" s="12">
        <f>FS_Quarterly!BJ34</f>
        <v>0</v>
      </c>
      <c r="R8" s="12">
        <f>FS_Quarterly!BN34</f>
        <v>0</v>
      </c>
      <c r="S8" s="12">
        <f>FS_Quarterly!BR34</f>
        <v>0</v>
      </c>
      <c r="T8" s="12">
        <f>FS_Quarterly!BV34</f>
        <v>0</v>
      </c>
      <c r="U8" s="12">
        <f>FS_Quarterly!BZ34</f>
        <v>0</v>
      </c>
      <c r="V8" s="12">
        <f>FS_Quarterly!CD34</f>
        <v>0</v>
      </c>
    </row>
    <row r="9" spans="1:106" x14ac:dyDescent="0.45">
      <c r="A9" t="s">
        <v>305</v>
      </c>
      <c r="C9" s="12">
        <f>FS_Quarterly!F37</f>
        <v>31490170.433040291</v>
      </c>
      <c r="D9" s="12">
        <f>FS_Quarterly!J37</f>
        <v>30073921.805561345</v>
      </c>
      <c r="E9" s="12">
        <f>FS_Quarterly!N37</f>
        <v>28818058.839767307</v>
      </c>
      <c r="F9" s="12">
        <f>FS_Quarterly!R37</f>
        <v>29731606.827584814</v>
      </c>
      <c r="G9" s="12">
        <f>FS_Quarterly!V37</f>
        <v>28802799.061144702</v>
      </c>
      <c r="H9" s="12">
        <f>FS_Quarterly!Z37</f>
        <v>27923458.978738301</v>
      </c>
      <c r="I9" s="12">
        <f>FS_Quarterly!AD37</f>
        <v>27245311.972590242</v>
      </c>
      <c r="J9" s="12">
        <f>FS_Quarterly!AH37</f>
        <v>26779397.154769778</v>
      </c>
      <c r="K9" s="12">
        <f>FS_Quarterly!AL37</f>
        <v>28537298.41055648</v>
      </c>
      <c r="L9" s="12">
        <f>FS_Quarterly!AP37</f>
        <v>28509123.372417916</v>
      </c>
      <c r="M9" s="12">
        <f>FS_Quarterly!AT37</f>
        <v>28600314.625712939</v>
      </c>
      <c r="N9" s="12">
        <f>FS_Quarterly!AX37</f>
        <v>28973547.758242346</v>
      </c>
      <c r="O9" s="12">
        <f>FS_Quarterly!BB37</f>
        <v>29642741.358659714</v>
      </c>
      <c r="P9" s="12">
        <f>FS_Quarterly!BF37</f>
        <v>32622500.889180206</v>
      </c>
      <c r="Q9" s="12">
        <f>FS_Quarterly!BJ37</f>
        <v>30341956.010712717</v>
      </c>
      <c r="R9" s="12">
        <f>FS_Quarterly!BN37</f>
        <v>24717939.808570173</v>
      </c>
      <c r="S9" s="12">
        <f>FS_Quarterly!BR37</f>
        <v>19093923.606427625</v>
      </c>
      <c r="T9" s="12">
        <f>FS_Quarterly!BV37</f>
        <v>13469907.404285083</v>
      </c>
      <c r="U9" s="12">
        <f>FS_Quarterly!BZ37</f>
        <v>9845891.2021425404</v>
      </c>
      <c r="V9" s="12">
        <f>FS_Quarterly!CD37</f>
        <v>3996875.0000000037</v>
      </c>
    </row>
    <row r="13" spans="1:106" x14ac:dyDescent="0.45">
      <c r="A13" t="s">
        <v>306</v>
      </c>
      <c r="C13" s="36">
        <f>Calc_Capex!C2</f>
        <v>46418</v>
      </c>
      <c r="D13" s="36">
        <f>Calc_Capex!D2</f>
        <v>46446</v>
      </c>
      <c r="E13" s="36">
        <f>Calc_Capex!E2</f>
        <v>46477</v>
      </c>
      <c r="F13" s="36">
        <f>Calc_Capex!F2</f>
        <v>46507</v>
      </c>
      <c r="G13" s="36">
        <f>Calc_Capex!G2</f>
        <v>46538</v>
      </c>
      <c r="H13" s="36">
        <f>Calc_Capex!H2</f>
        <v>46568</v>
      </c>
      <c r="I13" s="36">
        <f>Calc_Capex!I2</f>
        <v>46599</v>
      </c>
      <c r="J13" s="36">
        <f>Calc_Capex!J2</f>
        <v>46630</v>
      </c>
      <c r="K13" s="36">
        <f>Calc_Capex!K2</f>
        <v>46660</v>
      </c>
      <c r="L13" s="36">
        <f>Calc_Capex!L2</f>
        <v>46691</v>
      </c>
      <c r="M13" s="36">
        <f>Calc_Capex!M2</f>
        <v>46721</v>
      </c>
      <c r="N13" s="36">
        <f>Calc_Capex!N2</f>
        <v>46752</v>
      </c>
      <c r="O13" s="36">
        <f>Calc_Capex!O2</f>
        <v>46783</v>
      </c>
      <c r="P13" s="36">
        <f>Calc_Capex!P2</f>
        <v>46812</v>
      </c>
      <c r="Q13" s="36">
        <f>Calc_Capex!Q2</f>
        <v>46843</v>
      </c>
      <c r="R13" s="36">
        <f>Calc_Capex!R2</f>
        <v>46873</v>
      </c>
      <c r="S13" s="36">
        <f>Calc_Capex!S2</f>
        <v>46904</v>
      </c>
      <c r="T13" s="36">
        <f>Calc_Capex!T2</f>
        <v>46934</v>
      </c>
      <c r="U13" s="36">
        <f>Calc_Capex!U2</f>
        <v>46965</v>
      </c>
      <c r="V13" s="36">
        <f>Calc_Capex!V2</f>
        <v>46996</v>
      </c>
      <c r="W13" s="36">
        <f>Calc_Capex!W2</f>
        <v>47026</v>
      </c>
      <c r="X13" s="36">
        <f>Calc_Capex!X2</f>
        <v>47057</v>
      </c>
      <c r="Y13" s="36">
        <f>Calc_Capex!Y2</f>
        <v>47087</v>
      </c>
      <c r="Z13" s="36">
        <f>Calc_Capex!Z2</f>
        <v>47118</v>
      </c>
      <c r="AA13" s="36">
        <f>Calc_CFADS!C2</f>
        <v>47208</v>
      </c>
      <c r="AB13" s="36">
        <f>Calc_CFADS!D2</f>
        <v>47299</v>
      </c>
      <c r="AC13" s="36">
        <f>Calc_CFADS!E2</f>
        <v>47391</v>
      </c>
      <c r="AD13" s="36">
        <f>Calc_CFADS!F2</f>
        <v>47483</v>
      </c>
      <c r="AE13" s="36">
        <f>Calc_CFADS!G2</f>
        <v>47573</v>
      </c>
      <c r="AF13" s="36">
        <f>Calc_CFADS!H2</f>
        <v>47664</v>
      </c>
      <c r="AG13" s="36">
        <f>Calc_CFADS!I2</f>
        <v>47756</v>
      </c>
      <c r="AH13" s="36">
        <f>Calc_CFADS!J2</f>
        <v>47848</v>
      </c>
      <c r="AI13" s="36">
        <f>Calc_CFADS!K2</f>
        <v>47938</v>
      </c>
      <c r="AJ13" s="36">
        <f>Calc_CFADS!L2</f>
        <v>48029</v>
      </c>
      <c r="AK13" s="36">
        <f>Calc_CFADS!M2</f>
        <v>48121</v>
      </c>
      <c r="AL13" s="36">
        <f>Calc_CFADS!N2</f>
        <v>48213</v>
      </c>
      <c r="AM13" s="36">
        <f>Calc_CFADS!O2</f>
        <v>48304</v>
      </c>
      <c r="AN13" s="36">
        <f>Calc_CFADS!P2</f>
        <v>48395</v>
      </c>
      <c r="AO13" s="36">
        <f>Calc_CFADS!Q2</f>
        <v>48487</v>
      </c>
      <c r="AP13" s="36">
        <f>Calc_CFADS!R2</f>
        <v>48579</v>
      </c>
      <c r="AQ13" s="36">
        <f>Calc_CFADS!S2</f>
        <v>48669</v>
      </c>
      <c r="AR13" s="36">
        <f>Calc_CFADS!T2</f>
        <v>48760</v>
      </c>
      <c r="AS13" s="36">
        <f>Calc_CFADS!U2</f>
        <v>48852</v>
      </c>
      <c r="AT13" s="36">
        <f>Calc_CFADS!V2</f>
        <v>48944</v>
      </c>
      <c r="AU13" s="36">
        <f>Calc_CFADS!W2</f>
        <v>49034</v>
      </c>
      <c r="AV13" s="36">
        <f>Calc_CFADS!X2</f>
        <v>49125</v>
      </c>
      <c r="AW13" s="36">
        <f>Calc_CFADS!Y2</f>
        <v>49217</v>
      </c>
      <c r="AX13" s="36">
        <f>Calc_CFADS!Z2</f>
        <v>49309</v>
      </c>
      <c r="AY13" s="36">
        <f>Calc_CFADS!AA2</f>
        <v>49399</v>
      </c>
      <c r="AZ13" s="36">
        <f>Calc_CFADS!AB2</f>
        <v>49490</v>
      </c>
      <c r="BA13" s="36">
        <f>Calc_CFADS!AC2</f>
        <v>49582</v>
      </c>
      <c r="BB13" s="36">
        <f>Calc_CFADS!AD2</f>
        <v>49674</v>
      </c>
      <c r="BC13" s="36">
        <f>Calc_CFADS!AE2</f>
        <v>49765</v>
      </c>
      <c r="BD13" s="36">
        <f>Calc_CFADS!AF2</f>
        <v>49856</v>
      </c>
      <c r="BE13" s="36">
        <f>Calc_CFADS!AG2</f>
        <v>49948</v>
      </c>
      <c r="BF13" s="36">
        <f>Calc_CFADS!AH2</f>
        <v>50040</v>
      </c>
      <c r="BG13" s="36">
        <f>Calc_CFADS!AI2</f>
        <v>50130</v>
      </c>
      <c r="BH13" s="36">
        <f>Calc_CFADS!AJ2</f>
        <v>50221</v>
      </c>
      <c r="BI13" s="36">
        <f>Calc_CFADS!AK2</f>
        <v>50313</v>
      </c>
      <c r="BJ13" s="36">
        <f>Calc_CFADS!AL2</f>
        <v>50405</v>
      </c>
      <c r="BK13" s="36">
        <f>Calc_CFADS!AM2</f>
        <v>50495</v>
      </c>
      <c r="BL13" s="36">
        <f>Calc_CFADS!AN2</f>
        <v>50586</v>
      </c>
      <c r="BM13" s="36">
        <f>Calc_CFADS!AO2</f>
        <v>50678</v>
      </c>
      <c r="BN13" s="36">
        <f>Calc_CFADS!AP2</f>
        <v>50770</v>
      </c>
      <c r="BO13" s="36">
        <f>Calc_CFADS!AQ2</f>
        <v>50860</v>
      </c>
      <c r="BP13" s="36">
        <f>Calc_CFADS!AR2</f>
        <v>50951</v>
      </c>
      <c r="BQ13" s="36">
        <f>Calc_CFADS!AS2</f>
        <v>51043</v>
      </c>
      <c r="BR13" s="36">
        <f>Calc_CFADS!AT2</f>
        <v>51135</v>
      </c>
      <c r="BS13" s="36">
        <f>Calc_CFADS!AU2</f>
        <v>51226</v>
      </c>
      <c r="BT13" s="36">
        <f>Calc_CFADS!AV2</f>
        <v>51317</v>
      </c>
      <c r="BU13" s="36">
        <f>Calc_CFADS!AW2</f>
        <v>51409</v>
      </c>
      <c r="BV13" s="36">
        <f>Calc_CFADS!AX2</f>
        <v>51501</v>
      </c>
      <c r="BW13" s="36">
        <f>Calc_CFADS!AY2</f>
        <v>51591</v>
      </c>
      <c r="BX13" s="36">
        <f>Calc_CFADS!AZ2</f>
        <v>51682</v>
      </c>
      <c r="BY13" s="36">
        <f>Calc_CFADS!BA2</f>
        <v>51774</v>
      </c>
      <c r="BZ13" s="36">
        <f>Calc_CFADS!BB2</f>
        <v>51866</v>
      </c>
      <c r="CA13" s="36">
        <f>Calc_CFADS!BC2</f>
        <v>51956</v>
      </c>
      <c r="CB13" s="36">
        <f>Calc_CFADS!BD2</f>
        <v>52047</v>
      </c>
      <c r="CC13" s="36">
        <f>Calc_CFADS!BE2</f>
        <v>52139</v>
      </c>
      <c r="CD13" s="36">
        <f>Calc_CFADS!BF2</f>
        <v>52231</v>
      </c>
      <c r="CE13" s="36">
        <f>Calc_CFADS!BG2</f>
        <v>52321</v>
      </c>
      <c r="CF13" s="36">
        <f>Calc_CFADS!BH2</f>
        <v>52412</v>
      </c>
      <c r="CG13" s="36">
        <f>Calc_CFADS!BI2</f>
        <v>52504</v>
      </c>
      <c r="CH13" s="36">
        <f>Calc_CFADS!BJ2</f>
        <v>52596</v>
      </c>
      <c r="CI13" s="36">
        <f>Calc_CFADS!BK2</f>
        <v>52687</v>
      </c>
      <c r="CJ13" s="36">
        <f>Calc_CFADS!BL2</f>
        <v>52778</v>
      </c>
      <c r="CK13" s="36">
        <f>Calc_CFADS!BM2</f>
        <v>52870</v>
      </c>
      <c r="CL13" s="36">
        <f>Calc_CFADS!BN2</f>
        <v>52962</v>
      </c>
      <c r="CM13" s="36">
        <f>Calc_CFADS!BO2</f>
        <v>53052</v>
      </c>
      <c r="CN13" s="36">
        <f>Calc_CFADS!BP2</f>
        <v>53143</v>
      </c>
      <c r="CO13" s="36">
        <f>Calc_CFADS!BQ2</f>
        <v>53235</v>
      </c>
      <c r="CP13" s="36">
        <f>Calc_CFADS!BR2</f>
        <v>53327</v>
      </c>
      <c r="CQ13" s="36">
        <f>Calc_CFADS!BS2</f>
        <v>53417</v>
      </c>
      <c r="CR13" s="36">
        <f>Calc_CFADS!BT2</f>
        <v>53508</v>
      </c>
      <c r="CS13" s="36">
        <f>Calc_CFADS!BU2</f>
        <v>53600</v>
      </c>
      <c r="CT13" s="36">
        <f>Calc_CFADS!BV2</f>
        <v>53692</v>
      </c>
      <c r="CU13" s="36">
        <f>Calc_CFADS!BW2</f>
        <v>53782</v>
      </c>
      <c r="CV13" s="36">
        <f>Calc_CFADS!BX2</f>
        <v>53873</v>
      </c>
      <c r="CW13" s="36">
        <f>Calc_CFADS!BY2</f>
        <v>53965</v>
      </c>
      <c r="CX13" s="36">
        <f>Calc_CFADS!BZ2</f>
        <v>54057</v>
      </c>
      <c r="CY13" s="36">
        <f>Calc_CFADS!CA2</f>
        <v>54148</v>
      </c>
      <c r="CZ13" s="36">
        <f>Calc_CFADS!CB2</f>
        <v>54239</v>
      </c>
      <c r="DA13" s="36">
        <f>Calc_CFADS!CC2</f>
        <v>54331</v>
      </c>
      <c r="DB13" s="36">
        <f>Calc_CFADS!CD2</f>
        <v>54423</v>
      </c>
    </row>
    <row r="14" spans="1:106" x14ac:dyDescent="0.45">
      <c r="A14" t="s">
        <v>307</v>
      </c>
      <c r="C14" s="12">
        <f>-Calc_Capex!C6</f>
        <v>-6307818.8334216857</v>
      </c>
      <c r="D14" s="12">
        <f>-Calc_Capex!D6</f>
        <v>-1655674.8082006061</v>
      </c>
      <c r="E14" s="12">
        <f>-Calc_Capex!E6</f>
        <v>-2046169.881065777</v>
      </c>
      <c r="F14" s="12">
        <f>-Calc_Capex!F6</f>
        <v>-2504105.0823601168</v>
      </c>
      <c r="G14" s="12">
        <f>-Calc_Capex!G6</f>
        <v>-3028034.7951282021</v>
      </c>
      <c r="H14" s="12">
        <f>-Calc_Capex!H6</f>
        <v>-3608992.1830382911</v>
      </c>
      <c r="I14" s="12">
        <f>-Calc_Capex!I6</f>
        <v>-4227977.0030390481</v>
      </c>
      <c r="J14" s="12">
        <f>-Calc_Capex!J6</f>
        <v>-4854350.0440156264</v>
      </c>
      <c r="K14" s="12">
        <f>-Calc_Capex!K6</f>
        <v>-5446282.6559935221</v>
      </c>
      <c r="L14" s="12">
        <f>-Calc_Capex!L6</f>
        <v>-5954325.9024618957</v>
      </c>
      <c r="M14" s="12">
        <f>-Calc_Capex!M6</f>
        <v>-6328413.5710410364</v>
      </c>
      <c r="N14" s="12">
        <f>-Calc_Capex!N6</f>
        <v>-6527208.6586273843</v>
      </c>
      <c r="O14" s="12">
        <f>-Calc_Capex!O6</f>
        <v>-6527208.6586273843</v>
      </c>
      <c r="P14" s="12">
        <f>-Calc_Capex!P6</f>
        <v>-6328413.5710410364</v>
      </c>
      <c r="Q14" s="12">
        <f>-Calc_Capex!Q6</f>
        <v>-5954325.9024618957</v>
      </c>
      <c r="R14" s="12">
        <f>-Calc_Capex!R6</f>
        <v>-5446282.6559935221</v>
      </c>
      <c r="S14" s="12">
        <f>-Calc_Capex!S6</f>
        <v>-4854350.044015618</v>
      </c>
      <c r="T14" s="12">
        <f>-Calc_Capex!T6</f>
        <v>-4227977.0030390555</v>
      </c>
      <c r="U14" s="12">
        <f>-Calc_Capex!U6</f>
        <v>-3608992.1830382966</v>
      </c>
      <c r="V14" s="12">
        <f>-Calc_Capex!V6</f>
        <v>-3028034.795128182</v>
      </c>
      <c r="W14" s="12">
        <f>-Calc_Capex!W6</f>
        <v>-2504105.0823601359</v>
      </c>
      <c r="X14" s="12">
        <f>-Calc_Capex!X6</f>
        <v>-2046169.8810657819</v>
      </c>
      <c r="Y14" s="12">
        <f>-Calc_Capex!Y6</f>
        <v>-1655674.8082005982</v>
      </c>
      <c r="Z14" s="12">
        <f>-Calc_Capex!Z6</f>
        <v>-1329111.996635305</v>
      </c>
      <c r="AA14" s="12">
        <f>Calc_CFADS!C17</f>
        <v>2522900.8138990537</v>
      </c>
      <c r="AB14" s="12">
        <f>Calc_CFADS!D17</f>
        <v>2520065.7418635143</v>
      </c>
      <c r="AC14" s="12">
        <f>Calc_CFADS!E17</f>
        <v>2517191.0484023523</v>
      </c>
      <c r="AD14" s="12">
        <f>Calc_CFADS!F17</f>
        <v>2514276.2534867567</v>
      </c>
      <c r="AE14" s="12">
        <f>Calc_CFADS!G17</f>
        <v>2511320.871272184</v>
      </c>
      <c r="AF14" s="12">
        <f>Calc_CFADS!H17</f>
        <v>2508324.4100278961</v>
      </c>
      <c r="AG14" s="12">
        <f>Calc_CFADS!I17</f>
        <v>2505286.3720656484</v>
      </c>
      <c r="AH14" s="12">
        <f>Calc_CFADS!J17</f>
        <v>2502206.253667512</v>
      </c>
      <c r="AI14" s="12">
        <f>Calc_CFADS!K17</f>
        <v>2499083.545012821</v>
      </c>
      <c r="AJ14" s="12">
        <f>Calc_CFADS!L17</f>
        <v>2495917.7301042369</v>
      </c>
      <c r="AK14" s="12">
        <f>Calc_CFADS!M17</f>
        <v>2492708.2866929146</v>
      </c>
      <c r="AL14" s="12">
        <f>Calc_CFADS!N17</f>
        <v>2489454.6862027622</v>
      </c>
      <c r="AM14" s="12">
        <f>Calc_CFADS!O17</f>
        <v>2486156.3936537872</v>
      </c>
      <c r="AN14" s="12">
        <f>Calc_CFADS!P17</f>
        <v>2482812.867584507</v>
      </c>
      <c r="AO14" s="12">
        <f>Calc_CFADS!Q17</f>
        <v>2479423.5599734262</v>
      </c>
      <c r="AP14" s="12">
        <f>Calc_CFADS!R17</f>
        <v>2475987.9161595572</v>
      </c>
      <c r="AQ14" s="12">
        <f>Calc_CFADS!S17</f>
        <v>2472505.3747619814</v>
      </c>
      <c r="AR14" s="12">
        <f>Calc_CFADS!T17</f>
        <v>2468975.3675984354</v>
      </c>
      <c r="AS14" s="12">
        <f>Calc_CFADS!U17</f>
        <v>2465397.3196029076</v>
      </c>
      <c r="AT14" s="12">
        <f>Calc_CFADS!V17</f>
        <v>474270.64874224178</v>
      </c>
      <c r="AU14" s="12">
        <f>Calc_CFADS!W17</f>
        <v>2470558.708239418</v>
      </c>
      <c r="AV14" s="12">
        <f>Calc_CFADS!X17</f>
        <v>2466796.5227122335</v>
      </c>
      <c r="AW14" s="12">
        <f>Calc_CFADS!Y17</f>
        <v>2462983.4834228922</v>
      </c>
      <c r="AX14" s="12">
        <f>Calc_CFADS!Z17</f>
        <v>2459118.9742585071</v>
      </c>
      <c r="AY14" s="12">
        <f>Calc_CFADS!AA17</f>
        <v>2455202.3716417458</v>
      </c>
      <c r="AZ14" s="12">
        <f>Calc_CFADS!AB17</f>
        <v>2451233.0444403966</v>
      </c>
      <c r="BA14" s="12">
        <f>Calc_CFADS!AC17</f>
        <v>2447210.3538758387</v>
      </c>
      <c r="BB14" s="12">
        <f>Calc_CFADS!AD17</f>
        <v>2443133.6534304027</v>
      </c>
      <c r="BC14" s="12">
        <f>Calc_CFADS!AE17</f>
        <v>2439002.2887536087</v>
      </c>
      <c r="BD14" s="12">
        <f>Calc_CFADS!AF17</f>
        <v>2434815.5975672686</v>
      </c>
      <c r="BE14" s="12">
        <f>Calc_CFADS!AG17</f>
        <v>2430572.9095694404</v>
      </c>
      <c r="BF14" s="12">
        <f>Calc_CFADS!AH17</f>
        <v>2426273.5463372157</v>
      </c>
      <c r="BG14" s="12">
        <f>Calc_CFADS!AI17</f>
        <v>2421916.821228331</v>
      </c>
      <c r="BH14" s="12">
        <f>Calc_CFADS!AJ17</f>
        <v>2417502.0392815885</v>
      </c>
      <c r="BI14" s="12">
        <f>Calc_CFADS!AK17</f>
        <v>2413028.4971160684</v>
      </c>
      <c r="BJ14" s="12">
        <f>Calc_CFADS!AL17</f>
        <v>2408495.48282912</v>
      </c>
      <c r="BK14" s="12">
        <f>Calc_CFADS!AM17</f>
        <v>2403902.2758931178</v>
      </c>
      <c r="BL14" s="12">
        <f>Calc_CFADS!AN17</f>
        <v>2399248.1470509684</v>
      </c>
      <c r="BM14" s="12">
        <f>Calc_CFADS!AO17</f>
        <v>2394532.3582103462</v>
      </c>
      <c r="BN14" s="12">
        <f>Calc_CFADS!AP17</f>
        <v>402254.16233665543</v>
      </c>
      <c r="BO14" s="12">
        <f>Calc_CFADS!AQ17</f>
        <v>2397025.183152379</v>
      </c>
      <c r="BP14" s="12">
        <f>Calc_CFADS!AR17</f>
        <v>2391732.8528741398</v>
      </c>
      <c r="BQ14" s="12">
        <f>Calc_CFADS!AS17</f>
        <v>2386376.4039790677</v>
      </c>
      <c r="BR14" s="12">
        <f>Calc_CFADS!AT17</f>
        <v>2380955.0596454595</v>
      </c>
      <c r="BS14" s="12">
        <f>Calc_CFADS!AU17</f>
        <v>2375468.0336401169</v>
      </c>
      <c r="BT14" s="12">
        <f>Calc_CFADS!AV17</f>
        <v>2369914.530204325</v>
      </c>
      <c r="BU14" s="12">
        <f>Calc_CFADS!AW17</f>
        <v>2364293.7439384456</v>
      </c>
      <c r="BV14" s="12">
        <f>Calc_CFADS!AX17</f>
        <v>2358604.8596851146</v>
      </c>
      <c r="BW14" s="12">
        <f>Calc_CFADS!AY17</f>
        <v>2352847.0524110217</v>
      </c>
      <c r="BX14" s="12">
        <f>Calc_CFADS!AZ17</f>
        <v>2347019.4870872619</v>
      </c>
      <c r="BY14" s="12">
        <f>Calc_CFADS!BA17</f>
        <v>2341121.3185682334</v>
      </c>
      <c r="BZ14" s="12">
        <f>Calc_CFADS!BB17</f>
        <v>2335151.691469071</v>
      </c>
      <c r="CA14" s="12">
        <f>Calc_CFADS!BC17</f>
        <v>2329109.7400415912</v>
      </c>
      <c r="CB14" s="12">
        <f>Calc_CFADS!BD17</f>
        <v>2322994.5880487403</v>
      </c>
      <c r="CC14" s="12">
        <f>Calc_CFADS!BE17</f>
        <v>2316805.3486375147</v>
      </c>
      <c r="CD14" s="12">
        <f>Calc_CFADS!BF17</f>
        <v>2310541.1242103451</v>
      </c>
      <c r="CE14" s="12">
        <f>Calc_CFADS!BG17</f>
        <v>2304201.0062949234</v>
      </c>
      <c r="CF14" s="12">
        <f>Calc_CFADS!BH17</f>
        <v>2297784.0754124494</v>
      </c>
      <c r="CG14" s="12">
        <f>Calc_CFADS!BI17</f>
        <v>2291289.4009442837</v>
      </c>
      <c r="CH14" s="12">
        <f>Calc_CFADS!BJ17</f>
        <v>284716.04099698458</v>
      </c>
      <c r="CI14" s="12">
        <f>Calc_CFADS!BK17</f>
        <v>2278063.512633909</v>
      </c>
      <c r="CJ14" s="12">
        <f>Calc_CFADS!BL17</f>
        <v>2278063.512633909</v>
      </c>
      <c r="CK14" s="12">
        <f>Calc_CFADS!BM17</f>
        <v>2278063.512633909</v>
      </c>
      <c r="CL14" s="12">
        <f>Calc_CFADS!BN17</f>
        <v>2278063.512633909</v>
      </c>
      <c r="CM14" s="12">
        <f>Calc_CFADS!BO17</f>
        <v>2278063.512633909</v>
      </c>
      <c r="CN14" s="12">
        <f>Calc_CFADS!BP17</f>
        <v>2278063.512633909</v>
      </c>
      <c r="CO14" s="12">
        <f>Calc_CFADS!BQ17</f>
        <v>2278063.512633909</v>
      </c>
      <c r="CP14" s="12">
        <f>Calc_CFADS!BR17</f>
        <v>2278063.512633909</v>
      </c>
      <c r="CQ14" s="12">
        <f>Calc_CFADS!BS17</f>
        <v>2278063.512633909</v>
      </c>
      <c r="CR14" s="12">
        <f>Calc_CFADS!BT17</f>
        <v>2278063.512633909</v>
      </c>
      <c r="CS14" s="12">
        <f>Calc_CFADS!BU17</f>
        <v>2278063.512633909</v>
      </c>
      <c r="CT14" s="12">
        <f>Calc_CFADS!BV17</f>
        <v>2278063.512633909</v>
      </c>
      <c r="CU14" s="12">
        <f>Calc_CFADS!BW17</f>
        <v>2278063.512633909</v>
      </c>
      <c r="CV14" s="12">
        <f>Calc_CFADS!BX17</f>
        <v>2278063.512633909</v>
      </c>
      <c r="CW14" s="12">
        <f>Calc_CFADS!BY17</f>
        <v>2278063.512633909</v>
      </c>
      <c r="CX14" s="12">
        <f>Calc_CFADS!BZ17</f>
        <v>2278063.512633909</v>
      </c>
      <c r="CY14" s="12">
        <f>Calc_CFADS!CA17</f>
        <v>2278063.512633909</v>
      </c>
      <c r="CZ14" s="12">
        <f>Calc_CFADS!CB17</f>
        <v>2278063.512633909</v>
      </c>
      <c r="DA14" s="12">
        <f>Calc_CFADS!CC17</f>
        <v>2278063.512633909</v>
      </c>
      <c r="DB14" s="12">
        <f>Calc_CFADS!CD17</f>
        <v>278063.51263390901</v>
      </c>
    </row>
    <row r="15" spans="1:106" x14ac:dyDescent="0.45">
      <c r="A15" t="s">
        <v>308</v>
      </c>
      <c r="C15" s="12">
        <f>-Calc_Capex!C11</f>
        <v>-1742822.9848693134</v>
      </c>
      <c r="D15" s="12">
        <f>-Calc_Capex!D11</f>
        <v>-463762.21113942657</v>
      </c>
      <c r="E15" s="12">
        <f>-Calc_Capex!E11</f>
        <v>-573332.43970218278</v>
      </c>
      <c r="F15" s="12">
        <f>-Calc_Capex!F11</f>
        <v>-701932.56549113244</v>
      </c>
      <c r="G15" s="12">
        <f>-Calc_Capex!G11</f>
        <v>-849232.03090734826</v>
      </c>
      <c r="H15" s="12">
        <f>-Calc_Capex!H11</f>
        <v>-1012821.0019300524</v>
      </c>
      <c r="I15" s="12">
        <f>-Calc_Capex!I11</f>
        <v>-1187508.7377429204</v>
      </c>
      <c r="J15" s="12">
        <f>-Calc_Capex!J11</f>
        <v>-1364869.9183269823</v>
      </c>
      <c r="K15" s="12">
        <f>-Calc_Capex!K11</f>
        <v>-1533357.143034921</v>
      </c>
      <c r="L15" s="12">
        <f>-Calc_Capex!L11</f>
        <v>-1679275.7745811185</v>
      </c>
      <c r="M15" s="12">
        <f>-Calc_Capex!M11</f>
        <v>-1788711.0706926798</v>
      </c>
      <c r="N15" s="12">
        <f>-Calc_Capex!N11</f>
        <v>-1850109.7809619736</v>
      </c>
      <c r="O15" s="12">
        <f>-Calc_Capex!O11</f>
        <v>-1856804.4433266474</v>
      </c>
      <c r="P15" s="12">
        <f>-Calc_Capex!P11</f>
        <v>-1808597.1100030225</v>
      </c>
      <c r="Q15" s="12">
        <f>-Calc_Capex!Q11</f>
        <v>-1711782.7575638145</v>
      </c>
      <c r="R15" s="12">
        <f>-Calc_Capex!R11</f>
        <v>-1577606.7351234099</v>
      </c>
      <c r="S15" s="12">
        <f>-Calc_Capex!S11</f>
        <v>-1419766.9259977713</v>
      </c>
      <c r="T15" s="12">
        <f>-Calc_Capex!T11</f>
        <v>-1251840.2289454415</v>
      </c>
      <c r="U15" s="12">
        <f>-Calc_Capex!U11</f>
        <v>-1085347.2189088967</v>
      </c>
      <c r="V15" s="12">
        <f>-Calc_Capex!V11</f>
        <v>-928758.56485574879</v>
      </c>
      <c r="W15" s="12">
        <f>-Calc_Capex!W11</f>
        <v>-787359.79065856128</v>
      </c>
      <c r="X15" s="12">
        <f>-Calc_Capex!X11</f>
        <v>-663683.35921371472</v>
      </c>
      <c r="Y15" s="12">
        <f>-Calc_Capex!Y11</f>
        <v>-558192.81689753919</v>
      </c>
      <c r="Z15" s="12">
        <f>-Calc_Capex!Z11</f>
        <v>-469984.76127103111</v>
      </c>
      <c r="AA15" s="12">
        <f>Calc_CFADS!C16</f>
        <v>-3647412.7277662698</v>
      </c>
      <c r="AB15" s="12">
        <f>Calc_CFADS!D16</f>
        <v>542737.85456600972</v>
      </c>
      <c r="AC15" s="12">
        <f>Calc_CFADS!E16</f>
        <v>542136.5320391336</v>
      </c>
      <c r="AD15" s="12">
        <f>Calc_CFADS!F16</f>
        <v>541526.7073114519</v>
      </c>
      <c r="AE15" s="12">
        <f>Calc_CFADS!G16</f>
        <v>540908.27737553138</v>
      </c>
      <c r="AF15" s="12">
        <f>Calc_CFADS!H16</f>
        <v>540281.137975964</v>
      </c>
      <c r="AG15" s="12">
        <f>Calc_CFADS!I16</f>
        <v>539645.18359424779</v>
      </c>
      <c r="AH15" s="12">
        <f>Calc_CFADS!J16</f>
        <v>539000.30743348366</v>
      </c>
      <c r="AI15" s="12">
        <f>Calc_CFADS!K16</f>
        <v>538346.40140288696</v>
      </c>
      <c r="AJ15" s="12">
        <f>Calc_CFADS!L16</f>
        <v>537683.35610211222</v>
      </c>
      <c r="AK15" s="12">
        <f>Calc_CFADS!M16</f>
        <v>537011.0608053857</v>
      </c>
      <c r="AL15" s="12">
        <f>Calc_CFADS!N16</f>
        <v>536329.40344544919</v>
      </c>
      <c r="AM15" s="12">
        <f>Calc_CFADS!O16</f>
        <v>535638.27059730561</v>
      </c>
      <c r="AN15" s="12">
        <f>Calc_CFADS!P16</f>
        <v>534937.54746177047</v>
      </c>
      <c r="AO15" s="12">
        <f>Calc_CFADS!Q16</f>
        <v>534227.11784882564</v>
      </c>
      <c r="AP15" s="12">
        <f>Calc_CFADS!R16</f>
        <v>-1466493.1358392395</v>
      </c>
      <c r="AQ15" s="12">
        <f>Calc_CFADS!S16</f>
        <v>532776.66737512965</v>
      </c>
      <c r="AR15" s="12">
        <f>Calc_CFADS!T16</f>
        <v>522421.02241209522</v>
      </c>
      <c r="AS15" s="12">
        <f>Calc_CFADS!U16</f>
        <v>521698.31326489407</v>
      </c>
      <c r="AT15" s="12">
        <f>Calc_CFADS!V16</f>
        <v>533465.63127129292</v>
      </c>
      <c r="AU15" s="12">
        <f>Calc_CFADS!W16</f>
        <v>532686.79791411664</v>
      </c>
      <c r="AV15" s="12">
        <f>Calc_CFADS!X16</f>
        <v>531897.31174415117</v>
      </c>
      <c r="AW15" s="12">
        <f>Calc_CFADS!Y16</f>
        <v>531097.0436984722</v>
      </c>
      <c r="AX15" s="12">
        <f>Calc_CFADS!Z16</f>
        <v>530285.86315051001</v>
      </c>
      <c r="AY15" s="12">
        <f>Calc_CFADS!AA16</f>
        <v>529463.63789110025</v>
      </c>
      <c r="AZ15" s="12">
        <f>Calc_CFADS!AB16</f>
        <v>528630.23410931765</v>
      </c>
      <c r="BA15" s="12">
        <f>Calc_CFADS!AC16</f>
        <v>527785.51637306297</v>
      </c>
      <c r="BB15" s="12">
        <f>Calc_CFADS!AD16</f>
        <v>526929.34760942659</v>
      </c>
      <c r="BC15" s="12">
        <f>Calc_CFADS!AE16</f>
        <v>526061.58908480895</v>
      </c>
      <c r="BD15" s="12">
        <f>Calc_CFADS!AF16</f>
        <v>525182.10038479464</v>
      </c>
      <c r="BE15" s="12">
        <f>Calc_CFADS!AG16</f>
        <v>524290.73939380166</v>
      </c>
      <c r="BF15" s="12">
        <f>Calc_CFADS!AH16</f>
        <v>523387.36227445537</v>
      </c>
      <c r="BG15" s="12">
        <f>Calc_CFADS!AI16</f>
        <v>522471.8234467397</v>
      </c>
      <c r="BH15" s="12">
        <f>Calc_CFADS!AJ16</f>
        <v>521543.97556688078</v>
      </c>
      <c r="BI15" s="12">
        <f>Calc_CFADS!AK16</f>
        <v>520603.66950597754</v>
      </c>
      <c r="BJ15" s="12">
        <f>Calc_CFADS!AL16</f>
        <v>-1480349.2456716248</v>
      </c>
      <c r="BK15" s="12">
        <f>Calc_CFADS!AM16</f>
        <v>518685.07726977509</v>
      </c>
      <c r="BL15" s="12">
        <f>Calc_CFADS!AN16</f>
        <v>508091.09909969475</v>
      </c>
      <c r="BM15" s="12">
        <f>Calc_CFADS!AO16</f>
        <v>507397.60193928541</v>
      </c>
      <c r="BN15" s="12">
        <f>Calc_CFADS!AP16</f>
        <v>519190.429356548</v>
      </c>
      <c r="BO15" s="12">
        <f>Calc_CFADS!AQ16</f>
        <v>518081.79547617328</v>
      </c>
      <c r="BP15" s="12">
        <f>Calc_CFADS!AR16</f>
        <v>516959.73006993998</v>
      </c>
      <c r="BQ15" s="12">
        <f>Calc_CFADS!AS16</f>
        <v>515824.07040974731</v>
      </c>
      <c r="BR15" s="12">
        <f>Calc_CFADS!AT16</f>
        <v>514674.65179597889</v>
      </c>
      <c r="BS15" s="12">
        <f>Calc_CFADS!AU16</f>
        <v>513511.30753362062</v>
      </c>
      <c r="BT15" s="12">
        <f>Calc_CFADS!AV16</f>
        <v>512333.86890808283</v>
      </c>
      <c r="BU15" s="12">
        <f>Calc_CFADS!AW16</f>
        <v>511142.16516073653</v>
      </c>
      <c r="BV15" s="12">
        <f>Calc_CFADS!AX16</f>
        <v>509936.02346414421</v>
      </c>
      <c r="BW15" s="12">
        <f>Calc_CFADS!AY16</f>
        <v>508715.26889699628</v>
      </c>
      <c r="BX15" s="12">
        <f>Calc_CFADS!AZ16</f>
        <v>507479.72441874561</v>
      </c>
      <c r="BY15" s="12">
        <f>Calc_CFADS!BA16</f>
        <v>506229.21084393235</v>
      </c>
      <c r="BZ15" s="12">
        <f>Calc_CFADS!BB16</f>
        <v>504963.54681619443</v>
      </c>
      <c r="CA15" s="12">
        <f>Calc_CFADS!BC16</f>
        <v>503682.54878196423</v>
      </c>
      <c r="CB15" s="12">
        <f>Calc_CFADS!BD16</f>
        <v>502386.03096385952</v>
      </c>
      <c r="CC15" s="12">
        <f>Calc_CFADS!BE16</f>
        <v>501073.80533372751</v>
      </c>
      <c r="CD15" s="12">
        <f>Calc_CFADS!BF16</f>
        <v>-1500254.3184146159</v>
      </c>
      <c r="CE15" s="12">
        <f>Calc_CFADS!BG16</f>
        <v>498401.46710701287</v>
      </c>
      <c r="CF15" s="12">
        <f>Calc_CFADS!BH16</f>
        <v>497166.39847328281</v>
      </c>
      <c r="CG15" s="12">
        <f>Calc_CFADS!BI16</f>
        <v>2291289.4009442842</v>
      </c>
      <c r="CH15" s="12">
        <f>Calc_CFADS!BJ16</f>
        <v>2284716.0409969846</v>
      </c>
      <c r="CI15" s="12">
        <f>Calc_CFADS!BK16</f>
        <v>2278063.512633909</v>
      </c>
      <c r="CJ15" s="12">
        <f>Calc_CFADS!BL16</f>
        <v>2278063.512633909</v>
      </c>
      <c r="CK15" s="12">
        <f>Calc_CFADS!BM16</f>
        <v>2278063.512633909</v>
      </c>
      <c r="CL15" s="12">
        <f>Calc_CFADS!BN16</f>
        <v>2278063.512633909</v>
      </c>
      <c r="CM15" s="12">
        <f>Calc_CFADS!BO16</f>
        <v>2278063.512633909</v>
      </c>
      <c r="CN15" s="12">
        <f>Calc_CFADS!BP16</f>
        <v>2278063.512633909</v>
      </c>
      <c r="CO15" s="12">
        <f>Calc_CFADS!BQ16</f>
        <v>2278063.512633909</v>
      </c>
      <c r="CP15" s="12">
        <f>Calc_CFADS!BR16</f>
        <v>2278063.512633909</v>
      </c>
      <c r="CQ15" s="12">
        <f>Calc_CFADS!BS16</f>
        <v>2278063.512633909</v>
      </c>
      <c r="CR15" s="12">
        <f>Calc_CFADS!BT16</f>
        <v>2278063.512633909</v>
      </c>
      <c r="CS15" s="12">
        <f>Calc_CFADS!BU16</f>
        <v>2278063.512633909</v>
      </c>
      <c r="CT15" s="12">
        <f>Calc_CFADS!BV16</f>
        <v>2278063.512633909</v>
      </c>
      <c r="CU15" s="12">
        <f>Calc_CFADS!BW16</f>
        <v>2278063.512633909</v>
      </c>
      <c r="CV15" s="12">
        <f>Calc_CFADS!BX16</f>
        <v>2278063.512633909</v>
      </c>
      <c r="CW15" s="12">
        <f>Calc_CFADS!BY16</f>
        <v>2278063.512633909</v>
      </c>
      <c r="CX15" s="12">
        <f>Calc_CFADS!BZ16</f>
        <v>278063.51263390901</v>
      </c>
      <c r="CY15" s="12">
        <f>Calc_CFADS!CA16</f>
        <v>2334313.512633909</v>
      </c>
      <c r="CZ15" s="12">
        <f>Calc_CFADS!CB16</f>
        <v>2334313.512633909</v>
      </c>
      <c r="DA15" s="12">
        <f>Calc_CFADS!CC16</f>
        <v>2334313.512633909</v>
      </c>
      <c r="DB15" s="12">
        <f>Calc_CFADS!CD16</f>
        <v>2334313.5126339085</v>
      </c>
    </row>
    <row r="18" spans="1:4" x14ac:dyDescent="0.45">
      <c r="A18" t="s">
        <v>309</v>
      </c>
    </row>
    <row r="19" spans="1:4" x14ac:dyDescent="0.45">
      <c r="A19" s="35">
        <f>XIRR(C14:DB14,C13:DB13)</f>
        <v>6.3392743468284607E-2</v>
      </c>
    </row>
    <row r="20" spans="1:4" x14ac:dyDescent="0.45">
      <c r="A20" t="s">
        <v>310</v>
      </c>
    </row>
    <row r="21" spans="1:4" x14ac:dyDescent="0.45">
      <c r="A21" s="35">
        <f>XIRR(C15:DB15,C13:DB13)</f>
        <v>5.9446510672569272E-2</v>
      </c>
    </row>
    <row r="24" spans="1:4" x14ac:dyDescent="0.45">
      <c r="A24" s="3" t="s">
        <v>311</v>
      </c>
    </row>
    <row r="25" spans="1:4" x14ac:dyDescent="0.45">
      <c r="A25" t="s">
        <v>312</v>
      </c>
      <c r="C25" t="s">
        <v>313</v>
      </c>
      <c r="D25" t="s">
        <v>314</v>
      </c>
    </row>
    <row r="26" spans="1:4" x14ac:dyDescent="0.45">
      <c r="A26" t="s">
        <v>315</v>
      </c>
      <c r="C26" s="12">
        <f>SUM(Calc_Capex!C6:N6)</f>
        <v>52489353.418393187</v>
      </c>
      <c r="D26" s="12">
        <f>SUM(Calc_Capex!O6:Z6)</f>
        <v>47510646.581606798</v>
      </c>
    </row>
    <row r="27" spans="1:4" x14ac:dyDescent="0.45">
      <c r="A27" t="s">
        <v>316</v>
      </c>
      <c r="C27" s="12">
        <f>SUM(Calc_Financing_Cons!C18:N18)</f>
        <v>887292.14468886238</v>
      </c>
      <c r="D27" s="12">
        <f>SUM(Calc_Financing_Cons!O18:Z18)</f>
        <v>3593031.8981620306</v>
      </c>
    </row>
    <row r="28" spans="1:4" x14ac:dyDescent="0.45">
      <c r="A28" t="s">
        <v>317</v>
      </c>
      <c r="C28" s="12">
        <f>SUM(Calc_Financing_Cons!C21:N21)</f>
        <v>38628909.903702006</v>
      </c>
      <c r="D28" s="12">
        <f>SUM(Calc_Financing_Cons!O21:Z21)</f>
        <v>36983953.767003246</v>
      </c>
    </row>
    <row r="29" spans="1:4" x14ac:dyDescent="0.45">
      <c r="A29" t="s">
        <v>318</v>
      </c>
      <c r="C29" s="12">
        <f>SUM(Calc_Financing_Cons!C22:N22)</f>
        <v>14747735.659380054</v>
      </c>
      <c r="D29" s="12">
        <f>SUM(Calc_Financing_Cons!O22:Z22)</f>
        <v>14119724.712765601</v>
      </c>
    </row>
    <row r="30" spans="1:4" x14ac:dyDescent="0.45">
      <c r="A30" t="s">
        <v>319</v>
      </c>
      <c r="C30" s="12">
        <f>Calc_Capex!N17</f>
        <v>53376645.563082047</v>
      </c>
      <c r="D30" s="12">
        <f>Calc_Capex!Z17</f>
        <v>104480324.0428509</v>
      </c>
    </row>
    <row r="31" spans="1:4" x14ac:dyDescent="0.45">
      <c r="A31" t="s">
        <v>320</v>
      </c>
      <c r="C31" s="12">
        <f>Calc_Financing_Cons!N25</f>
        <v>38628909.903702006</v>
      </c>
      <c r="D31" s="12">
        <f>Calc_Financing_Cons!Z25</f>
        <v>75612863.670705259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1:E36"/>
  <sheetViews>
    <sheetView topLeftCell="A11" workbookViewId="0">
      <selection activeCell="D33" sqref="D33"/>
    </sheetView>
  </sheetViews>
  <sheetFormatPr defaultRowHeight="14.25" x14ac:dyDescent="0.45"/>
  <cols>
    <col min="2" max="2" width="50" customWidth="1"/>
    <col min="3" max="3" width="26" customWidth="1"/>
  </cols>
  <sheetData>
    <row r="1" spans="1:5" ht="15.75" x14ac:dyDescent="0.5">
      <c r="A1" s="10" t="s">
        <v>321</v>
      </c>
    </row>
    <row r="3" spans="1:5" ht="18" x14ac:dyDescent="0.55000000000000004">
      <c r="A3" s="3" t="s">
        <v>322</v>
      </c>
      <c r="B3" s="37" t="str">
        <f>IF(COUNTIF(E6:E36,"FAIL")=0,"MODEL OK","ERRORS FOUND")</f>
        <v>MODEL OK</v>
      </c>
    </row>
    <row r="5" spans="1:5" x14ac:dyDescent="0.45">
      <c r="A5" s="3" t="s">
        <v>323</v>
      </c>
      <c r="B5" s="3" t="s">
        <v>324</v>
      </c>
      <c r="C5" s="3" t="s">
        <v>325</v>
      </c>
      <c r="D5" s="3" t="s">
        <v>326</v>
      </c>
      <c r="E5" s="3" t="s">
        <v>327</v>
      </c>
    </row>
    <row r="6" spans="1:5" x14ac:dyDescent="0.45">
      <c r="A6" t="s">
        <v>328</v>
      </c>
      <c r="B6" t="s">
        <v>329</v>
      </c>
      <c r="C6" t="s">
        <v>330</v>
      </c>
      <c r="D6" s="26">
        <f>Cover!D50</f>
        <v>1</v>
      </c>
      <c r="E6" s="26" t="str">
        <f t="shared" ref="E6:E21" si="0">IF(D6=1,"OK","FAIL")</f>
        <v>OK</v>
      </c>
    </row>
    <row r="7" spans="1:5" x14ac:dyDescent="0.45">
      <c r="A7" t="s">
        <v>331</v>
      </c>
      <c r="B7" t="s">
        <v>332</v>
      </c>
      <c r="C7" t="s">
        <v>333</v>
      </c>
      <c r="D7" s="26">
        <f>Calc_Capex!Z21</f>
        <v>1</v>
      </c>
      <c r="E7" s="26" t="str">
        <f t="shared" si="0"/>
        <v>OK</v>
      </c>
    </row>
    <row r="8" spans="1:5" x14ac:dyDescent="0.45">
      <c r="A8" t="s">
        <v>331</v>
      </c>
      <c r="B8" t="s">
        <v>334</v>
      </c>
      <c r="C8" t="s">
        <v>335</v>
      </c>
      <c r="D8" s="26">
        <f>Calc_Capex!Z22</f>
        <v>1</v>
      </c>
      <c r="E8" s="26" t="str">
        <f t="shared" si="0"/>
        <v>OK</v>
      </c>
    </row>
    <row r="9" spans="1:5" x14ac:dyDescent="0.45">
      <c r="A9" t="s">
        <v>336</v>
      </c>
      <c r="B9" t="s">
        <v>337</v>
      </c>
      <c r="C9" t="s">
        <v>338</v>
      </c>
      <c r="D9" s="26">
        <f>Calc_Financing_Cons!Z29</f>
        <v>1</v>
      </c>
      <c r="E9" s="26" t="str">
        <f t="shared" si="0"/>
        <v>OK</v>
      </c>
    </row>
    <row r="10" spans="1:5" x14ac:dyDescent="0.45">
      <c r="A10" t="s">
        <v>336</v>
      </c>
      <c r="B10" t="s">
        <v>339</v>
      </c>
      <c r="C10" t="s">
        <v>340</v>
      </c>
      <c r="D10" s="26">
        <f>Calc_Financing_Cons!Z30</f>
        <v>1</v>
      </c>
      <c r="E10" s="26" t="str">
        <f t="shared" si="0"/>
        <v>OK</v>
      </c>
    </row>
    <row r="11" spans="1:5" x14ac:dyDescent="0.45">
      <c r="A11" t="s">
        <v>336</v>
      </c>
      <c r="B11" t="s">
        <v>341</v>
      </c>
      <c r="C11" t="s">
        <v>342</v>
      </c>
      <c r="D11" s="26">
        <f>Calc_Financing_Cons!Z31</f>
        <v>1</v>
      </c>
      <c r="E11" s="26" t="str">
        <f t="shared" si="0"/>
        <v>OK</v>
      </c>
    </row>
    <row r="12" spans="1:5" x14ac:dyDescent="0.45">
      <c r="A12" t="s">
        <v>336</v>
      </c>
      <c r="B12" t="s">
        <v>343</v>
      </c>
      <c r="C12" t="s">
        <v>344</v>
      </c>
      <c r="D12" s="26">
        <f>Calc_Financing_Cons!Z32</f>
        <v>1</v>
      </c>
      <c r="E12" s="26" t="str">
        <f t="shared" si="0"/>
        <v>OK</v>
      </c>
    </row>
    <row r="13" spans="1:5" x14ac:dyDescent="0.45">
      <c r="A13" t="s">
        <v>336</v>
      </c>
      <c r="B13" t="s">
        <v>345</v>
      </c>
      <c r="C13" t="s">
        <v>346</v>
      </c>
      <c r="D13" s="26">
        <f>Calc_Financing_Cons!Z33</f>
        <v>1</v>
      </c>
      <c r="E13" s="26" t="str">
        <f t="shared" si="0"/>
        <v>OK</v>
      </c>
    </row>
    <row r="14" spans="1:5" x14ac:dyDescent="0.45">
      <c r="A14" t="s">
        <v>347</v>
      </c>
      <c r="B14" t="s">
        <v>348</v>
      </c>
      <c r="C14" t="s">
        <v>349</v>
      </c>
      <c r="D14" s="26">
        <f>Assumptions_Constant!B24</f>
        <v>1</v>
      </c>
      <c r="E14" s="26" t="str">
        <f t="shared" si="0"/>
        <v>OK</v>
      </c>
    </row>
    <row r="15" spans="1:5" x14ac:dyDescent="0.45">
      <c r="A15" t="s">
        <v>347</v>
      </c>
      <c r="B15" t="s">
        <v>350</v>
      </c>
      <c r="C15" t="s">
        <v>351</v>
      </c>
      <c r="D15" s="26">
        <f>Assumptions_Constant!B25</f>
        <v>1</v>
      </c>
      <c r="E15" s="26" t="str">
        <f t="shared" si="0"/>
        <v>OK</v>
      </c>
    </row>
    <row r="16" spans="1:5" x14ac:dyDescent="0.45">
      <c r="A16" t="s">
        <v>352</v>
      </c>
      <c r="B16" t="s">
        <v>353</v>
      </c>
      <c r="C16" t="s">
        <v>354</v>
      </c>
      <c r="D16" s="26">
        <f>Assumptions_Periodic_Capex!B34</f>
        <v>1</v>
      </c>
      <c r="E16" s="26" t="str">
        <f t="shared" si="0"/>
        <v>OK</v>
      </c>
    </row>
    <row r="17" spans="1:5" x14ac:dyDescent="0.45">
      <c r="A17" t="s">
        <v>352</v>
      </c>
      <c r="B17" t="s">
        <v>355</v>
      </c>
      <c r="C17" t="s">
        <v>356</v>
      </c>
      <c r="D17" s="26">
        <f>Assumptions_Periodic_Capex!B35</f>
        <v>1</v>
      </c>
      <c r="E17" s="26" t="str">
        <f t="shared" si="0"/>
        <v>OK</v>
      </c>
    </row>
    <row r="18" spans="1:5" x14ac:dyDescent="0.45">
      <c r="A18" t="s">
        <v>357</v>
      </c>
      <c r="B18" t="s">
        <v>358</v>
      </c>
      <c r="C18" t="s">
        <v>359</v>
      </c>
      <c r="D18" s="26">
        <f>Assumptions_Periodic_Ops!B62</f>
        <v>1</v>
      </c>
      <c r="E18" s="26" t="str">
        <f t="shared" si="0"/>
        <v>OK</v>
      </c>
    </row>
    <row r="19" spans="1:5" x14ac:dyDescent="0.45">
      <c r="A19" t="s">
        <v>357</v>
      </c>
      <c r="B19" t="s">
        <v>360</v>
      </c>
      <c r="C19" t="s">
        <v>361</v>
      </c>
      <c r="D19" s="26">
        <f>Assumptions_Periodic_Ops!B63</f>
        <v>1</v>
      </c>
      <c r="E19" s="26" t="str">
        <f t="shared" si="0"/>
        <v>OK</v>
      </c>
    </row>
    <row r="20" spans="1:5" x14ac:dyDescent="0.45">
      <c r="A20" t="s">
        <v>357</v>
      </c>
      <c r="B20" t="s">
        <v>362</v>
      </c>
      <c r="C20" t="s">
        <v>363</v>
      </c>
      <c r="D20" s="26">
        <f>Assumptions_Periodic_Ops!B64</f>
        <v>1</v>
      </c>
      <c r="E20" s="26" t="str">
        <f t="shared" si="0"/>
        <v>OK</v>
      </c>
    </row>
    <row r="21" spans="1:5" x14ac:dyDescent="0.45">
      <c r="A21" t="s">
        <v>364</v>
      </c>
      <c r="B21" t="s">
        <v>365</v>
      </c>
      <c r="C21" t="s">
        <v>366</v>
      </c>
      <c r="D21" s="26">
        <f>Calc_Revenue_Opex!F20</f>
        <v>1</v>
      </c>
      <c r="E21" s="26" t="str">
        <f t="shared" si="0"/>
        <v>OK</v>
      </c>
    </row>
    <row r="22" spans="1:5" x14ac:dyDescent="0.45">
      <c r="A22" t="s">
        <v>364</v>
      </c>
      <c r="B22" t="s">
        <v>367</v>
      </c>
      <c r="C22" t="s">
        <v>368</v>
      </c>
      <c r="D22" s="26">
        <f>Calc_Revenue_Opex!CD21</f>
        <v>0</v>
      </c>
      <c r="E22" s="26" t="str">
        <f>IF(D22=0,"OK","REVIEW")</f>
        <v>OK</v>
      </c>
    </row>
    <row r="23" spans="1:5" x14ac:dyDescent="0.45">
      <c r="A23" t="s">
        <v>364</v>
      </c>
      <c r="B23" t="s">
        <v>369</v>
      </c>
      <c r="C23" t="s">
        <v>370</v>
      </c>
      <c r="D23" s="26">
        <f>Calc_Revenue_Opex!CD22</f>
        <v>1</v>
      </c>
      <c r="E23" s="26" t="str">
        <f t="shared" ref="E23:E28" si="1">IF(D23=1,"OK","FAIL")</f>
        <v>OK</v>
      </c>
    </row>
    <row r="24" spans="1:5" x14ac:dyDescent="0.45">
      <c r="A24" t="s">
        <v>371</v>
      </c>
      <c r="B24" t="s">
        <v>372</v>
      </c>
      <c r="C24" t="s">
        <v>373</v>
      </c>
      <c r="D24" s="26">
        <f>Calc_Tax!CD22</f>
        <v>1</v>
      </c>
      <c r="E24" s="26" t="str">
        <f t="shared" si="1"/>
        <v>OK</v>
      </c>
    </row>
    <row r="25" spans="1:5" x14ac:dyDescent="0.45">
      <c r="A25" t="s">
        <v>371</v>
      </c>
      <c r="B25" t="s">
        <v>374</v>
      </c>
      <c r="C25" t="s">
        <v>375</v>
      </c>
      <c r="D25" s="26">
        <f>Calc_Tax!CD23</f>
        <v>1</v>
      </c>
      <c r="E25" s="26" t="str">
        <f t="shared" si="1"/>
        <v>OK</v>
      </c>
    </row>
    <row r="26" spans="1:5" x14ac:dyDescent="0.45">
      <c r="A26" t="s">
        <v>376</v>
      </c>
      <c r="B26" t="s">
        <v>377</v>
      </c>
      <c r="C26" t="s">
        <v>378</v>
      </c>
      <c r="D26" s="26">
        <f>Calc_Financing_Ops!CD37</f>
        <v>1</v>
      </c>
      <c r="E26" s="26" t="str">
        <f t="shared" si="1"/>
        <v>OK</v>
      </c>
    </row>
    <row r="27" spans="1:5" x14ac:dyDescent="0.45">
      <c r="A27" t="s">
        <v>376</v>
      </c>
      <c r="B27" t="s">
        <v>379</v>
      </c>
      <c r="C27" t="s">
        <v>380</v>
      </c>
      <c r="D27" s="26">
        <f>Calc_Financing_Ops!CD38</f>
        <v>1</v>
      </c>
      <c r="E27" s="26" t="str">
        <f t="shared" si="1"/>
        <v>OK</v>
      </c>
    </row>
    <row r="28" spans="1:5" x14ac:dyDescent="0.45">
      <c r="A28" t="s">
        <v>376</v>
      </c>
      <c r="B28" t="s">
        <v>381</v>
      </c>
      <c r="C28" t="s">
        <v>382</v>
      </c>
      <c r="D28" s="26">
        <f>Calc_Financing_Ops!CD39</f>
        <v>1</v>
      </c>
      <c r="E28" s="26" t="str">
        <f t="shared" si="1"/>
        <v>OK</v>
      </c>
    </row>
    <row r="29" spans="1:5" x14ac:dyDescent="0.45">
      <c r="A29" t="s">
        <v>376</v>
      </c>
      <c r="B29" t="s">
        <v>383</v>
      </c>
      <c r="C29" t="s">
        <v>384</v>
      </c>
      <c r="D29" s="26">
        <f>Calc_Financing_Ops!CD40</f>
        <v>0</v>
      </c>
      <c r="E29" s="26" t="str">
        <f>IF(D29=0,"OK","REVIEW")</f>
        <v>OK</v>
      </c>
    </row>
    <row r="30" spans="1:5" x14ac:dyDescent="0.45">
      <c r="A30" t="s">
        <v>376</v>
      </c>
      <c r="B30" t="s">
        <v>385</v>
      </c>
      <c r="C30" t="s">
        <v>386</v>
      </c>
      <c r="D30" s="26">
        <f>Calc_Financing_Ops!CD41</f>
        <v>0</v>
      </c>
      <c r="E30" s="26" t="str">
        <f>IF(D30=0,"OK","REVIEW")</f>
        <v>OK</v>
      </c>
    </row>
    <row r="31" spans="1:5" x14ac:dyDescent="0.45">
      <c r="A31" t="s">
        <v>376</v>
      </c>
      <c r="B31" t="s">
        <v>387</v>
      </c>
      <c r="C31" t="s">
        <v>388</v>
      </c>
      <c r="D31" s="26">
        <f>Calc_Financing_Ops!CD42</f>
        <v>1</v>
      </c>
      <c r="E31" s="26" t="str">
        <f>IF(D31=1,"OK","FAIL")</f>
        <v>OK</v>
      </c>
    </row>
    <row r="32" spans="1:5" x14ac:dyDescent="0.45">
      <c r="A32" t="s">
        <v>376</v>
      </c>
      <c r="B32" t="s">
        <v>389</v>
      </c>
      <c r="C32" t="s">
        <v>390</v>
      </c>
      <c r="D32" s="26">
        <f>Calc_Financing_Ops!CD43</f>
        <v>1</v>
      </c>
      <c r="E32" s="26" t="str">
        <f>IF(D32=1,"OK","FAIL")</f>
        <v>OK</v>
      </c>
    </row>
    <row r="33" spans="1:5" x14ac:dyDescent="0.45">
      <c r="A33" t="s">
        <v>391</v>
      </c>
      <c r="B33" t="s">
        <v>392</v>
      </c>
      <c r="C33" t="s">
        <v>393</v>
      </c>
      <c r="D33" s="26">
        <f>Calc_CFADS!CD21</f>
        <v>4</v>
      </c>
      <c r="E33" s="26" t="str">
        <f>IF(D33=0,"OK","REVIEW")</f>
        <v>REVIEW</v>
      </c>
    </row>
    <row r="34" spans="1:5" x14ac:dyDescent="0.45">
      <c r="A34" t="s">
        <v>391</v>
      </c>
      <c r="B34" t="s">
        <v>394</v>
      </c>
      <c r="C34" t="s">
        <v>395</v>
      </c>
      <c r="D34" s="26">
        <f>Calc_CFADS!CD22</f>
        <v>1</v>
      </c>
      <c r="E34" s="26" t="str">
        <f>IF(D34=1,"OK","FAIL")</f>
        <v>OK</v>
      </c>
    </row>
    <row r="35" spans="1:5" x14ac:dyDescent="0.45">
      <c r="A35" t="s">
        <v>391</v>
      </c>
      <c r="B35" t="s">
        <v>396</v>
      </c>
      <c r="C35" t="s">
        <v>397</v>
      </c>
      <c r="D35" s="26">
        <f>Calc_CFADS!CD23</f>
        <v>1</v>
      </c>
      <c r="E35" s="26" t="str">
        <f>IF(D35=1,"OK","FAIL")</f>
        <v>OK</v>
      </c>
    </row>
    <row r="36" spans="1:5" x14ac:dyDescent="0.45">
      <c r="A36" t="s">
        <v>398</v>
      </c>
      <c r="B36" t="s">
        <v>399</v>
      </c>
      <c r="C36" t="s">
        <v>400</v>
      </c>
      <c r="D36" s="26">
        <f>FS_Quarterly!CD42</f>
        <v>0</v>
      </c>
      <c r="E36" s="26" t="str">
        <f>IF(D36=0,"OK","FAIL")</f>
        <v>OK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53</vt:i4>
      </vt:variant>
    </vt:vector>
  </HeadingPairs>
  <TitlesOfParts>
    <vt:vector size="67" baseType="lpstr">
      <vt:lpstr>Cover</vt:lpstr>
      <vt:lpstr>Assumptions_Model</vt:lpstr>
      <vt:lpstr>Assumptions_Constant</vt:lpstr>
      <vt:lpstr>Assumptions_Periodic_Capex</vt:lpstr>
      <vt:lpstr>Assumptions_Periodic_Ops</vt:lpstr>
      <vt:lpstr>Calc_Capex</vt:lpstr>
      <vt:lpstr>Calc_Financing_Cons</vt:lpstr>
      <vt:lpstr>Calc_Revenue_Opex</vt:lpstr>
      <vt:lpstr>Calc_Tax</vt:lpstr>
      <vt:lpstr>Calc_Financing_Ops</vt:lpstr>
      <vt:lpstr>Calc_CFADS</vt:lpstr>
      <vt:lpstr>FS_Quarterly</vt:lpstr>
      <vt:lpstr>FS_Annual</vt:lpstr>
      <vt:lpstr>Check_Control</vt:lpstr>
      <vt:lpstr>ActiveScenario</vt:lpstr>
      <vt:lpstr>ButtonSpec</vt:lpstr>
      <vt:lpstr>CalculatedIDC</vt:lpstr>
      <vt:lpstr>Capex_CumTotal_Last</vt:lpstr>
      <vt:lpstr>Capex_FundingTiesCheck</vt:lpstr>
      <vt:lpstr>Capex_LastCol</vt:lpstr>
      <vt:lpstr>Capex_TotalMatchesInputCheck</vt:lpstr>
      <vt:lpstr>Capex_TotalProjectCost_Last</vt:lpstr>
      <vt:lpstr>CFADS_LastCol</vt:lpstr>
      <vt:lpstr>CFADS_MRAFundsCapexCheck</vt:lpstr>
      <vt:lpstr>CFADS_MRAWindsDownCheck</vt:lpstr>
      <vt:lpstr>CFADS_NegFCFECount</vt:lpstr>
      <vt:lpstr>CheckControl_MasterFlag</vt:lpstr>
      <vt:lpstr>Const_ActiveResolvesCheck</vt:lpstr>
      <vt:lpstr>Const_AllPopulatedCheck</vt:lpstr>
      <vt:lpstr>Cover_CircTolerance</vt:lpstr>
      <vt:lpstr>Cover_DebtSizingMode</vt:lpstr>
      <vt:lpstr>Cover_DebtSizingTolerance</vt:lpstr>
      <vt:lpstr>Cover_DrawdownMethod</vt:lpstr>
      <vt:lpstr>Cover_DSRAMethod</vt:lpstr>
      <vt:lpstr>Cover_MaxIterations</vt:lpstr>
      <vt:lpstr>DebtSizeConvergenceGap</vt:lpstr>
      <vt:lpstr>FinCons_ClosingBalance_Last</vt:lpstr>
      <vt:lpstr>FinCons_LastCol</vt:lpstr>
      <vt:lpstr>FinOps_LastCol</vt:lpstr>
      <vt:lpstr>FinOps_TenorEndCol</vt:lpstr>
      <vt:lpstr>FSA_EIRR</vt:lpstr>
      <vt:lpstr>FSA_PIRR</vt:lpstr>
      <vt:lpstr>FSQ_BSBalancesFailCount</vt:lpstr>
      <vt:lpstr>FSQ_LastCol</vt:lpstr>
      <vt:lpstr>IDCConvergenceGap</vt:lpstr>
      <vt:lpstr>ImpliedGearing</vt:lpstr>
      <vt:lpstr>LastSolvedStamp</vt:lpstr>
      <vt:lpstr>PerCapex_ActiveSumCheck</vt:lpstr>
      <vt:lpstr>PerCapex_AllSumCheck</vt:lpstr>
      <vt:lpstr>PerOps_EscBaseCheck</vt:lpstr>
      <vt:lpstr>PerOps_MaintNonNegCheck</vt:lpstr>
      <vt:lpstr>PerOps_VolumePositiveCheck</vt:lpstr>
      <vt:lpstr>RevOpex_LastCol</vt:lpstr>
      <vt:lpstr>RevOpex_MaintNonNegCheck</vt:lpstr>
      <vt:lpstr>RevOpex_Year1Check</vt:lpstr>
      <vt:lpstr>SculptedDebtCapacity</vt:lpstr>
      <vt:lpstr>SnapshotLive</vt:lpstr>
      <vt:lpstr>SnapshotMatchFlags</vt:lpstr>
      <vt:lpstr>SnapshotStored</vt:lpstr>
      <vt:lpstr>SolveFreshnessFlag</vt:lpstr>
      <vt:lpstr>SolveStatus</vt:lpstr>
      <vt:lpstr>StagedDebtSize</vt:lpstr>
      <vt:lpstr>StagedIDC</vt:lpstr>
      <vt:lpstr>Tax_AccumDeprCheck</vt:lpstr>
      <vt:lpstr>Tax_AccumMaintDeprCheck</vt:lpstr>
      <vt:lpstr>Tax_LastCol</vt:lpstr>
      <vt:lpstr>TotalCapex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mirza zilan</cp:lastModifiedBy>
  <dcterms:created xsi:type="dcterms:W3CDTF">2026-07-31T10:54:29Z</dcterms:created>
  <dcterms:modified xsi:type="dcterms:W3CDTF">2026-07-31T11:22:23Z</dcterms:modified>
</cp:coreProperties>
</file>