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'FS_Quarterly'!$CD$57</definedName>
    <definedName name="FSQ_BSBalancesFailCount">'FS_Quarterly'!$CD$56</definedName>
    <definedName name="FSQ_DirectTiesIndirectFailCount">'FS_Quarterly'!$CD$58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0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4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37" fillId="0" borderId="0" pivotButton="0" quotePrefix="0" xfId="0"/>
    <xf numFmtId="17" fontId="30" fillId="0" borderId="0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'FS_Annual'!$B$4:$V$4</f>
            </numRef>
          </val>
        </ser>
        <ser>
          <idx val="1"/>
          <order val="1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2"/>
          <order val="2"/>
          <tx>
            <strRef>
              <f>'FS_Annual'!A6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'FS_Annual'!$B$6:$V$6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/>
      <c r="I8" s="67" t="inlineStr"/>
    </row>
    <row r="9">
      <c r="B9" s="55">
        <f>Check_Control!B3</f>
        <v/>
      </c>
      <c r="H9" s="67" t="inlineStr">
        <is>
          <t>SolveConstructionIDC</t>
        </is>
      </c>
      <c r="I9" s="67" t="inlineStr">
        <is>
          <t>[Debug] Solve Construction IDC</t>
        </is>
      </c>
    </row>
    <row r="10">
      <c r="H10" s="67" t="inlineStr">
        <is>
          <t>SolveDebtSculpting</t>
        </is>
      </c>
      <c r="I10" s="67" t="inlineStr">
        <is>
          <t>[Debug] Solve Debt Sculpting</t>
        </is>
      </c>
    </row>
    <row r="11">
      <c r="A11" s="69" t="inlineStr">
        <is>
          <t>Buttons (top-right) are tagged by tier: [Everyday] Solve All / Goal Seek EIRR / Goal Seek PIRR -- gap -- [Batch] Run All 10 Scenarios -- gap -- [Debug] the individual Loop 1/Loop 2 solves, [Recovery] Reset Staged Values.</t>
        </is>
      </c>
      <c r="H11" s="67" t="inlineStr">
        <is>
          <t>ResetAllStagedValues</t>
        </is>
      </c>
      <c r="I11" s="67" t="inlineStr">
        <is>
          <t>[Recovery] Reset Staged Values</t>
        </is>
      </c>
    </row>
    <row r="12">
      <c r="A12" s="70" t="inlineStr">
        <is>
          <t>Live status just above the buttons is a one-glance read of Check_Control + Solve Freshness.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FS_Annual!$A$21</f>
        <v/>
      </c>
    </row>
    <row r="37">
      <c r="A37" t="inlineStr">
        <is>
          <t>Current PIRR (live)</t>
        </is>
      </c>
      <c r="B37" s="59">
        <f>FS_Annual!$A$19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58"/>
  <sheetViews>
    <sheetView workbookViewId="0">
      <pane xSplit="2" ySplit="52" topLeftCell="C5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98" t="inlineStr">
        <is>
          <t>PROFIT &amp; LOSS</t>
        </is>
      </c>
    </row>
    <row r="6">
      <c r="A6" t="inlineStr">
        <is>
          <t>Revenue ($)</t>
        </is>
      </c>
      <c r="C6" s="63">
        <f>Calc_Revenue_Opex!C10</f>
        <v/>
      </c>
      <c r="D6" s="63">
        <f>Calc_Revenue_Opex!D10</f>
        <v/>
      </c>
      <c r="E6" s="63">
        <f>Calc_Revenue_Opex!E10</f>
        <v/>
      </c>
      <c r="F6" s="63">
        <f>Calc_Revenue_Opex!F10</f>
        <v/>
      </c>
      <c r="G6" s="63">
        <f>Calc_Revenue_Opex!G10</f>
        <v/>
      </c>
      <c r="H6" s="63">
        <f>Calc_Revenue_Opex!H10</f>
        <v/>
      </c>
      <c r="I6" s="63">
        <f>Calc_Revenue_Opex!I10</f>
        <v/>
      </c>
      <c r="J6" s="63">
        <f>Calc_Revenue_Opex!J10</f>
        <v/>
      </c>
      <c r="K6" s="63">
        <f>Calc_Revenue_Opex!K10</f>
        <v/>
      </c>
      <c r="L6" s="63">
        <f>Calc_Revenue_Opex!L10</f>
        <v/>
      </c>
      <c r="M6" s="63">
        <f>Calc_Revenue_Opex!M10</f>
        <v/>
      </c>
      <c r="N6" s="63">
        <f>Calc_Revenue_Opex!N10</f>
        <v/>
      </c>
      <c r="O6" s="63">
        <f>Calc_Revenue_Opex!O10</f>
        <v/>
      </c>
      <c r="P6" s="63">
        <f>Calc_Revenue_Opex!P10</f>
        <v/>
      </c>
      <c r="Q6" s="63">
        <f>Calc_Revenue_Opex!Q10</f>
        <v/>
      </c>
      <c r="R6" s="63">
        <f>Calc_Revenue_Opex!R10</f>
        <v/>
      </c>
      <c r="S6" s="63">
        <f>Calc_Revenue_Opex!S10</f>
        <v/>
      </c>
      <c r="T6" s="63">
        <f>Calc_Revenue_Opex!T10</f>
        <v/>
      </c>
      <c r="U6" s="63">
        <f>Calc_Revenue_Opex!U10</f>
        <v/>
      </c>
      <c r="V6" s="63">
        <f>Calc_Revenue_Opex!V10</f>
        <v/>
      </c>
      <c r="W6" s="63">
        <f>Calc_Revenue_Opex!W10</f>
        <v/>
      </c>
      <c r="X6" s="63">
        <f>Calc_Revenue_Opex!X10</f>
        <v/>
      </c>
      <c r="Y6" s="63">
        <f>Calc_Revenue_Opex!Y10</f>
        <v/>
      </c>
      <c r="Z6" s="63">
        <f>Calc_Revenue_Opex!Z10</f>
        <v/>
      </c>
      <c r="AA6" s="63">
        <f>Calc_Revenue_Opex!AA10</f>
        <v/>
      </c>
      <c r="AB6" s="63">
        <f>Calc_Revenue_Opex!AB10</f>
        <v/>
      </c>
      <c r="AC6" s="63">
        <f>Calc_Revenue_Opex!AC10</f>
        <v/>
      </c>
      <c r="AD6" s="63">
        <f>Calc_Revenue_Opex!AD10</f>
        <v/>
      </c>
      <c r="AE6" s="63">
        <f>Calc_Revenue_Opex!AE10</f>
        <v/>
      </c>
      <c r="AF6" s="63">
        <f>Calc_Revenue_Opex!AF10</f>
        <v/>
      </c>
      <c r="AG6" s="63">
        <f>Calc_Revenue_Opex!AG10</f>
        <v/>
      </c>
      <c r="AH6" s="63">
        <f>Calc_Revenue_Opex!AH10</f>
        <v/>
      </c>
      <c r="AI6" s="63">
        <f>Calc_Revenue_Opex!AI10</f>
        <v/>
      </c>
      <c r="AJ6" s="63">
        <f>Calc_Revenue_Opex!AJ10</f>
        <v/>
      </c>
      <c r="AK6" s="63">
        <f>Calc_Revenue_Opex!AK10</f>
        <v/>
      </c>
      <c r="AL6" s="63">
        <f>Calc_Revenue_Opex!AL10</f>
        <v/>
      </c>
      <c r="AM6" s="63">
        <f>Calc_Revenue_Opex!AM10</f>
        <v/>
      </c>
      <c r="AN6" s="63">
        <f>Calc_Revenue_Opex!AN10</f>
        <v/>
      </c>
      <c r="AO6" s="63">
        <f>Calc_Revenue_Opex!AO10</f>
        <v/>
      </c>
      <c r="AP6" s="63">
        <f>Calc_Revenue_Opex!AP10</f>
        <v/>
      </c>
      <c r="AQ6" s="63">
        <f>Calc_Revenue_Opex!AQ10</f>
        <v/>
      </c>
      <c r="AR6" s="63">
        <f>Calc_Revenue_Opex!AR10</f>
        <v/>
      </c>
      <c r="AS6" s="63">
        <f>Calc_Revenue_Opex!AS10</f>
        <v/>
      </c>
      <c r="AT6" s="63">
        <f>Calc_Revenue_Opex!AT10</f>
        <v/>
      </c>
      <c r="AU6" s="63">
        <f>Calc_Revenue_Opex!AU10</f>
        <v/>
      </c>
      <c r="AV6" s="63">
        <f>Calc_Revenue_Opex!AV10</f>
        <v/>
      </c>
      <c r="AW6" s="63">
        <f>Calc_Revenue_Opex!AW10</f>
        <v/>
      </c>
      <c r="AX6" s="63">
        <f>Calc_Revenue_Opex!AX10</f>
        <v/>
      </c>
      <c r="AY6" s="63">
        <f>Calc_Revenue_Opex!AY10</f>
        <v/>
      </c>
      <c r="AZ6" s="63">
        <f>Calc_Revenue_Opex!AZ10</f>
        <v/>
      </c>
      <c r="BA6" s="63">
        <f>Calc_Revenue_Opex!BA10</f>
        <v/>
      </c>
      <c r="BB6" s="63">
        <f>Calc_Revenue_Opex!BB10</f>
        <v/>
      </c>
      <c r="BC6" s="63">
        <f>Calc_Revenue_Opex!BC10</f>
        <v/>
      </c>
      <c r="BD6" s="63">
        <f>Calc_Revenue_Opex!BD10</f>
        <v/>
      </c>
      <c r="BE6" s="63">
        <f>Calc_Revenue_Opex!BE10</f>
        <v/>
      </c>
      <c r="BF6" s="63">
        <f>Calc_Revenue_Opex!BF10</f>
        <v/>
      </c>
      <c r="BG6" s="63">
        <f>Calc_Revenue_Opex!BG10</f>
        <v/>
      </c>
      <c r="BH6" s="63">
        <f>Calc_Revenue_Opex!BH10</f>
        <v/>
      </c>
      <c r="BI6" s="63">
        <f>Calc_Revenue_Opex!BI10</f>
        <v/>
      </c>
      <c r="BJ6" s="63">
        <f>Calc_Revenue_Opex!BJ10</f>
        <v/>
      </c>
      <c r="BK6" s="63">
        <f>Calc_Revenue_Opex!BK10</f>
        <v/>
      </c>
      <c r="BL6" s="63">
        <f>Calc_Revenue_Opex!BL10</f>
        <v/>
      </c>
      <c r="BM6" s="63">
        <f>Calc_Revenue_Opex!BM10</f>
        <v/>
      </c>
      <c r="BN6" s="63">
        <f>Calc_Revenue_Opex!BN10</f>
        <v/>
      </c>
      <c r="BO6" s="63">
        <f>Calc_Revenue_Opex!BO10</f>
        <v/>
      </c>
      <c r="BP6" s="63">
        <f>Calc_Revenue_Opex!BP10</f>
        <v/>
      </c>
      <c r="BQ6" s="63">
        <f>Calc_Revenue_Opex!BQ10</f>
        <v/>
      </c>
      <c r="BR6" s="63">
        <f>Calc_Revenue_Opex!BR10</f>
        <v/>
      </c>
      <c r="BS6" s="63">
        <f>Calc_Revenue_Opex!BS10</f>
        <v/>
      </c>
      <c r="BT6" s="63">
        <f>Calc_Revenue_Opex!BT10</f>
        <v/>
      </c>
      <c r="BU6" s="63">
        <f>Calc_Revenue_Opex!BU10</f>
        <v/>
      </c>
      <c r="BV6" s="63">
        <f>Calc_Revenue_Opex!BV10</f>
        <v/>
      </c>
      <c r="BW6" s="63">
        <f>Calc_Revenue_Opex!BW10</f>
        <v/>
      </c>
      <c r="BX6" s="63">
        <f>Calc_Revenue_Opex!BX10</f>
        <v/>
      </c>
      <c r="BY6" s="63">
        <f>Calc_Revenue_Opex!BY10</f>
        <v/>
      </c>
      <c r="BZ6" s="63">
        <f>Calc_Revenue_Opex!BZ10</f>
        <v/>
      </c>
      <c r="CA6" s="63">
        <f>Calc_Revenue_Opex!CA10</f>
        <v/>
      </c>
      <c r="CB6" s="63">
        <f>Calc_Revenue_Opex!CB10</f>
        <v/>
      </c>
      <c r="CC6" s="63">
        <f>Calc_Revenue_Opex!CC10</f>
        <v/>
      </c>
      <c r="CD6" s="63">
        <f>Calc_Revenue_Opex!CD10</f>
        <v/>
      </c>
    </row>
    <row r="7">
      <c r="A7" t="inlineStr">
        <is>
          <t>Opex ($)</t>
        </is>
      </c>
      <c r="C7" s="63">
        <f>Calc_Revenue_Opex!C11</f>
        <v/>
      </c>
      <c r="D7" s="63">
        <f>Calc_Revenue_Opex!D11</f>
        <v/>
      </c>
      <c r="E7" s="63">
        <f>Calc_Revenue_Opex!E11</f>
        <v/>
      </c>
      <c r="F7" s="63">
        <f>Calc_Revenue_Opex!F11</f>
        <v/>
      </c>
      <c r="G7" s="63">
        <f>Calc_Revenue_Opex!G11</f>
        <v/>
      </c>
      <c r="H7" s="63">
        <f>Calc_Revenue_Opex!H11</f>
        <v/>
      </c>
      <c r="I7" s="63">
        <f>Calc_Revenue_Opex!I11</f>
        <v/>
      </c>
      <c r="J7" s="63">
        <f>Calc_Revenue_Opex!J11</f>
        <v/>
      </c>
      <c r="K7" s="63">
        <f>Calc_Revenue_Opex!K11</f>
        <v/>
      </c>
      <c r="L7" s="63">
        <f>Calc_Revenue_Opex!L11</f>
        <v/>
      </c>
      <c r="M7" s="63">
        <f>Calc_Revenue_Opex!M11</f>
        <v/>
      </c>
      <c r="N7" s="63">
        <f>Calc_Revenue_Opex!N11</f>
        <v/>
      </c>
      <c r="O7" s="63">
        <f>Calc_Revenue_Opex!O11</f>
        <v/>
      </c>
      <c r="P7" s="63">
        <f>Calc_Revenue_Opex!P11</f>
        <v/>
      </c>
      <c r="Q7" s="63">
        <f>Calc_Revenue_Opex!Q11</f>
        <v/>
      </c>
      <c r="R7" s="63">
        <f>Calc_Revenue_Opex!R11</f>
        <v/>
      </c>
      <c r="S7" s="63">
        <f>Calc_Revenue_Opex!S11</f>
        <v/>
      </c>
      <c r="T7" s="63">
        <f>Calc_Revenue_Opex!T11</f>
        <v/>
      </c>
      <c r="U7" s="63">
        <f>Calc_Revenue_Opex!U11</f>
        <v/>
      </c>
      <c r="V7" s="63">
        <f>Calc_Revenue_Opex!V11</f>
        <v/>
      </c>
      <c r="W7" s="63">
        <f>Calc_Revenue_Opex!W11</f>
        <v/>
      </c>
      <c r="X7" s="63">
        <f>Calc_Revenue_Opex!X11</f>
        <v/>
      </c>
      <c r="Y7" s="63">
        <f>Calc_Revenue_Opex!Y11</f>
        <v/>
      </c>
      <c r="Z7" s="63">
        <f>Calc_Revenue_Opex!Z11</f>
        <v/>
      </c>
      <c r="AA7" s="63">
        <f>Calc_Revenue_Opex!AA11</f>
        <v/>
      </c>
      <c r="AB7" s="63">
        <f>Calc_Revenue_Opex!AB11</f>
        <v/>
      </c>
      <c r="AC7" s="63">
        <f>Calc_Revenue_Opex!AC11</f>
        <v/>
      </c>
      <c r="AD7" s="63">
        <f>Calc_Revenue_Opex!AD11</f>
        <v/>
      </c>
      <c r="AE7" s="63">
        <f>Calc_Revenue_Opex!AE11</f>
        <v/>
      </c>
      <c r="AF7" s="63">
        <f>Calc_Revenue_Opex!AF11</f>
        <v/>
      </c>
      <c r="AG7" s="63">
        <f>Calc_Revenue_Opex!AG11</f>
        <v/>
      </c>
      <c r="AH7" s="63">
        <f>Calc_Revenue_Opex!AH11</f>
        <v/>
      </c>
      <c r="AI7" s="63">
        <f>Calc_Revenue_Opex!AI11</f>
        <v/>
      </c>
      <c r="AJ7" s="63">
        <f>Calc_Revenue_Opex!AJ11</f>
        <v/>
      </c>
      <c r="AK7" s="63">
        <f>Calc_Revenue_Opex!AK11</f>
        <v/>
      </c>
      <c r="AL7" s="63">
        <f>Calc_Revenue_Opex!AL11</f>
        <v/>
      </c>
      <c r="AM7" s="63">
        <f>Calc_Revenue_Opex!AM11</f>
        <v/>
      </c>
      <c r="AN7" s="63">
        <f>Calc_Revenue_Opex!AN11</f>
        <v/>
      </c>
      <c r="AO7" s="63">
        <f>Calc_Revenue_Opex!AO11</f>
        <v/>
      </c>
      <c r="AP7" s="63">
        <f>Calc_Revenue_Opex!AP11</f>
        <v/>
      </c>
      <c r="AQ7" s="63">
        <f>Calc_Revenue_Opex!AQ11</f>
        <v/>
      </c>
      <c r="AR7" s="63">
        <f>Calc_Revenue_Opex!AR11</f>
        <v/>
      </c>
      <c r="AS7" s="63">
        <f>Calc_Revenue_Opex!AS11</f>
        <v/>
      </c>
      <c r="AT7" s="63">
        <f>Calc_Revenue_Opex!AT11</f>
        <v/>
      </c>
      <c r="AU7" s="63">
        <f>Calc_Revenue_Opex!AU11</f>
        <v/>
      </c>
      <c r="AV7" s="63">
        <f>Calc_Revenue_Opex!AV11</f>
        <v/>
      </c>
      <c r="AW7" s="63">
        <f>Calc_Revenue_Opex!AW11</f>
        <v/>
      </c>
      <c r="AX7" s="63">
        <f>Calc_Revenue_Opex!AX11</f>
        <v/>
      </c>
      <c r="AY7" s="63">
        <f>Calc_Revenue_Opex!AY11</f>
        <v/>
      </c>
      <c r="AZ7" s="63">
        <f>Calc_Revenue_Opex!AZ11</f>
        <v/>
      </c>
      <c r="BA7" s="63">
        <f>Calc_Revenue_Opex!BA11</f>
        <v/>
      </c>
      <c r="BB7" s="63">
        <f>Calc_Revenue_Opex!BB11</f>
        <v/>
      </c>
      <c r="BC7" s="63">
        <f>Calc_Revenue_Opex!BC11</f>
        <v/>
      </c>
      <c r="BD7" s="63">
        <f>Calc_Revenue_Opex!BD11</f>
        <v/>
      </c>
      <c r="BE7" s="63">
        <f>Calc_Revenue_Opex!BE11</f>
        <v/>
      </c>
      <c r="BF7" s="63">
        <f>Calc_Revenue_Opex!BF11</f>
        <v/>
      </c>
      <c r="BG7" s="63">
        <f>Calc_Revenue_Opex!BG11</f>
        <v/>
      </c>
      <c r="BH7" s="63">
        <f>Calc_Revenue_Opex!BH11</f>
        <v/>
      </c>
      <c r="BI7" s="63">
        <f>Calc_Revenue_Opex!BI11</f>
        <v/>
      </c>
      <c r="BJ7" s="63">
        <f>Calc_Revenue_Opex!BJ11</f>
        <v/>
      </c>
      <c r="BK7" s="63">
        <f>Calc_Revenue_Opex!BK11</f>
        <v/>
      </c>
      <c r="BL7" s="63">
        <f>Calc_Revenue_Opex!BL11</f>
        <v/>
      </c>
      <c r="BM7" s="63">
        <f>Calc_Revenue_Opex!BM11</f>
        <v/>
      </c>
      <c r="BN7" s="63">
        <f>Calc_Revenue_Opex!BN11</f>
        <v/>
      </c>
      <c r="BO7" s="63">
        <f>Calc_Revenue_Opex!BO11</f>
        <v/>
      </c>
      <c r="BP7" s="63">
        <f>Calc_Revenue_Opex!BP11</f>
        <v/>
      </c>
      <c r="BQ7" s="63">
        <f>Calc_Revenue_Opex!BQ11</f>
        <v/>
      </c>
      <c r="BR7" s="63">
        <f>Calc_Revenue_Opex!BR11</f>
        <v/>
      </c>
      <c r="BS7" s="63">
        <f>Calc_Revenue_Opex!BS11</f>
        <v/>
      </c>
      <c r="BT7" s="63">
        <f>Calc_Revenue_Opex!BT11</f>
        <v/>
      </c>
      <c r="BU7" s="63">
        <f>Calc_Revenue_Opex!BU11</f>
        <v/>
      </c>
      <c r="BV7" s="63">
        <f>Calc_Revenue_Opex!BV11</f>
        <v/>
      </c>
      <c r="BW7" s="63">
        <f>Calc_Revenue_Opex!BW11</f>
        <v/>
      </c>
      <c r="BX7" s="63">
        <f>Calc_Revenue_Opex!BX11</f>
        <v/>
      </c>
      <c r="BY7" s="63">
        <f>Calc_Revenue_Opex!BY11</f>
        <v/>
      </c>
      <c r="BZ7" s="63">
        <f>Calc_Revenue_Opex!BZ11</f>
        <v/>
      </c>
      <c r="CA7" s="63">
        <f>Calc_Revenue_Opex!CA11</f>
        <v/>
      </c>
      <c r="CB7" s="63">
        <f>Calc_Revenue_Opex!CB11</f>
        <v/>
      </c>
      <c r="CC7" s="63">
        <f>Calc_Revenue_Opex!CC11</f>
        <v/>
      </c>
      <c r="CD7" s="63">
        <f>Calc_Revenue_Opex!CD11</f>
        <v/>
      </c>
    </row>
    <row r="8">
      <c r="A8" t="inlineStr">
        <is>
          <t>EBITDA ($)</t>
        </is>
      </c>
      <c r="C8" s="63">
        <f>Calc_Revenue_Opex!C12</f>
        <v/>
      </c>
      <c r="D8" s="63">
        <f>Calc_Revenue_Opex!D12</f>
        <v/>
      </c>
      <c r="E8" s="63">
        <f>Calc_Revenue_Opex!E12</f>
        <v/>
      </c>
      <c r="F8" s="63">
        <f>Calc_Revenue_Opex!F12</f>
        <v/>
      </c>
      <c r="G8" s="63">
        <f>Calc_Revenue_Opex!G12</f>
        <v/>
      </c>
      <c r="H8" s="63">
        <f>Calc_Revenue_Opex!H12</f>
        <v/>
      </c>
      <c r="I8" s="63">
        <f>Calc_Revenue_Opex!I12</f>
        <v/>
      </c>
      <c r="J8" s="63">
        <f>Calc_Revenue_Opex!J12</f>
        <v/>
      </c>
      <c r="K8" s="63">
        <f>Calc_Revenue_Opex!K12</f>
        <v/>
      </c>
      <c r="L8" s="63">
        <f>Calc_Revenue_Opex!L12</f>
        <v/>
      </c>
      <c r="M8" s="63">
        <f>Calc_Revenue_Opex!M12</f>
        <v/>
      </c>
      <c r="N8" s="63">
        <f>Calc_Revenue_Opex!N12</f>
        <v/>
      </c>
      <c r="O8" s="63">
        <f>Calc_Revenue_Opex!O12</f>
        <v/>
      </c>
      <c r="P8" s="63">
        <f>Calc_Revenue_Opex!P12</f>
        <v/>
      </c>
      <c r="Q8" s="63">
        <f>Calc_Revenue_Opex!Q12</f>
        <v/>
      </c>
      <c r="R8" s="63">
        <f>Calc_Revenue_Opex!R12</f>
        <v/>
      </c>
      <c r="S8" s="63">
        <f>Calc_Revenue_Opex!S12</f>
        <v/>
      </c>
      <c r="T8" s="63">
        <f>Calc_Revenue_Opex!T12</f>
        <v/>
      </c>
      <c r="U8" s="63">
        <f>Calc_Revenue_Opex!U12</f>
        <v/>
      </c>
      <c r="V8" s="63">
        <f>Calc_Revenue_Opex!V12</f>
        <v/>
      </c>
      <c r="W8" s="63">
        <f>Calc_Revenue_Opex!W12</f>
        <v/>
      </c>
      <c r="X8" s="63">
        <f>Calc_Revenue_Opex!X12</f>
        <v/>
      </c>
      <c r="Y8" s="63">
        <f>Calc_Revenue_Opex!Y12</f>
        <v/>
      </c>
      <c r="Z8" s="63">
        <f>Calc_Revenue_Opex!Z12</f>
        <v/>
      </c>
      <c r="AA8" s="63">
        <f>Calc_Revenue_Opex!AA12</f>
        <v/>
      </c>
      <c r="AB8" s="63">
        <f>Calc_Revenue_Opex!AB12</f>
        <v/>
      </c>
      <c r="AC8" s="63">
        <f>Calc_Revenue_Opex!AC12</f>
        <v/>
      </c>
      <c r="AD8" s="63">
        <f>Calc_Revenue_Opex!AD12</f>
        <v/>
      </c>
      <c r="AE8" s="63">
        <f>Calc_Revenue_Opex!AE12</f>
        <v/>
      </c>
      <c r="AF8" s="63">
        <f>Calc_Revenue_Opex!AF12</f>
        <v/>
      </c>
      <c r="AG8" s="63">
        <f>Calc_Revenue_Opex!AG12</f>
        <v/>
      </c>
      <c r="AH8" s="63">
        <f>Calc_Revenue_Opex!AH12</f>
        <v/>
      </c>
      <c r="AI8" s="63">
        <f>Calc_Revenue_Opex!AI12</f>
        <v/>
      </c>
      <c r="AJ8" s="63">
        <f>Calc_Revenue_Opex!AJ12</f>
        <v/>
      </c>
      <c r="AK8" s="63">
        <f>Calc_Revenue_Opex!AK12</f>
        <v/>
      </c>
      <c r="AL8" s="63">
        <f>Calc_Revenue_Opex!AL12</f>
        <v/>
      </c>
      <c r="AM8" s="63">
        <f>Calc_Revenue_Opex!AM12</f>
        <v/>
      </c>
      <c r="AN8" s="63">
        <f>Calc_Revenue_Opex!AN12</f>
        <v/>
      </c>
      <c r="AO8" s="63">
        <f>Calc_Revenue_Opex!AO12</f>
        <v/>
      </c>
      <c r="AP8" s="63">
        <f>Calc_Revenue_Opex!AP12</f>
        <v/>
      </c>
      <c r="AQ8" s="63">
        <f>Calc_Revenue_Opex!AQ12</f>
        <v/>
      </c>
      <c r="AR8" s="63">
        <f>Calc_Revenue_Opex!AR12</f>
        <v/>
      </c>
      <c r="AS8" s="63">
        <f>Calc_Revenue_Opex!AS12</f>
        <v/>
      </c>
      <c r="AT8" s="63">
        <f>Calc_Revenue_Opex!AT12</f>
        <v/>
      </c>
      <c r="AU8" s="63">
        <f>Calc_Revenue_Opex!AU12</f>
        <v/>
      </c>
      <c r="AV8" s="63">
        <f>Calc_Revenue_Opex!AV12</f>
        <v/>
      </c>
      <c r="AW8" s="63">
        <f>Calc_Revenue_Opex!AW12</f>
        <v/>
      </c>
      <c r="AX8" s="63">
        <f>Calc_Revenue_Opex!AX12</f>
        <v/>
      </c>
      <c r="AY8" s="63">
        <f>Calc_Revenue_Opex!AY12</f>
        <v/>
      </c>
      <c r="AZ8" s="63">
        <f>Calc_Revenue_Opex!AZ12</f>
        <v/>
      </c>
      <c r="BA8" s="63">
        <f>Calc_Revenue_Opex!BA12</f>
        <v/>
      </c>
      <c r="BB8" s="63">
        <f>Calc_Revenue_Opex!BB12</f>
        <v/>
      </c>
      <c r="BC8" s="63">
        <f>Calc_Revenue_Opex!BC12</f>
        <v/>
      </c>
      <c r="BD8" s="63">
        <f>Calc_Revenue_Opex!BD12</f>
        <v/>
      </c>
      <c r="BE8" s="63">
        <f>Calc_Revenue_Opex!BE12</f>
        <v/>
      </c>
      <c r="BF8" s="63">
        <f>Calc_Revenue_Opex!BF12</f>
        <v/>
      </c>
      <c r="BG8" s="63">
        <f>Calc_Revenue_Opex!BG12</f>
        <v/>
      </c>
      <c r="BH8" s="63">
        <f>Calc_Revenue_Opex!BH12</f>
        <v/>
      </c>
      <c r="BI8" s="63">
        <f>Calc_Revenue_Opex!BI12</f>
        <v/>
      </c>
      <c r="BJ8" s="63">
        <f>Calc_Revenue_Opex!BJ12</f>
        <v/>
      </c>
      <c r="BK8" s="63">
        <f>Calc_Revenue_Opex!BK12</f>
        <v/>
      </c>
      <c r="BL8" s="63">
        <f>Calc_Revenue_Opex!BL12</f>
        <v/>
      </c>
      <c r="BM8" s="63">
        <f>Calc_Revenue_Opex!BM12</f>
        <v/>
      </c>
      <c r="BN8" s="63">
        <f>Calc_Revenue_Opex!BN12</f>
        <v/>
      </c>
      <c r="BO8" s="63">
        <f>Calc_Revenue_Opex!BO12</f>
        <v/>
      </c>
      <c r="BP8" s="63">
        <f>Calc_Revenue_Opex!BP12</f>
        <v/>
      </c>
      <c r="BQ8" s="63">
        <f>Calc_Revenue_Opex!BQ12</f>
        <v/>
      </c>
      <c r="BR8" s="63">
        <f>Calc_Revenue_Opex!BR12</f>
        <v/>
      </c>
      <c r="BS8" s="63">
        <f>Calc_Revenue_Opex!BS12</f>
        <v/>
      </c>
      <c r="BT8" s="63">
        <f>Calc_Revenue_Opex!BT12</f>
        <v/>
      </c>
      <c r="BU8" s="63">
        <f>Calc_Revenue_Opex!BU12</f>
        <v/>
      </c>
      <c r="BV8" s="63">
        <f>Calc_Revenue_Opex!BV12</f>
        <v/>
      </c>
      <c r="BW8" s="63">
        <f>Calc_Revenue_Opex!BW12</f>
        <v/>
      </c>
      <c r="BX8" s="63">
        <f>Calc_Revenue_Opex!BX12</f>
        <v/>
      </c>
      <c r="BY8" s="63">
        <f>Calc_Revenue_Opex!BY12</f>
        <v/>
      </c>
      <c r="BZ8" s="63">
        <f>Calc_Revenue_Opex!BZ12</f>
        <v/>
      </c>
      <c r="CA8" s="63">
        <f>Calc_Revenue_Opex!CA12</f>
        <v/>
      </c>
      <c r="CB8" s="63">
        <f>Calc_Revenue_Opex!CB12</f>
        <v/>
      </c>
      <c r="CC8" s="63">
        <f>Calc_Revenue_Opex!CC12</f>
        <v/>
      </c>
      <c r="CD8" s="63">
        <f>Calc_Revenue_Opex!CD12</f>
        <v/>
      </c>
    </row>
    <row r="9">
      <c r="A9" t="inlineStr">
        <is>
          <t>Depreciation ($) — base vintage + maintenance vintages</t>
        </is>
      </c>
      <c r="C9" s="63">
        <f>Calc_Tax!C15</f>
        <v/>
      </c>
      <c r="D9" s="63">
        <f>Calc_Tax!D15</f>
        <v/>
      </c>
      <c r="E9" s="63">
        <f>Calc_Tax!E15</f>
        <v/>
      </c>
      <c r="F9" s="63">
        <f>Calc_Tax!F15</f>
        <v/>
      </c>
      <c r="G9" s="63">
        <f>Calc_Tax!G15</f>
        <v/>
      </c>
      <c r="H9" s="63">
        <f>Calc_Tax!H15</f>
        <v/>
      </c>
      <c r="I9" s="63">
        <f>Calc_Tax!I15</f>
        <v/>
      </c>
      <c r="J9" s="63">
        <f>Calc_Tax!J15</f>
        <v/>
      </c>
      <c r="K9" s="63">
        <f>Calc_Tax!K15</f>
        <v/>
      </c>
      <c r="L9" s="63">
        <f>Calc_Tax!L15</f>
        <v/>
      </c>
      <c r="M9" s="63">
        <f>Calc_Tax!M15</f>
        <v/>
      </c>
      <c r="N9" s="63">
        <f>Calc_Tax!N15</f>
        <v/>
      </c>
      <c r="O9" s="63">
        <f>Calc_Tax!O15</f>
        <v/>
      </c>
      <c r="P9" s="63">
        <f>Calc_Tax!P15</f>
        <v/>
      </c>
      <c r="Q9" s="63">
        <f>Calc_Tax!Q15</f>
        <v/>
      </c>
      <c r="R9" s="63">
        <f>Calc_Tax!R15</f>
        <v/>
      </c>
      <c r="S9" s="63">
        <f>Calc_Tax!S15</f>
        <v/>
      </c>
      <c r="T9" s="63">
        <f>Calc_Tax!T15</f>
        <v/>
      </c>
      <c r="U9" s="63">
        <f>Calc_Tax!U15</f>
        <v/>
      </c>
      <c r="V9" s="63">
        <f>Calc_Tax!V15</f>
        <v/>
      </c>
      <c r="W9" s="63">
        <f>Calc_Tax!W15</f>
        <v/>
      </c>
      <c r="X9" s="63">
        <f>Calc_Tax!X15</f>
        <v/>
      </c>
      <c r="Y9" s="63">
        <f>Calc_Tax!Y15</f>
        <v/>
      </c>
      <c r="Z9" s="63">
        <f>Calc_Tax!Z15</f>
        <v/>
      </c>
      <c r="AA9" s="63">
        <f>Calc_Tax!AA15</f>
        <v/>
      </c>
      <c r="AB9" s="63">
        <f>Calc_Tax!AB15</f>
        <v/>
      </c>
      <c r="AC9" s="63">
        <f>Calc_Tax!AC15</f>
        <v/>
      </c>
      <c r="AD9" s="63">
        <f>Calc_Tax!AD15</f>
        <v/>
      </c>
      <c r="AE9" s="63">
        <f>Calc_Tax!AE15</f>
        <v/>
      </c>
      <c r="AF9" s="63">
        <f>Calc_Tax!AF15</f>
        <v/>
      </c>
      <c r="AG9" s="63">
        <f>Calc_Tax!AG15</f>
        <v/>
      </c>
      <c r="AH9" s="63">
        <f>Calc_Tax!AH15</f>
        <v/>
      </c>
      <c r="AI9" s="63">
        <f>Calc_Tax!AI15</f>
        <v/>
      </c>
      <c r="AJ9" s="63">
        <f>Calc_Tax!AJ15</f>
        <v/>
      </c>
      <c r="AK9" s="63">
        <f>Calc_Tax!AK15</f>
        <v/>
      </c>
      <c r="AL9" s="63">
        <f>Calc_Tax!AL15</f>
        <v/>
      </c>
      <c r="AM9" s="63">
        <f>Calc_Tax!AM15</f>
        <v/>
      </c>
      <c r="AN9" s="63">
        <f>Calc_Tax!AN15</f>
        <v/>
      </c>
      <c r="AO9" s="63">
        <f>Calc_Tax!AO15</f>
        <v/>
      </c>
      <c r="AP9" s="63">
        <f>Calc_Tax!AP15</f>
        <v/>
      </c>
      <c r="AQ9" s="63">
        <f>Calc_Tax!AQ15</f>
        <v/>
      </c>
      <c r="AR9" s="63">
        <f>Calc_Tax!AR15</f>
        <v/>
      </c>
      <c r="AS9" s="63">
        <f>Calc_Tax!AS15</f>
        <v/>
      </c>
      <c r="AT9" s="63">
        <f>Calc_Tax!AT15</f>
        <v/>
      </c>
      <c r="AU9" s="63">
        <f>Calc_Tax!AU15</f>
        <v/>
      </c>
      <c r="AV9" s="63">
        <f>Calc_Tax!AV15</f>
        <v/>
      </c>
      <c r="AW9" s="63">
        <f>Calc_Tax!AW15</f>
        <v/>
      </c>
      <c r="AX9" s="63">
        <f>Calc_Tax!AX15</f>
        <v/>
      </c>
      <c r="AY9" s="63">
        <f>Calc_Tax!AY15</f>
        <v/>
      </c>
      <c r="AZ9" s="63">
        <f>Calc_Tax!AZ15</f>
        <v/>
      </c>
      <c r="BA9" s="63">
        <f>Calc_Tax!BA15</f>
        <v/>
      </c>
      <c r="BB9" s="63">
        <f>Calc_Tax!BB15</f>
        <v/>
      </c>
      <c r="BC9" s="63">
        <f>Calc_Tax!BC15</f>
        <v/>
      </c>
      <c r="BD9" s="63">
        <f>Calc_Tax!BD15</f>
        <v/>
      </c>
      <c r="BE9" s="63">
        <f>Calc_Tax!BE15</f>
        <v/>
      </c>
      <c r="BF9" s="63">
        <f>Calc_Tax!BF15</f>
        <v/>
      </c>
      <c r="BG9" s="63">
        <f>Calc_Tax!BG15</f>
        <v/>
      </c>
      <c r="BH9" s="63">
        <f>Calc_Tax!BH15</f>
        <v/>
      </c>
      <c r="BI9" s="63">
        <f>Calc_Tax!BI15</f>
        <v/>
      </c>
      <c r="BJ9" s="63">
        <f>Calc_Tax!BJ15</f>
        <v/>
      </c>
      <c r="BK9" s="63">
        <f>Calc_Tax!BK15</f>
        <v/>
      </c>
      <c r="BL9" s="63">
        <f>Calc_Tax!BL15</f>
        <v/>
      </c>
      <c r="BM9" s="63">
        <f>Calc_Tax!BM15</f>
        <v/>
      </c>
      <c r="BN9" s="63">
        <f>Calc_Tax!BN15</f>
        <v/>
      </c>
      <c r="BO9" s="63">
        <f>Calc_Tax!BO15</f>
        <v/>
      </c>
      <c r="BP9" s="63">
        <f>Calc_Tax!BP15</f>
        <v/>
      </c>
      <c r="BQ9" s="63">
        <f>Calc_Tax!BQ15</f>
        <v/>
      </c>
      <c r="BR9" s="63">
        <f>Calc_Tax!BR15</f>
        <v/>
      </c>
      <c r="BS9" s="63">
        <f>Calc_Tax!BS15</f>
        <v/>
      </c>
      <c r="BT9" s="63">
        <f>Calc_Tax!BT15</f>
        <v/>
      </c>
      <c r="BU9" s="63">
        <f>Calc_Tax!BU15</f>
        <v/>
      </c>
      <c r="BV9" s="63">
        <f>Calc_Tax!BV15</f>
        <v/>
      </c>
      <c r="BW9" s="63">
        <f>Calc_Tax!BW15</f>
        <v/>
      </c>
      <c r="BX9" s="63">
        <f>Calc_Tax!BX15</f>
        <v/>
      </c>
      <c r="BY9" s="63">
        <f>Calc_Tax!BY15</f>
        <v/>
      </c>
      <c r="BZ9" s="63">
        <f>Calc_Tax!BZ15</f>
        <v/>
      </c>
      <c r="CA9" s="63">
        <f>Calc_Tax!CA15</f>
        <v/>
      </c>
      <c r="CB9" s="63">
        <f>Calc_Tax!CB15</f>
        <v/>
      </c>
      <c r="CC9" s="63">
        <f>Calc_Tax!CC15</f>
        <v/>
      </c>
      <c r="CD9" s="63">
        <f>Calc_Tax!CD15</f>
        <v/>
      </c>
    </row>
    <row r="10">
      <c r="A10" t="inlineStr">
        <is>
          <t>EBIT ($)</t>
        </is>
      </c>
      <c r="C10" s="84">
        <f>C8-C9</f>
        <v/>
      </c>
      <c r="D10" s="84">
        <f>D8-D9</f>
        <v/>
      </c>
      <c r="E10" s="84">
        <f>E8-E9</f>
        <v/>
      </c>
      <c r="F10" s="84">
        <f>F8-F9</f>
        <v/>
      </c>
      <c r="G10" s="84">
        <f>G8-G9</f>
        <v/>
      </c>
      <c r="H10" s="84">
        <f>H8-H9</f>
        <v/>
      </c>
      <c r="I10" s="84">
        <f>I8-I9</f>
        <v/>
      </c>
      <c r="J10" s="84">
        <f>J8-J9</f>
        <v/>
      </c>
      <c r="K10" s="84">
        <f>K8-K9</f>
        <v/>
      </c>
      <c r="L10" s="84">
        <f>L8-L9</f>
        <v/>
      </c>
      <c r="M10" s="84">
        <f>M8-M9</f>
        <v/>
      </c>
      <c r="N10" s="84">
        <f>N8-N9</f>
        <v/>
      </c>
      <c r="O10" s="84">
        <f>O8-O9</f>
        <v/>
      </c>
      <c r="P10" s="84">
        <f>P8-P9</f>
        <v/>
      </c>
      <c r="Q10" s="84">
        <f>Q8-Q9</f>
        <v/>
      </c>
      <c r="R10" s="84">
        <f>R8-R9</f>
        <v/>
      </c>
      <c r="S10" s="84">
        <f>S8-S9</f>
        <v/>
      </c>
      <c r="T10" s="84">
        <f>T8-T9</f>
        <v/>
      </c>
      <c r="U10" s="84">
        <f>U8-U9</f>
        <v/>
      </c>
      <c r="V10" s="84">
        <f>V8-V9</f>
        <v/>
      </c>
      <c r="W10" s="84">
        <f>W8-W9</f>
        <v/>
      </c>
      <c r="X10" s="84">
        <f>X8-X9</f>
        <v/>
      </c>
      <c r="Y10" s="84">
        <f>Y8-Y9</f>
        <v/>
      </c>
      <c r="Z10" s="84">
        <f>Z8-Z9</f>
        <v/>
      </c>
      <c r="AA10" s="84">
        <f>AA8-AA9</f>
        <v/>
      </c>
      <c r="AB10" s="84">
        <f>AB8-AB9</f>
        <v/>
      </c>
      <c r="AC10" s="84">
        <f>AC8-AC9</f>
        <v/>
      </c>
      <c r="AD10" s="84">
        <f>AD8-AD9</f>
        <v/>
      </c>
      <c r="AE10" s="84">
        <f>AE8-AE9</f>
        <v/>
      </c>
      <c r="AF10" s="84">
        <f>AF8-AF9</f>
        <v/>
      </c>
      <c r="AG10" s="84">
        <f>AG8-AG9</f>
        <v/>
      </c>
      <c r="AH10" s="84">
        <f>AH8-AH9</f>
        <v/>
      </c>
      <c r="AI10" s="84">
        <f>AI8-AI9</f>
        <v/>
      </c>
      <c r="AJ10" s="84">
        <f>AJ8-AJ9</f>
        <v/>
      </c>
      <c r="AK10" s="84">
        <f>AK8-AK9</f>
        <v/>
      </c>
      <c r="AL10" s="84">
        <f>AL8-AL9</f>
        <v/>
      </c>
      <c r="AM10" s="84">
        <f>AM8-AM9</f>
        <v/>
      </c>
      <c r="AN10" s="84">
        <f>AN8-AN9</f>
        <v/>
      </c>
      <c r="AO10" s="84">
        <f>AO8-AO9</f>
        <v/>
      </c>
      <c r="AP10" s="84">
        <f>AP8-AP9</f>
        <v/>
      </c>
      <c r="AQ10" s="84">
        <f>AQ8-AQ9</f>
        <v/>
      </c>
      <c r="AR10" s="84">
        <f>AR8-AR9</f>
        <v/>
      </c>
      <c r="AS10" s="84">
        <f>AS8-AS9</f>
        <v/>
      </c>
      <c r="AT10" s="84">
        <f>AT8-AT9</f>
        <v/>
      </c>
      <c r="AU10" s="84">
        <f>AU8-AU9</f>
        <v/>
      </c>
      <c r="AV10" s="84">
        <f>AV8-AV9</f>
        <v/>
      </c>
      <c r="AW10" s="84">
        <f>AW8-AW9</f>
        <v/>
      </c>
      <c r="AX10" s="84">
        <f>AX8-AX9</f>
        <v/>
      </c>
      <c r="AY10" s="84">
        <f>AY8-AY9</f>
        <v/>
      </c>
      <c r="AZ10" s="84">
        <f>AZ8-AZ9</f>
        <v/>
      </c>
      <c r="BA10" s="84">
        <f>BA8-BA9</f>
        <v/>
      </c>
      <c r="BB10" s="84">
        <f>BB8-BB9</f>
        <v/>
      </c>
      <c r="BC10" s="84">
        <f>BC8-BC9</f>
        <v/>
      </c>
      <c r="BD10" s="84">
        <f>BD8-BD9</f>
        <v/>
      </c>
      <c r="BE10" s="84">
        <f>BE8-BE9</f>
        <v/>
      </c>
      <c r="BF10" s="84">
        <f>BF8-BF9</f>
        <v/>
      </c>
      <c r="BG10" s="84">
        <f>BG8-BG9</f>
        <v/>
      </c>
      <c r="BH10" s="84">
        <f>BH8-BH9</f>
        <v/>
      </c>
      <c r="BI10" s="84">
        <f>BI8-BI9</f>
        <v/>
      </c>
      <c r="BJ10" s="84">
        <f>BJ8-BJ9</f>
        <v/>
      </c>
      <c r="BK10" s="84">
        <f>BK8-BK9</f>
        <v/>
      </c>
      <c r="BL10" s="84">
        <f>BL8-BL9</f>
        <v/>
      </c>
      <c r="BM10" s="84">
        <f>BM8-BM9</f>
        <v/>
      </c>
      <c r="BN10" s="84">
        <f>BN8-BN9</f>
        <v/>
      </c>
      <c r="BO10" s="84">
        <f>BO8-BO9</f>
        <v/>
      </c>
      <c r="BP10" s="84">
        <f>BP8-BP9</f>
        <v/>
      </c>
      <c r="BQ10" s="84">
        <f>BQ8-BQ9</f>
        <v/>
      </c>
      <c r="BR10" s="84">
        <f>BR8-BR9</f>
        <v/>
      </c>
      <c r="BS10" s="84">
        <f>BS8-BS9</f>
        <v/>
      </c>
      <c r="BT10" s="84">
        <f>BT8-BT9</f>
        <v/>
      </c>
      <c r="BU10" s="84">
        <f>BU8-BU9</f>
        <v/>
      </c>
      <c r="BV10" s="84">
        <f>BV8-BV9</f>
        <v/>
      </c>
      <c r="BW10" s="84">
        <f>BW8-BW9</f>
        <v/>
      </c>
      <c r="BX10" s="84">
        <f>BX8-BX9</f>
        <v/>
      </c>
      <c r="BY10" s="84">
        <f>BY8-BY9</f>
        <v/>
      </c>
      <c r="BZ10" s="84">
        <f>BZ8-BZ9</f>
        <v/>
      </c>
      <c r="CA10" s="84">
        <f>CA8-CA9</f>
        <v/>
      </c>
      <c r="CB10" s="84">
        <f>CB8-CB9</f>
        <v/>
      </c>
      <c r="CC10" s="84">
        <f>CC8-CC9</f>
        <v/>
      </c>
      <c r="CD10" s="84">
        <f>CD8-CD9</f>
        <v/>
      </c>
    </row>
    <row r="11">
      <c r="A11" t="inlineStr">
        <is>
          <t>Interest Expense ($)</t>
        </is>
      </c>
      <c r="C11" s="63">
        <f>Calc_Financing_Ops!C19</f>
        <v/>
      </c>
      <c r="D11" s="63">
        <f>Calc_Financing_Ops!D19</f>
        <v/>
      </c>
      <c r="E11" s="63">
        <f>Calc_Financing_Ops!E19</f>
        <v/>
      </c>
      <c r="F11" s="63">
        <f>Calc_Financing_Ops!F19</f>
        <v/>
      </c>
      <c r="G11" s="63">
        <f>Calc_Financing_Ops!G19</f>
        <v/>
      </c>
      <c r="H11" s="63">
        <f>Calc_Financing_Ops!H19</f>
        <v/>
      </c>
      <c r="I11" s="63">
        <f>Calc_Financing_Ops!I19</f>
        <v/>
      </c>
      <c r="J11" s="63">
        <f>Calc_Financing_Ops!J19</f>
        <v/>
      </c>
      <c r="K11" s="63">
        <f>Calc_Financing_Ops!K19</f>
        <v/>
      </c>
      <c r="L11" s="63">
        <f>Calc_Financing_Ops!L19</f>
        <v/>
      </c>
      <c r="M11" s="63">
        <f>Calc_Financing_Ops!M19</f>
        <v/>
      </c>
      <c r="N11" s="63">
        <f>Calc_Financing_Ops!N19</f>
        <v/>
      </c>
      <c r="O11" s="63">
        <f>Calc_Financing_Ops!O19</f>
        <v/>
      </c>
      <c r="P11" s="63">
        <f>Calc_Financing_Ops!P19</f>
        <v/>
      </c>
      <c r="Q11" s="63">
        <f>Calc_Financing_Ops!Q19</f>
        <v/>
      </c>
      <c r="R11" s="63">
        <f>Calc_Financing_Ops!R19</f>
        <v/>
      </c>
      <c r="S11" s="63">
        <f>Calc_Financing_Ops!S19</f>
        <v/>
      </c>
      <c r="T11" s="63">
        <f>Calc_Financing_Ops!T19</f>
        <v/>
      </c>
      <c r="U11" s="63">
        <f>Calc_Financing_Ops!U19</f>
        <v/>
      </c>
      <c r="V11" s="63">
        <f>Calc_Financing_Ops!V19</f>
        <v/>
      </c>
      <c r="W11" s="63">
        <f>Calc_Financing_Ops!W19</f>
        <v/>
      </c>
      <c r="X11" s="63">
        <f>Calc_Financing_Ops!X19</f>
        <v/>
      </c>
      <c r="Y11" s="63">
        <f>Calc_Financing_Ops!Y19</f>
        <v/>
      </c>
      <c r="Z11" s="63">
        <f>Calc_Financing_Ops!Z19</f>
        <v/>
      </c>
      <c r="AA11" s="63">
        <f>Calc_Financing_Ops!AA19</f>
        <v/>
      </c>
      <c r="AB11" s="63">
        <f>Calc_Financing_Ops!AB19</f>
        <v/>
      </c>
      <c r="AC11" s="63">
        <f>Calc_Financing_Ops!AC19</f>
        <v/>
      </c>
      <c r="AD11" s="63">
        <f>Calc_Financing_Ops!AD19</f>
        <v/>
      </c>
      <c r="AE11" s="63">
        <f>Calc_Financing_Ops!AE19</f>
        <v/>
      </c>
      <c r="AF11" s="63">
        <f>Calc_Financing_Ops!AF19</f>
        <v/>
      </c>
      <c r="AG11" s="63">
        <f>Calc_Financing_Ops!AG19</f>
        <v/>
      </c>
      <c r="AH11" s="63">
        <f>Calc_Financing_Ops!AH19</f>
        <v/>
      </c>
      <c r="AI11" s="63">
        <f>Calc_Financing_Ops!AI19</f>
        <v/>
      </c>
      <c r="AJ11" s="63">
        <f>Calc_Financing_Ops!AJ19</f>
        <v/>
      </c>
      <c r="AK11" s="63">
        <f>Calc_Financing_Ops!AK19</f>
        <v/>
      </c>
      <c r="AL11" s="63">
        <f>Calc_Financing_Ops!AL19</f>
        <v/>
      </c>
      <c r="AM11" s="63">
        <f>Calc_Financing_Ops!AM19</f>
        <v/>
      </c>
      <c r="AN11" s="63">
        <f>Calc_Financing_Ops!AN19</f>
        <v/>
      </c>
      <c r="AO11" s="63">
        <f>Calc_Financing_Ops!AO19</f>
        <v/>
      </c>
      <c r="AP11" s="63">
        <f>Calc_Financing_Ops!AP19</f>
        <v/>
      </c>
      <c r="AQ11" s="63">
        <f>Calc_Financing_Ops!AQ19</f>
        <v/>
      </c>
      <c r="AR11" s="63">
        <f>Calc_Financing_Ops!AR19</f>
        <v/>
      </c>
      <c r="AS11" s="63">
        <f>Calc_Financing_Ops!AS19</f>
        <v/>
      </c>
      <c r="AT11" s="63">
        <f>Calc_Financing_Ops!AT19</f>
        <v/>
      </c>
      <c r="AU11" s="63">
        <f>Calc_Financing_Ops!AU19</f>
        <v/>
      </c>
      <c r="AV11" s="63">
        <f>Calc_Financing_Ops!AV19</f>
        <v/>
      </c>
      <c r="AW11" s="63">
        <f>Calc_Financing_Ops!AW19</f>
        <v/>
      </c>
      <c r="AX11" s="63">
        <f>Calc_Financing_Ops!AX19</f>
        <v/>
      </c>
      <c r="AY11" s="63">
        <f>Calc_Financing_Ops!AY19</f>
        <v/>
      </c>
      <c r="AZ11" s="63">
        <f>Calc_Financing_Ops!AZ19</f>
        <v/>
      </c>
      <c r="BA11" s="63">
        <f>Calc_Financing_Ops!BA19</f>
        <v/>
      </c>
      <c r="BB11" s="63">
        <f>Calc_Financing_Ops!BB19</f>
        <v/>
      </c>
      <c r="BC11" s="63">
        <f>Calc_Financing_Ops!BC19</f>
        <v/>
      </c>
      <c r="BD11" s="63">
        <f>Calc_Financing_Ops!BD19</f>
        <v/>
      </c>
      <c r="BE11" s="63">
        <f>Calc_Financing_Ops!BE19</f>
        <v/>
      </c>
      <c r="BF11" s="63">
        <f>Calc_Financing_Ops!BF19</f>
        <v/>
      </c>
      <c r="BG11" s="63">
        <f>Calc_Financing_Ops!BG19</f>
        <v/>
      </c>
      <c r="BH11" s="63">
        <f>Calc_Financing_Ops!BH19</f>
        <v/>
      </c>
      <c r="BI11" s="63">
        <f>Calc_Financing_Ops!BI19</f>
        <v/>
      </c>
      <c r="BJ11" s="63">
        <f>Calc_Financing_Ops!BJ19</f>
        <v/>
      </c>
      <c r="BK11" s="63">
        <f>Calc_Financing_Ops!BK19</f>
        <v/>
      </c>
      <c r="BL11" s="63">
        <f>Calc_Financing_Ops!BL19</f>
        <v/>
      </c>
      <c r="BM11" s="63">
        <f>Calc_Financing_Ops!BM19</f>
        <v/>
      </c>
      <c r="BN11" s="63">
        <f>Calc_Financing_Ops!BN19</f>
        <v/>
      </c>
      <c r="BO11" s="63">
        <f>Calc_Financing_Ops!BO19</f>
        <v/>
      </c>
      <c r="BP11" s="63">
        <f>Calc_Financing_Ops!BP19</f>
        <v/>
      </c>
      <c r="BQ11" s="63">
        <f>Calc_Financing_Ops!BQ19</f>
        <v/>
      </c>
      <c r="BR11" s="63">
        <f>Calc_Financing_Ops!BR19</f>
        <v/>
      </c>
      <c r="BS11" s="63">
        <f>Calc_Financing_Ops!BS19</f>
        <v/>
      </c>
      <c r="BT11" s="63">
        <f>Calc_Financing_Ops!BT19</f>
        <v/>
      </c>
      <c r="BU11" s="63">
        <f>Calc_Financing_Ops!BU19</f>
        <v/>
      </c>
      <c r="BV11" s="63">
        <f>Calc_Financing_Ops!BV19</f>
        <v/>
      </c>
      <c r="BW11" s="63">
        <f>Calc_Financing_Ops!BW19</f>
        <v/>
      </c>
      <c r="BX11" s="63">
        <f>Calc_Financing_Ops!BX19</f>
        <v/>
      </c>
      <c r="BY11" s="63">
        <f>Calc_Financing_Ops!BY19</f>
        <v/>
      </c>
      <c r="BZ11" s="63">
        <f>Calc_Financing_Ops!BZ19</f>
        <v/>
      </c>
      <c r="CA11" s="63">
        <f>Calc_Financing_Ops!CA19</f>
        <v/>
      </c>
      <c r="CB11" s="63">
        <f>Calc_Financing_Ops!CB19</f>
        <v/>
      </c>
      <c r="CC11" s="63">
        <f>Calc_Financing_Ops!CC19</f>
        <v/>
      </c>
      <c r="CD11" s="63">
        <f>Calc_Financing_Ops!CD19</f>
        <v/>
      </c>
    </row>
    <row r="12">
      <c r="A12" t="inlineStr">
        <is>
          <t>EBT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Tax ($) — linked from Calc_Tax</t>
        </is>
      </c>
      <c r="C13" s="63">
        <f>Calc_Tax!C25</f>
        <v/>
      </c>
      <c r="D13" s="63">
        <f>Calc_Tax!D25</f>
        <v/>
      </c>
      <c r="E13" s="63">
        <f>Calc_Tax!E25</f>
        <v/>
      </c>
      <c r="F13" s="63">
        <f>Calc_Tax!F25</f>
        <v/>
      </c>
      <c r="G13" s="63">
        <f>Calc_Tax!G25</f>
        <v/>
      </c>
      <c r="H13" s="63">
        <f>Calc_Tax!H25</f>
        <v/>
      </c>
      <c r="I13" s="63">
        <f>Calc_Tax!I25</f>
        <v/>
      </c>
      <c r="J13" s="63">
        <f>Calc_Tax!J25</f>
        <v/>
      </c>
      <c r="K13" s="63">
        <f>Calc_Tax!K25</f>
        <v/>
      </c>
      <c r="L13" s="63">
        <f>Calc_Tax!L25</f>
        <v/>
      </c>
      <c r="M13" s="63">
        <f>Calc_Tax!M25</f>
        <v/>
      </c>
      <c r="N13" s="63">
        <f>Calc_Tax!N25</f>
        <v/>
      </c>
      <c r="O13" s="63">
        <f>Calc_Tax!O25</f>
        <v/>
      </c>
      <c r="P13" s="63">
        <f>Calc_Tax!P25</f>
        <v/>
      </c>
      <c r="Q13" s="63">
        <f>Calc_Tax!Q25</f>
        <v/>
      </c>
      <c r="R13" s="63">
        <f>Calc_Tax!R25</f>
        <v/>
      </c>
      <c r="S13" s="63">
        <f>Calc_Tax!S25</f>
        <v/>
      </c>
      <c r="T13" s="63">
        <f>Calc_Tax!T25</f>
        <v/>
      </c>
      <c r="U13" s="63">
        <f>Calc_Tax!U25</f>
        <v/>
      </c>
      <c r="V13" s="63">
        <f>Calc_Tax!V25</f>
        <v/>
      </c>
      <c r="W13" s="63">
        <f>Calc_Tax!W25</f>
        <v/>
      </c>
      <c r="X13" s="63">
        <f>Calc_Tax!X25</f>
        <v/>
      </c>
      <c r="Y13" s="63">
        <f>Calc_Tax!Y25</f>
        <v/>
      </c>
      <c r="Z13" s="63">
        <f>Calc_Tax!Z25</f>
        <v/>
      </c>
      <c r="AA13" s="63">
        <f>Calc_Tax!AA25</f>
        <v/>
      </c>
      <c r="AB13" s="63">
        <f>Calc_Tax!AB25</f>
        <v/>
      </c>
      <c r="AC13" s="63">
        <f>Calc_Tax!AC25</f>
        <v/>
      </c>
      <c r="AD13" s="63">
        <f>Calc_Tax!AD25</f>
        <v/>
      </c>
      <c r="AE13" s="63">
        <f>Calc_Tax!AE25</f>
        <v/>
      </c>
      <c r="AF13" s="63">
        <f>Calc_Tax!AF25</f>
        <v/>
      </c>
      <c r="AG13" s="63">
        <f>Calc_Tax!AG25</f>
        <v/>
      </c>
      <c r="AH13" s="63">
        <f>Calc_Tax!AH25</f>
        <v/>
      </c>
      <c r="AI13" s="63">
        <f>Calc_Tax!AI25</f>
        <v/>
      </c>
      <c r="AJ13" s="63">
        <f>Calc_Tax!AJ25</f>
        <v/>
      </c>
      <c r="AK13" s="63">
        <f>Calc_Tax!AK25</f>
        <v/>
      </c>
      <c r="AL13" s="63">
        <f>Calc_Tax!AL25</f>
        <v/>
      </c>
      <c r="AM13" s="63">
        <f>Calc_Tax!AM25</f>
        <v/>
      </c>
      <c r="AN13" s="63">
        <f>Calc_Tax!AN25</f>
        <v/>
      </c>
      <c r="AO13" s="63">
        <f>Calc_Tax!AO25</f>
        <v/>
      </c>
      <c r="AP13" s="63">
        <f>Calc_Tax!AP25</f>
        <v/>
      </c>
      <c r="AQ13" s="63">
        <f>Calc_Tax!AQ25</f>
        <v/>
      </c>
      <c r="AR13" s="63">
        <f>Calc_Tax!AR25</f>
        <v/>
      </c>
      <c r="AS13" s="63">
        <f>Calc_Tax!AS25</f>
        <v/>
      </c>
      <c r="AT13" s="63">
        <f>Calc_Tax!AT25</f>
        <v/>
      </c>
      <c r="AU13" s="63">
        <f>Calc_Tax!AU25</f>
        <v/>
      </c>
      <c r="AV13" s="63">
        <f>Calc_Tax!AV25</f>
        <v/>
      </c>
      <c r="AW13" s="63">
        <f>Calc_Tax!AW25</f>
        <v/>
      </c>
      <c r="AX13" s="63">
        <f>Calc_Tax!AX25</f>
        <v/>
      </c>
      <c r="AY13" s="63">
        <f>Calc_Tax!AY25</f>
        <v/>
      </c>
      <c r="AZ13" s="63">
        <f>Calc_Tax!AZ25</f>
        <v/>
      </c>
      <c r="BA13" s="63">
        <f>Calc_Tax!BA25</f>
        <v/>
      </c>
      <c r="BB13" s="63">
        <f>Calc_Tax!BB25</f>
        <v/>
      </c>
      <c r="BC13" s="63">
        <f>Calc_Tax!BC25</f>
        <v/>
      </c>
      <c r="BD13" s="63">
        <f>Calc_Tax!BD25</f>
        <v/>
      </c>
      <c r="BE13" s="63">
        <f>Calc_Tax!BE25</f>
        <v/>
      </c>
      <c r="BF13" s="63">
        <f>Calc_Tax!BF25</f>
        <v/>
      </c>
      <c r="BG13" s="63">
        <f>Calc_Tax!BG25</f>
        <v/>
      </c>
      <c r="BH13" s="63">
        <f>Calc_Tax!BH25</f>
        <v/>
      </c>
      <c r="BI13" s="63">
        <f>Calc_Tax!BI25</f>
        <v/>
      </c>
      <c r="BJ13" s="63">
        <f>Calc_Tax!BJ25</f>
        <v/>
      </c>
      <c r="BK13" s="63">
        <f>Calc_Tax!BK25</f>
        <v/>
      </c>
      <c r="BL13" s="63">
        <f>Calc_Tax!BL25</f>
        <v/>
      </c>
      <c r="BM13" s="63">
        <f>Calc_Tax!BM25</f>
        <v/>
      </c>
      <c r="BN13" s="63">
        <f>Calc_Tax!BN25</f>
        <v/>
      </c>
      <c r="BO13" s="63">
        <f>Calc_Tax!BO25</f>
        <v/>
      </c>
      <c r="BP13" s="63">
        <f>Calc_Tax!BP25</f>
        <v/>
      </c>
      <c r="BQ13" s="63">
        <f>Calc_Tax!BQ25</f>
        <v/>
      </c>
      <c r="BR13" s="63">
        <f>Calc_Tax!BR25</f>
        <v/>
      </c>
      <c r="BS13" s="63">
        <f>Calc_Tax!BS25</f>
        <v/>
      </c>
      <c r="BT13" s="63">
        <f>Calc_Tax!BT25</f>
        <v/>
      </c>
      <c r="BU13" s="63">
        <f>Calc_Tax!BU25</f>
        <v/>
      </c>
      <c r="BV13" s="63">
        <f>Calc_Tax!BV25</f>
        <v/>
      </c>
      <c r="BW13" s="63">
        <f>Calc_Tax!BW25</f>
        <v/>
      </c>
      <c r="BX13" s="63">
        <f>Calc_Tax!BX25</f>
        <v/>
      </c>
      <c r="BY13" s="63">
        <f>Calc_Tax!BY25</f>
        <v/>
      </c>
      <c r="BZ13" s="63">
        <f>Calc_Tax!BZ25</f>
        <v/>
      </c>
      <c r="CA13" s="63">
        <f>Calc_Tax!CA25</f>
        <v/>
      </c>
      <c r="CB13" s="63">
        <f>Calc_Tax!CB25</f>
        <v/>
      </c>
      <c r="CC13" s="63">
        <f>Calc_Tax!CC25</f>
        <v/>
      </c>
      <c r="CD13" s="63">
        <f>Calc_Tax!CD25</f>
        <v/>
      </c>
    </row>
    <row r="14">
      <c r="A14" t="inlineStr">
        <is>
          <t>DSRA LC Fee ($) — non-deductible; zero when the DSRA is cash-funded</t>
        </is>
      </c>
      <c r="C14" s="63">
        <f>Calc_Financing_Ops!C29</f>
        <v/>
      </c>
      <c r="D14" s="63">
        <f>Calc_Financing_Ops!D29</f>
        <v/>
      </c>
      <c r="E14" s="63">
        <f>Calc_Financing_Ops!E29</f>
        <v/>
      </c>
      <c r="F14" s="63">
        <f>Calc_Financing_Ops!F29</f>
        <v/>
      </c>
      <c r="G14" s="63">
        <f>Calc_Financing_Ops!G29</f>
        <v/>
      </c>
      <c r="H14" s="63">
        <f>Calc_Financing_Ops!H29</f>
        <v/>
      </c>
      <c r="I14" s="63">
        <f>Calc_Financing_Ops!I29</f>
        <v/>
      </c>
      <c r="J14" s="63">
        <f>Calc_Financing_Ops!J29</f>
        <v/>
      </c>
      <c r="K14" s="63">
        <f>Calc_Financing_Ops!K29</f>
        <v/>
      </c>
      <c r="L14" s="63">
        <f>Calc_Financing_Ops!L29</f>
        <v/>
      </c>
      <c r="M14" s="63">
        <f>Calc_Financing_Ops!M29</f>
        <v/>
      </c>
      <c r="N14" s="63">
        <f>Calc_Financing_Ops!N29</f>
        <v/>
      </c>
      <c r="O14" s="63">
        <f>Calc_Financing_Ops!O29</f>
        <v/>
      </c>
      <c r="P14" s="63">
        <f>Calc_Financing_Ops!P29</f>
        <v/>
      </c>
      <c r="Q14" s="63">
        <f>Calc_Financing_Ops!Q29</f>
        <v/>
      </c>
      <c r="R14" s="63">
        <f>Calc_Financing_Ops!R29</f>
        <v/>
      </c>
      <c r="S14" s="63">
        <f>Calc_Financing_Ops!S29</f>
        <v/>
      </c>
      <c r="T14" s="63">
        <f>Calc_Financing_Ops!T29</f>
        <v/>
      </c>
      <c r="U14" s="63">
        <f>Calc_Financing_Ops!U29</f>
        <v/>
      </c>
      <c r="V14" s="63">
        <f>Calc_Financing_Ops!V29</f>
        <v/>
      </c>
      <c r="W14" s="63">
        <f>Calc_Financing_Ops!W29</f>
        <v/>
      </c>
      <c r="X14" s="63">
        <f>Calc_Financing_Ops!X29</f>
        <v/>
      </c>
      <c r="Y14" s="63">
        <f>Calc_Financing_Ops!Y29</f>
        <v/>
      </c>
      <c r="Z14" s="63">
        <f>Calc_Financing_Ops!Z29</f>
        <v/>
      </c>
      <c r="AA14" s="63">
        <f>Calc_Financing_Ops!AA29</f>
        <v/>
      </c>
      <c r="AB14" s="63">
        <f>Calc_Financing_Ops!AB29</f>
        <v/>
      </c>
      <c r="AC14" s="63">
        <f>Calc_Financing_Ops!AC29</f>
        <v/>
      </c>
      <c r="AD14" s="63">
        <f>Calc_Financing_Ops!AD29</f>
        <v/>
      </c>
      <c r="AE14" s="63">
        <f>Calc_Financing_Ops!AE29</f>
        <v/>
      </c>
      <c r="AF14" s="63">
        <f>Calc_Financing_Ops!AF29</f>
        <v/>
      </c>
      <c r="AG14" s="63">
        <f>Calc_Financing_Ops!AG29</f>
        <v/>
      </c>
      <c r="AH14" s="63">
        <f>Calc_Financing_Ops!AH29</f>
        <v/>
      </c>
      <c r="AI14" s="63">
        <f>Calc_Financing_Ops!AI29</f>
        <v/>
      </c>
      <c r="AJ14" s="63">
        <f>Calc_Financing_Ops!AJ29</f>
        <v/>
      </c>
      <c r="AK14" s="63">
        <f>Calc_Financing_Ops!AK29</f>
        <v/>
      </c>
      <c r="AL14" s="63">
        <f>Calc_Financing_Ops!AL29</f>
        <v/>
      </c>
      <c r="AM14" s="63">
        <f>Calc_Financing_Ops!AM29</f>
        <v/>
      </c>
      <c r="AN14" s="63">
        <f>Calc_Financing_Ops!AN29</f>
        <v/>
      </c>
      <c r="AO14" s="63">
        <f>Calc_Financing_Ops!AO29</f>
        <v/>
      </c>
      <c r="AP14" s="63">
        <f>Calc_Financing_Ops!AP29</f>
        <v/>
      </c>
      <c r="AQ14" s="63">
        <f>Calc_Financing_Ops!AQ29</f>
        <v/>
      </c>
      <c r="AR14" s="63">
        <f>Calc_Financing_Ops!AR29</f>
        <v/>
      </c>
      <c r="AS14" s="63">
        <f>Calc_Financing_Ops!AS29</f>
        <v/>
      </c>
      <c r="AT14" s="63">
        <f>Calc_Financing_Ops!AT29</f>
        <v/>
      </c>
      <c r="AU14" s="63">
        <f>Calc_Financing_Ops!AU29</f>
        <v/>
      </c>
      <c r="AV14" s="63">
        <f>Calc_Financing_Ops!AV29</f>
        <v/>
      </c>
      <c r="AW14" s="63">
        <f>Calc_Financing_Ops!AW29</f>
        <v/>
      </c>
      <c r="AX14" s="63">
        <f>Calc_Financing_Ops!AX29</f>
        <v/>
      </c>
      <c r="AY14" s="63">
        <f>Calc_Financing_Ops!AY29</f>
        <v/>
      </c>
      <c r="AZ14" s="63">
        <f>Calc_Financing_Ops!AZ29</f>
        <v/>
      </c>
      <c r="BA14" s="63">
        <f>Calc_Financing_Ops!BA29</f>
        <v/>
      </c>
      <c r="BB14" s="63">
        <f>Calc_Financing_Ops!BB29</f>
        <v/>
      </c>
      <c r="BC14" s="63">
        <f>Calc_Financing_Ops!BC29</f>
        <v/>
      </c>
      <c r="BD14" s="63">
        <f>Calc_Financing_Ops!BD29</f>
        <v/>
      </c>
      <c r="BE14" s="63">
        <f>Calc_Financing_Ops!BE29</f>
        <v/>
      </c>
      <c r="BF14" s="63">
        <f>Calc_Financing_Ops!BF29</f>
        <v/>
      </c>
      <c r="BG14" s="63">
        <f>Calc_Financing_Ops!BG29</f>
        <v/>
      </c>
      <c r="BH14" s="63">
        <f>Calc_Financing_Ops!BH29</f>
        <v/>
      </c>
      <c r="BI14" s="63">
        <f>Calc_Financing_Ops!BI29</f>
        <v/>
      </c>
      <c r="BJ14" s="63">
        <f>Calc_Financing_Ops!BJ29</f>
        <v/>
      </c>
      <c r="BK14" s="63">
        <f>Calc_Financing_Ops!BK29</f>
        <v/>
      </c>
      <c r="BL14" s="63">
        <f>Calc_Financing_Ops!BL29</f>
        <v/>
      </c>
      <c r="BM14" s="63">
        <f>Calc_Financing_Ops!BM29</f>
        <v/>
      </c>
      <c r="BN14" s="63">
        <f>Calc_Financing_Ops!BN29</f>
        <v/>
      </c>
      <c r="BO14" s="63">
        <f>Calc_Financing_Ops!BO29</f>
        <v/>
      </c>
      <c r="BP14" s="63">
        <f>Calc_Financing_Ops!BP29</f>
        <v/>
      </c>
      <c r="BQ14" s="63">
        <f>Calc_Financing_Ops!BQ29</f>
        <v/>
      </c>
      <c r="BR14" s="63">
        <f>Calc_Financing_Ops!BR29</f>
        <v/>
      </c>
      <c r="BS14" s="63">
        <f>Calc_Financing_Ops!BS29</f>
        <v/>
      </c>
      <c r="BT14" s="63">
        <f>Calc_Financing_Ops!BT29</f>
        <v/>
      </c>
      <c r="BU14" s="63">
        <f>Calc_Financing_Ops!BU29</f>
        <v/>
      </c>
      <c r="BV14" s="63">
        <f>Calc_Financing_Ops!BV29</f>
        <v/>
      </c>
      <c r="BW14" s="63">
        <f>Calc_Financing_Ops!BW29</f>
        <v/>
      </c>
      <c r="BX14" s="63">
        <f>Calc_Financing_Ops!BX29</f>
        <v/>
      </c>
      <c r="BY14" s="63">
        <f>Calc_Financing_Ops!BY29</f>
        <v/>
      </c>
      <c r="BZ14" s="63">
        <f>Calc_Financing_Ops!BZ29</f>
        <v/>
      </c>
      <c r="CA14" s="63">
        <f>Calc_Financing_Ops!CA29</f>
        <v/>
      </c>
      <c r="CB14" s="63">
        <f>Calc_Financing_Ops!CB29</f>
        <v/>
      </c>
      <c r="CC14" s="63">
        <f>Calc_Financing_Ops!CC29</f>
        <v/>
      </c>
      <c r="CD14" s="63">
        <f>Calc_Financing_Ops!CD29</f>
        <v/>
      </c>
    </row>
    <row r="15">
      <c r="A15" t="inlineStr">
        <is>
          <t>Net Income ($)</t>
        </is>
      </c>
      <c r="C15" s="84">
        <f>C12-C13-C14</f>
        <v/>
      </c>
      <c r="D15" s="84">
        <f>D12-D13-D14</f>
        <v/>
      </c>
      <c r="E15" s="84">
        <f>E12-E13-E14</f>
        <v/>
      </c>
      <c r="F15" s="84">
        <f>F12-F13-F14</f>
        <v/>
      </c>
      <c r="G15" s="84">
        <f>G12-G13-G14</f>
        <v/>
      </c>
      <c r="H15" s="84">
        <f>H12-H13-H14</f>
        <v/>
      </c>
      <c r="I15" s="84">
        <f>I12-I13-I14</f>
        <v/>
      </c>
      <c r="J15" s="84">
        <f>J12-J13-J14</f>
        <v/>
      </c>
      <c r="K15" s="84">
        <f>K12-K13-K14</f>
        <v/>
      </c>
      <c r="L15" s="84">
        <f>L12-L13-L14</f>
        <v/>
      </c>
      <c r="M15" s="84">
        <f>M12-M13-M14</f>
        <v/>
      </c>
      <c r="N15" s="84">
        <f>N12-N13-N14</f>
        <v/>
      </c>
      <c r="O15" s="84">
        <f>O12-O13-O14</f>
        <v/>
      </c>
      <c r="P15" s="84">
        <f>P12-P13-P14</f>
        <v/>
      </c>
      <c r="Q15" s="84">
        <f>Q12-Q13-Q14</f>
        <v/>
      </c>
      <c r="R15" s="84">
        <f>R12-R13-R14</f>
        <v/>
      </c>
      <c r="S15" s="84">
        <f>S12-S13-S14</f>
        <v/>
      </c>
      <c r="T15" s="84">
        <f>T12-T13-T14</f>
        <v/>
      </c>
      <c r="U15" s="84">
        <f>U12-U13-U14</f>
        <v/>
      </c>
      <c r="V15" s="84">
        <f>V12-V13-V14</f>
        <v/>
      </c>
      <c r="W15" s="84">
        <f>W12-W13-W14</f>
        <v/>
      </c>
      <c r="X15" s="84">
        <f>X12-X13-X14</f>
        <v/>
      </c>
      <c r="Y15" s="84">
        <f>Y12-Y13-Y14</f>
        <v/>
      </c>
      <c r="Z15" s="84">
        <f>Z12-Z13-Z14</f>
        <v/>
      </c>
      <c r="AA15" s="84">
        <f>AA12-AA13-AA14</f>
        <v/>
      </c>
      <c r="AB15" s="84">
        <f>AB12-AB13-AB14</f>
        <v/>
      </c>
      <c r="AC15" s="84">
        <f>AC12-AC13-AC14</f>
        <v/>
      </c>
      <c r="AD15" s="84">
        <f>AD12-AD13-AD14</f>
        <v/>
      </c>
      <c r="AE15" s="84">
        <f>AE12-AE13-AE14</f>
        <v/>
      </c>
      <c r="AF15" s="84">
        <f>AF12-AF13-AF14</f>
        <v/>
      </c>
      <c r="AG15" s="84">
        <f>AG12-AG13-AG14</f>
        <v/>
      </c>
      <c r="AH15" s="84">
        <f>AH12-AH13-AH14</f>
        <v/>
      </c>
      <c r="AI15" s="84">
        <f>AI12-AI13-AI14</f>
        <v/>
      </c>
      <c r="AJ15" s="84">
        <f>AJ12-AJ13-AJ14</f>
        <v/>
      </c>
      <c r="AK15" s="84">
        <f>AK12-AK13-AK14</f>
        <v/>
      </c>
      <c r="AL15" s="84">
        <f>AL12-AL13-AL14</f>
        <v/>
      </c>
      <c r="AM15" s="84">
        <f>AM12-AM13-AM14</f>
        <v/>
      </c>
      <c r="AN15" s="84">
        <f>AN12-AN13-AN14</f>
        <v/>
      </c>
      <c r="AO15" s="84">
        <f>AO12-AO13-AO14</f>
        <v/>
      </c>
      <c r="AP15" s="84">
        <f>AP12-AP13-AP14</f>
        <v/>
      </c>
      <c r="AQ15" s="84">
        <f>AQ12-AQ13-AQ14</f>
        <v/>
      </c>
      <c r="AR15" s="84">
        <f>AR12-AR13-AR14</f>
        <v/>
      </c>
      <c r="AS15" s="84">
        <f>AS12-AS13-AS14</f>
        <v/>
      </c>
      <c r="AT15" s="84">
        <f>AT12-AT13-AT14</f>
        <v/>
      </c>
      <c r="AU15" s="84">
        <f>AU12-AU13-AU14</f>
        <v/>
      </c>
      <c r="AV15" s="84">
        <f>AV12-AV13-AV14</f>
        <v/>
      </c>
      <c r="AW15" s="84">
        <f>AW12-AW13-AW14</f>
        <v/>
      </c>
      <c r="AX15" s="84">
        <f>AX12-AX13-AX14</f>
        <v/>
      </c>
      <c r="AY15" s="84">
        <f>AY12-AY13-AY14</f>
        <v/>
      </c>
      <c r="AZ15" s="84">
        <f>AZ12-AZ13-AZ14</f>
        <v/>
      </c>
      <c r="BA15" s="84">
        <f>BA12-BA13-BA14</f>
        <v/>
      </c>
      <c r="BB15" s="84">
        <f>BB12-BB13-BB14</f>
        <v/>
      </c>
      <c r="BC15" s="84">
        <f>BC12-BC13-BC14</f>
        <v/>
      </c>
      <c r="BD15" s="84">
        <f>BD12-BD13-BD14</f>
        <v/>
      </c>
      <c r="BE15" s="84">
        <f>BE12-BE13-BE14</f>
        <v/>
      </c>
      <c r="BF15" s="84">
        <f>BF12-BF13-BF14</f>
        <v/>
      </c>
      <c r="BG15" s="84">
        <f>BG12-BG13-BG14</f>
        <v/>
      </c>
      <c r="BH15" s="84">
        <f>BH12-BH13-BH14</f>
        <v/>
      </c>
      <c r="BI15" s="84">
        <f>BI12-BI13-BI14</f>
        <v/>
      </c>
      <c r="BJ15" s="84">
        <f>BJ12-BJ13-BJ14</f>
        <v/>
      </c>
      <c r="BK15" s="84">
        <f>BK12-BK13-BK14</f>
        <v/>
      </c>
      <c r="BL15" s="84">
        <f>BL12-BL13-BL14</f>
        <v/>
      </c>
      <c r="BM15" s="84">
        <f>BM12-BM13-BM14</f>
        <v/>
      </c>
      <c r="BN15" s="84">
        <f>BN12-BN13-BN14</f>
        <v/>
      </c>
      <c r="BO15" s="84">
        <f>BO12-BO13-BO14</f>
        <v/>
      </c>
      <c r="BP15" s="84">
        <f>BP12-BP13-BP14</f>
        <v/>
      </c>
      <c r="BQ15" s="84">
        <f>BQ12-BQ13-BQ14</f>
        <v/>
      </c>
      <c r="BR15" s="84">
        <f>BR12-BR13-BR14</f>
        <v/>
      </c>
      <c r="BS15" s="84">
        <f>BS12-BS13-BS14</f>
        <v/>
      </c>
      <c r="BT15" s="84">
        <f>BT12-BT13-BT14</f>
        <v/>
      </c>
      <c r="BU15" s="84">
        <f>BU12-BU13-BU14</f>
        <v/>
      </c>
      <c r="BV15" s="84">
        <f>BV12-BV13-BV14</f>
        <v/>
      </c>
      <c r="BW15" s="84">
        <f>BW12-BW13-BW14</f>
        <v/>
      </c>
      <c r="BX15" s="84">
        <f>BX12-BX13-BX14</f>
        <v/>
      </c>
      <c r="BY15" s="84">
        <f>BY12-BY13-BY14</f>
        <v/>
      </c>
      <c r="BZ15" s="84">
        <f>BZ12-BZ13-BZ14</f>
        <v/>
      </c>
      <c r="CA15" s="84">
        <f>CA12-CA13-CA14</f>
        <v/>
      </c>
      <c r="CB15" s="84">
        <f>CB12-CB13-CB14</f>
        <v/>
      </c>
      <c r="CC15" s="84">
        <f>CC12-CC13-CC14</f>
        <v/>
      </c>
      <c r="CD15" s="84">
        <f>CD12-CD13-CD14</f>
        <v/>
      </c>
    </row>
    <row r="17">
      <c r="A17" s="98" t="inlineStr">
        <is>
          <t>CASH FLOW STATEMENT — INDIRECT METHOD</t>
        </is>
      </c>
    </row>
    <row r="18">
      <c r="A18" t="inlineStr">
        <is>
          <t>Net Income ($)</t>
        </is>
      </c>
      <c r="C18" s="84">
        <f>C15</f>
        <v/>
      </c>
      <c r="D18" s="84">
        <f>D15</f>
        <v/>
      </c>
      <c r="E18" s="84">
        <f>E15</f>
        <v/>
      </c>
      <c r="F18" s="84">
        <f>F15</f>
        <v/>
      </c>
      <c r="G18" s="84">
        <f>G15</f>
        <v/>
      </c>
      <c r="H18" s="84">
        <f>H15</f>
        <v/>
      </c>
      <c r="I18" s="84">
        <f>I15</f>
        <v/>
      </c>
      <c r="J18" s="84">
        <f>J15</f>
        <v/>
      </c>
      <c r="K18" s="84">
        <f>K15</f>
        <v/>
      </c>
      <c r="L18" s="84">
        <f>L15</f>
        <v/>
      </c>
      <c r="M18" s="84">
        <f>M15</f>
        <v/>
      </c>
      <c r="N18" s="84">
        <f>N15</f>
        <v/>
      </c>
      <c r="O18" s="84">
        <f>O15</f>
        <v/>
      </c>
      <c r="P18" s="84">
        <f>P15</f>
        <v/>
      </c>
      <c r="Q18" s="84">
        <f>Q15</f>
        <v/>
      </c>
      <c r="R18" s="84">
        <f>R15</f>
        <v/>
      </c>
      <c r="S18" s="84">
        <f>S15</f>
        <v/>
      </c>
      <c r="T18" s="84">
        <f>T15</f>
        <v/>
      </c>
      <c r="U18" s="84">
        <f>U15</f>
        <v/>
      </c>
      <c r="V18" s="84">
        <f>V15</f>
        <v/>
      </c>
      <c r="W18" s="84">
        <f>W15</f>
        <v/>
      </c>
      <c r="X18" s="84">
        <f>X15</f>
        <v/>
      </c>
      <c r="Y18" s="84">
        <f>Y15</f>
        <v/>
      </c>
      <c r="Z18" s="84">
        <f>Z15</f>
        <v/>
      </c>
      <c r="AA18" s="84">
        <f>AA15</f>
        <v/>
      </c>
      <c r="AB18" s="84">
        <f>AB15</f>
        <v/>
      </c>
      <c r="AC18" s="84">
        <f>AC15</f>
        <v/>
      </c>
      <c r="AD18" s="84">
        <f>AD15</f>
        <v/>
      </c>
      <c r="AE18" s="84">
        <f>AE15</f>
        <v/>
      </c>
      <c r="AF18" s="84">
        <f>AF15</f>
        <v/>
      </c>
      <c r="AG18" s="84">
        <f>AG15</f>
        <v/>
      </c>
      <c r="AH18" s="84">
        <f>AH15</f>
        <v/>
      </c>
      <c r="AI18" s="84">
        <f>AI15</f>
        <v/>
      </c>
      <c r="AJ18" s="84">
        <f>AJ15</f>
        <v/>
      </c>
      <c r="AK18" s="84">
        <f>AK15</f>
        <v/>
      </c>
      <c r="AL18" s="84">
        <f>AL15</f>
        <v/>
      </c>
      <c r="AM18" s="84">
        <f>AM15</f>
        <v/>
      </c>
      <c r="AN18" s="84">
        <f>AN15</f>
        <v/>
      </c>
      <c r="AO18" s="84">
        <f>AO15</f>
        <v/>
      </c>
      <c r="AP18" s="84">
        <f>AP15</f>
        <v/>
      </c>
      <c r="AQ18" s="84">
        <f>AQ15</f>
        <v/>
      </c>
      <c r="AR18" s="84">
        <f>AR15</f>
        <v/>
      </c>
      <c r="AS18" s="84">
        <f>AS15</f>
        <v/>
      </c>
      <c r="AT18" s="84">
        <f>AT15</f>
        <v/>
      </c>
      <c r="AU18" s="84">
        <f>AU15</f>
        <v/>
      </c>
      <c r="AV18" s="84">
        <f>AV15</f>
        <v/>
      </c>
      <c r="AW18" s="84">
        <f>AW15</f>
        <v/>
      </c>
      <c r="AX18" s="84">
        <f>AX15</f>
        <v/>
      </c>
      <c r="AY18" s="84">
        <f>AY15</f>
        <v/>
      </c>
      <c r="AZ18" s="84">
        <f>AZ15</f>
        <v/>
      </c>
      <c r="BA18" s="84">
        <f>BA15</f>
        <v/>
      </c>
      <c r="BB18" s="84">
        <f>BB15</f>
        <v/>
      </c>
      <c r="BC18" s="84">
        <f>BC15</f>
        <v/>
      </c>
      <c r="BD18" s="84">
        <f>BD15</f>
        <v/>
      </c>
      <c r="BE18" s="84">
        <f>BE15</f>
        <v/>
      </c>
      <c r="BF18" s="84">
        <f>BF15</f>
        <v/>
      </c>
      <c r="BG18" s="84">
        <f>BG15</f>
        <v/>
      </c>
      <c r="BH18" s="84">
        <f>BH15</f>
        <v/>
      </c>
      <c r="BI18" s="84">
        <f>BI15</f>
        <v/>
      </c>
      <c r="BJ18" s="84">
        <f>BJ15</f>
        <v/>
      </c>
      <c r="BK18" s="84">
        <f>BK15</f>
        <v/>
      </c>
      <c r="BL18" s="84">
        <f>BL15</f>
        <v/>
      </c>
      <c r="BM18" s="84">
        <f>BM15</f>
        <v/>
      </c>
      <c r="BN18" s="84">
        <f>BN15</f>
        <v/>
      </c>
      <c r="BO18" s="84">
        <f>BO15</f>
        <v/>
      </c>
      <c r="BP18" s="84">
        <f>BP15</f>
        <v/>
      </c>
      <c r="BQ18" s="84">
        <f>BQ15</f>
        <v/>
      </c>
      <c r="BR18" s="84">
        <f>BR15</f>
        <v/>
      </c>
      <c r="BS18" s="84">
        <f>BS15</f>
        <v/>
      </c>
      <c r="BT18" s="84">
        <f>BT15</f>
        <v/>
      </c>
      <c r="BU18" s="84">
        <f>BU15</f>
        <v/>
      </c>
      <c r="BV18" s="84">
        <f>BV15</f>
        <v/>
      </c>
      <c r="BW18" s="84">
        <f>BW15</f>
        <v/>
      </c>
      <c r="BX18" s="84">
        <f>BX15</f>
        <v/>
      </c>
      <c r="BY18" s="84">
        <f>BY15</f>
        <v/>
      </c>
      <c r="BZ18" s="84">
        <f>BZ15</f>
        <v/>
      </c>
      <c r="CA18" s="84">
        <f>CA15</f>
        <v/>
      </c>
      <c r="CB18" s="84">
        <f>CB15</f>
        <v/>
      </c>
      <c r="CC18" s="84">
        <f>CC15</f>
        <v/>
      </c>
      <c r="CD18" s="84">
        <f>CD15</f>
        <v/>
      </c>
    </row>
    <row r="19">
      <c r="A19" t="inlineStr">
        <is>
          <t>Add back: Depreciation ($)</t>
        </is>
      </c>
      <c r="C19" s="84">
        <f>C9</f>
        <v/>
      </c>
      <c r="D19" s="84">
        <f>D9</f>
        <v/>
      </c>
      <c r="E19" s="84">
        <f>E9</f>
        <v/>
      </c>
      <c r="F19" s="84">
        <f>F9</f>
        <v/>
      </c>
      <c r="G19" s="84">
        <f>G9</f>
        <v/>
      </c>
      <c r="H19" s="84">
        <f>H9</f>
        <v/>
      </c>
      <c r="I19" s="84">
        <f>I9</f>
        <v/>
      </c>
      <c r="J19" s="84">
        <f>J9</f>
        <v/>
      </c>
      <c r="K19" s="84">
        <f>K9</f>
        <v/>
      </c>
      <c r="L19" s="84">
        <f>L9</f>
        <v/>
      </c>
      <c r="M19" s="84">
        <f>M9</f>
        <v/>
      </c>
      <c r="N19" s="84">
        <f>N9</f>
        <v/>
      </c>
      <c r="O19" s="84">
        <f>O9</f>
        <v/>
      </c>
      <c r="P19" s="84">
        <f>P9</f>
        <v/>
      </c>
      <c r="Q19" s="84">
        <f>Q9</f>
        <v/>
      </c>
      <c r="R19" s="84">
        <f>R9</f>
        <v/>
      </c>
      <c r="S19" s="84">
        <f>S9</f>
        <v/>
      </c>
      <c r="T19" s="84">
        <f>T9</f>
        <v/>
      </c>
      <c r="U19" s="84">
        <f>U9</f>
        <v/>
      </c>
      <c r="V19" s="84">
        <f>V9</f>
        <v/>
      </c>
      <c r="W19" s="84">
        <f>W9</f>
        <v/>
      </c>
      <c r="X19" s="84">
        <f>X9</f>
        <v/>
      </c>
      <c r="Y19" s="84">
        <f>Y9</f>
        <v/>
      </c>
      <c r="Z19" s="84">
        <f>Z9</f>
        <v/>
      </c>
      <c r="AA19" s="84">
        <f>AA9</f>
        <v/>
      </c>
      <c r="AB19" s="84">
        <f>AB9</f>
        <v/>
      </c>
      <c r="AC19" s="84">
        <f>AC9</f>
        <v/>
      </c>
      <c r="AD19" s="84">
        <f>AD9</f>
        <v/>
      </c>
      <c r="AE19" s="84">
        <f>AE9</f>
        <v/>
      </c>
      <c r="AF19" s="84">
        <f>AF9</f>
        <v/>
      </c>
      <c r="AG19" s="84">
        <f>AG9</f>
        <v/>
      </c>
      <c r="AH19" s="84">
        <f>AH9</f>
        <v/>
      </c>
      <c r="AI19" s="84">
        <f>AI9</f>
        <v/>
      </c>
      <c r="AJ19" s="84">
        <f>AJ9</f>
        <v/>
      </c>
      <c r="AK19" s="84">
        <f>AK9</f>
        <v/>
      </c>
      <c r="AL19" s="84">
        <f>AL9</f>
        <v/>
      </c>
      <c r="AM19" s="84">
        <f>AM9</f>
        <v/>
      </c>
      <c r="AN19" s="84">
        <f>AN9</f>
        <v/>
      </c>
      <c r="AO19" s="84">
        <f>AO9</f>
        <v/>
      </c>
      <c r="AP19" s="84">
        <f>AP9</f>
        <v/>
      </c>
      <c r="AQ19" s="84">
        <f>AQ9</f>
        <v/>
      </c>
      <c r="AR19" s="84">
        <f>AR9</f>
        <v/>
      </c>
      <c r="AS19" s="84">
        <f>AS9</f>
        <v/>
      </c>
      <c r="AT19" s="84">
        <f>AT9</f>
        <v/>
      </c>
      <c r="AU19" s="84">
        <f>AU9</f>
        <v/>
      </c>
      <c r="AV19" s="84">
        <f>AV9</f>
        <v/>
      </c>
      <c r="AW19" s="84">
        <f>AW9</f>
        <v/>
      </c>
      <c r="AX19" s="84">
        <f>AX9</f>
        <v/>
      </c>
      <c r="AY19" s="84">
        <f>AY9</f>
        <v/>
      </c>
      <c r="AZ19" s="84">
        <f>AZ9</f>
        <v/>
      </c>
      <c r="BA19" s="84">
        <f>BA9</f>
        <v/>
      </c>
      <c r="BB19" s="84">
        <f>BB9</f>
        <v/>
      </c>
      <c r="BC19" s="84">
        <f>BC9</f>
        <v/>
      </c>
      <c r="BD19" s="84">
        <f>BD9</f>
        <v/>
      </c>
      <c r="BE19" s="84">
        <f>BE9</f>
        <v/>
      </c>
      <c r="BF19" s="84">
        <f>BF9</f>
        <v/>
      </c>
      <c r="BG19" s="84">
        <f>BG9</f>
        <v/>
      </c>
      <c r="BH19" s="84">
        <f>BH9</f>
        <v/>
      </c>
      <c r="BI19" s="84">
        <f>BI9</f>
        <v/>
      </c>
      <c r="BJ19" s="84">
        <f>BJ9</f>
        <v/>
      </c>
      <c r="BK19" s="84">
        <f>BK9</f>
        <v/>
      </c>
      <c r="BL19" s="84">
        <f>BL9</f>
        <v/>
      </c>
      <c r="BM19" s="84">
        <f>BM9</f>
        <v/>
      </c>
      <c r="BN19" s="84">
        <f>BN9</f>
        <v/>
      </c>
      <c r="BO19" s="84">
        <f>BO9</f>
        <v/>
      </c>
      <c r="BP19" s="84">
        <f>BP9</f>
        <v/>
      </c>
      <c r="BQ19" s="84">
        <f>BQ9</f>
        <v/>
      </c>
      <c r="BR19" s="84">
        <f>BR9</f>
        <v/>
      </c>
      <c r="BS19" s="84">
        <f>BS9</f>
        <v/>
      </c>
      <c r="BT19" s="84">
        <f>BT9</f>
        <v/>
      </c>
      <c r="BU19" s="84">
        <f>BU9</f>
        <v/>
      </c>
      <c r="BV19" s="84">
        <f>BV9</f>
        <v/>
      </c>
      <c r="BW19" s="84">
        <f>BW9</f>
        <v/>
      </c>
      <c r="BX19" s="84">
        <f>BX9</f>
        <v/>
      </c>
      <c r="BY19" s="84">
        <f>BY9</f>
        <v/>
      </c>
      <c r="BZ19" s="84">
        <f>BZ9</f>
        <v/>
      </c>
      <c r="CA19" s="84">
        <f>CA9</f>
        <v/>
      </c>
      <c r="CB19" s="84">
        <f>CB9</f>
        <v/>
      </c>
      <c r="CC19" s="84">
        <f>CC9</f>
        <v/>
      </c>
      <c r="CD19" s="84">
        <f>CD9</f>
        <v/>
      </c>
    </row>
    <row r="20">
      <c r="A20" t="inlineStr">
        <is>
          <t>Change in Working Capital ($) — placeholder; no AR/AP/inventory modelled (Phase 2/3 scope)</t>
        </is>
      </c>
      <c r="C20" s="85" t="n">
        <v>0</v>
      </c>
      <c r="D20" s="85" t="n">
        <v>0</v>
      </c>
      <c r="E20" s="85" t="n">
        <v>0</v>
      </c>
      <c r="F20" s="85" t="n">
        <v>0</v>
      </c>
      <c r="G20" s="85" t="n">
        <v>0</v>
      </c>
      <c r="H20" s="85" t="n">
        <v>0</v>
      </c>
      <c r="I20" s="85" t="n">
        <v>0</v>
      </c>
      <c r="J20" s="85" t="n">
        <v>0</v>
      </c>
      <c r="K20" s="85" t="n">
        <v>0</v>
      </c>
      <c r="L20" s="85" t="n">
        <v>0</v>
      </c>
      <c r="M20" s="85" t="n">
        <v>0</v>
      </c>
      <c r="N20" s="85" t="n">
        <v>0</v>
      </c>
      <c r="O20" s="85" t="n">
        <v>0</v>
      </c>
      <c r="P20" s="85" t="n">
        <v>0</v>
      </c>
      <c r="Q20" s="85" t="n">
        <v>0</v>
      </c>
      <c r="R20" s="85" t="n">
        <v>0</v>
      </c>
      <c r="S20" s="85" t="n">
        <v>0</v>
      </c>
      <c r="T20" s="85" t="n">
        <v>0</v>
      </c>
      <c r="U20" s="85" t="n">
        <v>0</v>
      </c>
      <c r="V20" s="85" t="n">
        <v>0</v>
      </c>
      <c r="W20" s="85" t="n">
        <v>0</v>
      </c>
      <c r="X20" s="85" t="n">
        <v>0</v>
      </c>
      <c r="Y20" s="85" t="n">
        <v>0</v>
      </c>
      <c r="Z20" s="85" t="n">
        <v>0</v>
      </c>
      <c r="AA20" s="85" t="n">
        <v>0</v>
      </c>
      <c r="AB20" s="85" t="n">
        <v>0</v>
      </c>
      <c r="AC20" s="85" t="n">
        <v>0</v>
      </c>
      <c r="AD20" s="85" t="n">
        <v>0</v>
      </c>
      <c r="AE20" s="85" t="n">
        <v>0</v>
      </c>
      <c r="AF20" s="85" t="n">
        <v>0</v>
      </c>
      <c r="AG20" s="85" t="n">
        <v>0</v>
      </c>
      <c r="AH20" s="85" t="n">
        <v>0</v>
      </c>
      <c r="AI20" s="85" t="n">
        <v>0</v>
      </c>
      <c r="AJ20" s="85" t="n">
        <v>0</v>
      </c>
      <c r="AK20" s="85" t="n">
        <v>0</v>
      </c>
      <c r="AL20" s="85" t="n">
        <v>0</v>
      </c>
      <c r="AM20" s="85" t="n">
        <v>0</v>
      </c>
      <c r="AN20" s="85" t="n">
        <v>0</v>
      </c>
      <c r="AO20" s="85" t="n">
        <v>0</v>
      </c>
      <c r="AP20" s="85" t="n">
        <v>0</v>
      </c>
      <c r="AQ20" s="85" t="n">
        <v>0</v>
      </c>
      <c r="AR20" s="85" t="n">
        <v>0</v>
      </c>
      <c r="AS20" s="85" t="n">
        <v>0</v>
      </c>
      <c r="AT20" s="85" t="n">
        <v>0</v>
      </c>
      <c r="AU20" s="85" t="n">
        <v>0</v>
      </c>
      <c r="AV20" s="85" t="n">
        <v>0</v>
      </c>
      <c r="AW20" s="85" t="n">
        <v>0</v>
      </c>
      <c r="AX20" s="85" t="n">
        <v>0</v>
      </c>
      <c r="AY20" s="85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5" t="n">
        <v>0</v>
      </c>
      <c r="BE20" s="85" t="n">
        <v>0</v>
      </c>
      <c r="BF20" s="85" t="n">
        <v>0</v>
      </c>
      <c r="BG20" s="85" t="n">
        <v>0</v>
      </c>
      <c r="BH20" s="85" t="n">
        <v>0</v>
      </c>
      <c r="BI20" s="85" t="n">
        <v>0</v>
      </c>
      <c r="BJ20" s="85" t="n">
        <v>0</v>
      </c>
      <c r="BK20" s="85" t="n">
        <v>0</v>
      </c>
      <c r="BL20" s="85" t="n">
        <v>0</v>
      </c>
      <c r="BM20" s="85" t="n">
        <v>0</v>
      </c>
      <c r="BN20" s="85" t="n">
        <v>0</v>
      </c>
      <c r="BO20" s="85" t="n">
        <v>0</v>
      </c>
      <c r="BP20" s="85" t="n">
        <v>0</v>
      </c>
      <c r="BQ20" s="85" t="n">
        <v>0</v>
      </c>
      <c r="BR20" s="85" t="n">
        <v>0</v>
      </c>
      <c r="BS20" s="85" t="n">
        <v>0</v>
      </c>
      <c r="BT20" s="85" t="n">
        <v>0</v>
      </c>
      <c r="BU20" s="85" t="n">
        <v>0</v>
      </c>
      <c r="BV20" s="85" t="n">
        <v>0</v>
      </c>
      <c r="BW20" s="85" t="n">
        <v>0</v>
      </c>
      <c r="BX20" s="85" t="n">
        <v>0</v>
      </c>
      <c r="BY20" s="85" t="n">
        <v>0</v>
      </c>
      <c r="BZ20" s="85" t="n">
        <v>0</v>
      </c>
      <c r="CA20" s="85" t="n">
        <v>0</v>
      </c>
      <c r="CB20" s="85" t="n">
        <v>0</v>
      </c>
      <c r="CC20" s="85" t="n">
        <v>0</v>
      </c>
      <c r="CD20" s="85" t="n">
        <v>0</v>
      </c>
    </row>
    <row r="21">
      <c r="A21" t="inlineStr">
        <is>
          <t>Cash Flow from Operations ($)</t>
        </is>
      </c>
      <c r="C21" s="84">
        <f>C18+C19+C20</f>
        <v/>
      </c>
      <c r="D21" s="84">
        <f>D18+D19+D20</f>
        <v/>
      </c>
      <c r="E21" s="84">
        <f>E18+E19+E20</f>
        <v/>
      </c>
      <c r="F21" s="84">
        <f>F18+F19+F20</f>
        <v/>
      </c>
      <c r="G21" s="84">
        <f>G18+G19+G20</f>
        <v/>
      </c>
      <c r="H21" s="84">
        <f>H18+H19+H20</f>
        <v/>
      </c>
      <c r="I21" s="84">
        <f>I18+I19+I20</f>
        <v/>
      </c>
      <c r="J21" s="84">
        <f>J18+J19+J20</f>
        <v/>
      </c>
      <c r="K21" s="84">
        <f>K18+K19+K20</f>
        <v/>
      </c>
      <c r="L21" s="84">
        <f>L18+L19+L20</f>
        <v/>
      </c>
      <c r="M21" s="84">
        <f>M18+M19+M20</f>
        <v/>
      </c>
      <c r="N21" s="84">
        <f>N18+N19+N20</f>
        <v/>
      </c>
      <c r="O21" s="84">
        <f>O18+O19+O20</f>
        <v/>
      </c>
      <c r="P21" s="84">
        <f>P18+P19+P20</f>
        <v/>
      </c>
      <c r="Q21" s="84">
        <f>Q18+Q19+Q20</f>
        <v/>
      </c>
      <c r="R21" s="84">
        <f>R18+R19+R20</f>
        <v/>
      </c>
      <c r="S21" s="84">
        <f>S18+S19+S20</f>
        <v/>
      </c>
      <c r="T21" s="84">
        <f>T18+T19+T20</f>
        <v/>
      </c>
      <c r="U21" s="84">
        <f>U18+U19+U20</f>
        <v/>
      </c>
      <c r="V21" s="84">
        <f>V18+V19+V20</f>
        <v/>
      </c>
      <c r="W21" s="84">
        <f>W18+W19+W20</f>
        <v/>
      </c>
      <c r="X21" s="84">
        <f>X18+X19+X20</f>
        <v/>
      </c>
      <c r="Y21" s="84">
        <f>Y18+Y19+Y20</f>
        <v/>
      </c>
      <c r="Z21" s="84">
        <f>Z18+Z19+Z20</f>
        <v/>
      </c>
      <c r="AA21" s="84">
        <f>AA18+AA19+AA20</f>
        <v/>
      </c>
      <c r="AB21" s="84">
        <f>AB18+AB19+AB20</f>
        <v/>
      </c>
      <c r="AC21" s="84">
        <f>AC18+AC19+AC20</f>
        <v/>
      </c>
      <c r="AD21" s="84">
        <f>AD18+AD19+AD20</f>
        <v/>
      </c>
      <c r="AE21" s="84">
        <f>AE18+AE19+AE20</f>
        <v/>
      </c>
      <c r="AF21" s="84">
        <f>AF18+AF19+AF20</f>
        <v/>
      </c>
      <c r="AG21" s="84">
        <f>AG18+AG19+AG20</f>
        <v/>
      </c>
      <c r="AH21" s="84">
        <f>AH18+AH19+AH20</f>
        <v/>
      </c>
      <c r="AI21" s="84">
        <f>AI18+AI19+AI20</f>
        <v/>
      </c>
      <c r="AJ21" s="84">
        <f>AJ18+AJ19+AJ20</f>
        <v/>
      </c>
      <c r="AK21" s="84">
        <f>AK18+AK19+AK20</f>
        <v/>
      </c>
      <c r="AL21" s="84">
        <f>AL18+AL19+AL20</f>
        <v/>
      </c>
      <c r="AM21" s="84">
        <f>AM18+AM19+AM20</f>
        <v/>
      </c>
      <c r="AN21" s="84">
        <f>AN18+AN19+AN20</f>
        <v/>
      </c>
      <c r="AO21" s="84">
        <f>AO18+AO19+AO20</f>
        <v/>
      </c>
      <c r="AP21" s="84">
        <f>AP18+AP19+AP20</f>
        <v/>
      </c>
      <c r="AQ21" s="84">
        <f>AQ18+AQ19+AQ20</f>
        <v/>
      </c>
      <c r="AR21" s="84">
        <f>AR18+AR19+AR20</f>
        <v/>
      </c>
      <c r="AS21" s="84">
        <f>AS18+AS19+AS20</f>
        <v/>
      </c>
      <c r="AT21" s="84">
        <f>AT18+AT19+AT20</f>
        <v/>
      </c>
      <c r="AU21" s="84">
        <f>AU18+AU19+AU20</f>
        <v/>
      </c>
      <c r="AV21" s="84">
        <f>AV18+AV19+AV20</f>
        <v/>
      </c>
      <c r="AW21" s="84">
        <f>AW18+AW19+AW20</f>
        <v/>
      </c>
      <c r="AX21" s="84">
        <f>AX18+AX19+AX20</f>
        <v/>
      </c>
      <c r="AY21" s="84">
        <f>AY18+AY19+AY20</f>
        <v/>
      </c>
      <c r="AZ21" s="84">
        <f>AZ18+AZ19+AZ20</f>
        <v/>
      </c>
      <c r="BA21" s="84">
        <f>BA18+BA19+BA20</f>
        <v/>
      </c>
      <c r="BB21" s="84">
        <f>BB18+BB19+BB20</f>
        <v/>
      </c>
      <c r="BC21" s="84">
        <f>BC18+BC19+BC20</f>
        <v/>
      </c>
      <c r="BD21" s="84">
        <f>BD18+BD19+BD20</f>
        <v/>
      </c>
      <c r="BE21" s="84">
        <f>BE18+BE19+BE20</f>
        <v/>
      </c>
      <c r="BF21" s="84">
        <f>BF18+BF19+BF20</f>
        <v/>
      </c>
      <c r="BG21" s="84">
        <f>BG18+BG19+BG20</f>
        <v/>
      </c>
      <c r="BH21" s="84">
        <f>BH18+BH19+BH20</f>
        <v/>
      </c>
      <c r="BI21" s="84">
        <f>BI18+BI19+BI20</f>
        <v/>
      </c>
      <c r="BJ21" s="84">
        <f>BJ18+BJ19+BJ20</f>
        <v/>
      </c>
      <c r="BK21" s="84">
        <f>BK18+BK19+BK20</f>
        <v/>
      </c>
      <c r="BL21" s="84">
        <f>BL18+BL19+BL20</f>
        <v/>
      </c>
      <c r="BM21" s="84">
        <f>BM18+BM19+BM20</f>
        <v/>
      </c>
      <c r="BN21" s="84">
        <f>BN18+BN19+BN20</f>
        <v/>
      </c>
      <c r="BO21" s="84">
        <f>BO18+BO19+BO20</f>
        <v/>
      </c>
      <c r="BP21" s="84">
        <f>BP18+BP19+BP20</f>
        <v/>
      </c>
      <c r="BQ21" s="84">
        <f>BQ18+BQ19+BQ20</f>
        <v/>
      </c>
      <c r="BR21" s="84">
        <f>BR18+BR19+BR20</f>
        <v/>
      </c>
      <c r="BS21" s="84">
        <f>BS18+BS19+BS20</f>
        <v/>
      </c>
      <c r="BT21" s="84">
        <f>BT18+BT19+BT20</f>
        <v/>
      </c>
      <c r="BU21" s="84">
        <f>BU18+BU19+BU20</f>
        <v/>
      </c>
      <c r="BV21" s="84">
        <f>BV18+BV19+BV20</f>
        <v/>
      </c>
      <c r="BW21" s="84">
        <f>BW18+BW19+BW20</f>
        <v/>
      </c>
      <c r="BX21" s="84">
        <f>BX18+BX19+BX20</f>
        <v/>
      </c>
      <c r="BY21" s="84">
        <f>BY18+BY19+BY20</f>
        <v/>
      </c>
      <c r="BZ21" s="84">
        <f>BZ18+BZ19+BZ20</f>
        <v/>
      </c>
      <c r="CA21" s="84">
        <f>CA18+CA19+CA20</f>
        <v/>
      </c>
      <c r="CB21" s="84">
        <f>CB18+CB19+CB20</f>
        <v/>
      </c>
      <c r="CC21" s="84">
        <f>CC18+CC19+CC20</f>
        <v/>
      </c>
      <c r="CD21" s="84">
        <f>CD18+CD19+CD20</f>
        <v/>
      </c>
    </row>
    <row r="22">
      <c r="A22" t="inlineStr">
        <is>
          <t>Cash Flow from Investing ($) — maintenance capex</t>
        </is>
      </c>
      <c r="C22" s="84">
        <f>-Calc_CFADS!C11</f>
        <v/>
      </c>
      <c r="D22" s="84">
        <f>-Calc_CFADS!D11</f>
        <v/>
      </c>
      <c r="E22" s="84">
        <f>-Calc_CFADS!E11</f>
        <v/>
      </c>
      <c r="F22" s="84">
        <f>-Calc_CFADS!F11</f>
        <v/>
      </c>
      <c r="G22" s="84">
        <f>-Calc_CFADS!G11</f>
        <v/>
      </c>
      <c r="H22" s="84">
        <f>-Calc_CFADS!H11</f>
        <v/>
      </c>
      <c r="I22" s="84">
        <f>-Calc_CFADS!I11</f>
        <v/>
      </c>
      <c r="J22" s="84">
        <f>-Calc_CFADS!J11</f>
        <v/>
      </c>
      <c r="K22" s="84">
        <f>-Calc_CFADS!K11</f>
        <v/>
      </c>
      <c r="L22" s="84">
        <f>-Calc_CFADS!L11</f>
        <v/>
      </c>
      <c r="M22" s="84">
        <f>-Calc_CFADS!M11</f>
        <v/>
      </c>
      <c r="N22" s="84">
        <f>-Calc_CFADS!N11</f>
        <v/>
      </c>
      <c r="O22" s="84">
        <f>-Calc_CFADS!O11</f>
        <v/>
      </c>
      <c r="P22" s="84">
        <f>-Calc_CFADS!P11</f>
        <v/>
      </c>
      <c r="Q22" s="84">
        <f>-Calc_CFADS!Q11</f>
        <v/>
      </c>
      <c r="R22" s="84">
        <f>-Calc_CFADS!R11</f>
        <v/>
      </c>
      <c r="S22" s="84">
        <f>-Calc_CFADS!S11</f>
        <v/>
      </c>
      <c r="T22" s="84">
        <f>-Calc_CFADS!T11</f>
        <v/>
      </c>
      <c r="U22" s="84">
        <f>-Calc_CFADS!U11</f>
        <v/>
      </c>
      <c r="V22" s="84">
        <f>-Calc_CFADS!V11</f>
        <v/>
      </c>
      <c r="W22" s="84">
        <f>-Calc_CFADS!W11</f>
        <v/>
      </c>
      <c r="X22" s="84">
        <f>-Calc_CFADS!X11</f>
        <v/>
      </c>
      <c r="Y22" s="84">
        <f>-Calc_CFADS!Y11</f>
        <v/>
      </c>
      <c r="Z22" s="84">
        <f>-Calc_CFADS!Z11</f>
        <v/>
      </c>
      <c r="AA22" s="84">
        <f>-Calc_CFADS!AA11</f>
        <v/>
      </c>
      <c r="AB22" s="84">
        <f>-Calc_CFADS!AB11</f>
        <v/>
      </c>
      <c r="AC22" s="84">
        <f>-Calc_CFADS!AC11</f>
        <v/>
      </c>
      <c r="AD22" s="84">
        <f>-Calc_CFADS!AD11</f>
        <v/>
      </c>
      <c r="AE22" s="84">
        <f>-Calc_CFADS!AE11</f>
        <v/>
      </c>
      <c r="AF22" s="84">
        <f>-Calc_CFADS!AF11</f>
        <v/>
      </c>
      <c r="AG22" s="84">
        <f>-Calc_CFADS!AG11</f>
        <v/>
      </c>
      <c r="AH22" s="84">
        <f>-Calc_CFADS!AH11</f>
        <v/>
      </c>
      <c r="AI22" s="84">
        <f>-Calc_CFADS!AI11</f>
        <v/>
      </c>
      <c r="AJ22" s="84">
        <f>-Calc_CFADS!AJ11</f>
        <v/>
      </c>
      <c r="AK22" s="84">
        <f>-Calc_CFADS!AK11</f>
        <v/>
      </c>
      <c r="AL22" s="84">
        <f>-Calc_CFADS!AL11</f>
        <v/>
      </c>
      <c r="AM22" s="84">
        <f>-Calc_CFADS!AM11</f>
        <v/>
      </c>
      <c r="AN22" s="84">
        <f>-Calc_CFADS!AN11</f>
        <v/>
      </c>
      <c r="AO22" s="84">
        <f>-Calc_CFADS!AO11</f>
        <v/>
      </c>
      <c r="AP22" s="84">
        <f>-Calc_CFADS!AP11</f>
        <v/>
      </c>
      <c r="AQ22" s="84">
        <f>-Calc_CFADS!AQ11</f>
        <v/>
      </c>
      <c r="AR22" s="84">
        <f>-Calc_CFADS!AR11</f>
        <v/>
      </c>
      <c r="AS22" s="84">
        <f>-Calc_CFADS!AS11</f>
        <v/>
      </c>
      <c r="AT22" s="84">
        <f>-Calc_CFADS!AT11</f>
        <v/>
      </c>
      <c r="AU22" s="84">
        <f>-Calc_CFADS!AU11</f>
        <v/>
      </c>
      <c r="AV22" s="84">
        <f>-Calc_CFADS!AV11</f>
        <v/>
      </c>
      <c r="AW22" s="84">
        <f>-Calc_CFADS!AW11</f>
        <v/>
      </c>
      <c r="AX22" s="84">
        <f>-Calc_CFADS!AX11</f>
        <v/>
      </c>
      <c r="AY22" s="84">
        <f>-Calc_CFADS!AY11</f>
        <v/>
      </c>
      <c r="AZ22" s="84">
        <f>-Calc_CFADS!AZ11</f>
        <v/>
      </c>
      <c r="BA22" s="84">
        <f>-Calc_CFADS!BA11</f>
        <v/>
      </c>
      <c r="BB22" s="84">
        <f>-Calc_CFADS!BB11</f>
        <v/>
      </c>
      <c r="BC22" s="84">
        <f>-Calc_CFADS!BC11</f>
        <v/>
      </c>
      <c r="BD22" s="84">
        <f>-Calc_CFADS!BD11</f>
        <v/>
      </c>
      <c r="BE22" s="84">
        <f>-Calc_CFADS!BE11</f>
        <v/>
      </c>
      <c r="BF22" s="84">
        <f>-Calc_CFADS!BF11</f>
        <v/>
      </c>
      <c r="BG22" s="84">
        <f>-Calc_CFADS!BG11</f>
        <v/>
      </c>
      <c r="BH22" s="84">
        <f>-Calc_CFADS!BH11</f>
        <v/>
      </c>
      <c r="BI22" s="84">
        <f>-Calc_CFADS!BI11</f>
        <v/>
      </c>
      <c r="BJ22" s="84">
        <f>-Calc_CFADS!BJ11</f>
        <v/>
      </c>
      <c r="BK22" s="84">
        <f>-Calc_CFADS!BK11</f>
        <v/>
      </c>
      <c r="BL22" s="84">
        <f>-Calc_CFADS!BL11</f>
        <v/>
      </c>
      <c r="BM22" s="84">
        <f>-Calc_CFADS!BM11</f>
        <v/>
      </c>
      <c r="BN22" s="84">
        <f>-Calc_CFADS!BN11</f>
        <v/>
      </c>
      <c r="BO22" s="84">
        <f>-Calc_CFADS!BO11</f>
        <v/>
      </c>
      <c r="BP22" s="84">
        <f>-Calc_CFADS!BP11</f>
        <v/>
      </c>
      <c r="BQ22" s="84">
        <f>-Calc_CFADS!BQ11</f>
        <v/>
      </c>
      <c r="BR22" s="84">
        <f>-Calc_CFADS!BR11</f>
        <v/>
      </c>
      <c r="BS22" s="84">
        <f>-Calc_CFADS!BS11</f>
        <v/>
      </c>
      <c r="BT22" s="84">
        <f>-Calc_CFADS!BT11</f>
        <v/>
      </c>
      <c r="BU22" s="84">
        <f>-Calc_CFADS!BU11</f>
        <v/>
      </c>
      <c r="BV22" s="84">
        <f>-Calc_CFADS!BV11</f>
        <v/>
      </c>
      <c r="BW22" s="84">
        <f>-Calc_CFADS!BW11</f>
        <v/>
      </c>
      <c r="BX22" s="84">
        <f>-Calc_CFADS!BX11</f>
        <v/>
      </c>
      <c r="BY22" s="84">
        <f>-Calc_CFADS!BY11</f>
        <v/>
      </c>
      <c r="BZ22" s="84">
        <f>-Calc_CFADS!BZ11</f>
        <v/>
      </c>
      <c r="CA22" s="84">
        <f>-Calc_CFADS!CA11</f>
        <v/>
      </c>
      <c r="CB22" s="84">
        <f>-Calc_CFADS!CB11</f>
        <v/>
      </c>
      <c r="CC22" s="84">
        <f>-Calc_CFADS!CC11</f>
        <v/>
      </c>
      <c r="CD22" s="84">
        <f>-Calc_CFADS!CD11</f>
        <v/>
      </c>
    </row>
    <row r="23">
      <c r="A23" t="inlineStr">
        <is>
          <t>Debt Principal Repayment ($)</t>
        </is>
      </c>
      <c r="C23" s="63">
        <f>Calc_Financing_Ops!C22</f>
        <v/>
      </c>
      <c r="D23" s="63">
        <f>Calc_Financing_Ops!D22</f>
        <v/>
      </c>
      <c r="E23" s="63">
        <f>Calc_Financing_Ops!E22</f>
        <v/>
      </c>
      <c r="F23" s="63">
        <f>Calc_Financing_Ops!F22</f>
        <v/>
      </c>
      <c r="G23" s="63">
        <f>Calc_Financing_Ops!G22</f>
        <v/>
      </c>
      <c r="H23" s="63">
        <f>Calc_Financing_Ops!H22</f>
        <v/>
      </c>
      <c r="I23" s="63">
        <f>Calc_Financing_Ops!I22</f>
        <v/>
      </c>
      <c r="J23" s="63">
        <f>Calc_Financing_Ops!J22</f>
        <v/>
      </c>
      <c r="K23" s="63">
        <f>Calc_Financing_Ops!K22</f>
        <v/>
      </c>
      <c r="L23" s="63">
        <f>Calc_Financing_Ops!L22</f>
        <v/>
      </c>
      <c r="M23" s="63">
        <f>Calc_Financing_Ops!M22</f>
        <v/>
      </c>
      <c r="N23" s="63">
        <f>Calc_Financing_Ops!N22</f>
        <v/>
      </c>
      <c r="O23" s="63">
        <f>Calc_Financing_Ops!O22</f>
        <v/>
      </c>
      <c r="P23" s="63">
        <f>Calc_Financing_Ops!P22</f>
        <v/>
      </c>
      <c r="Q23" s="63">
        <f>Calc_Financing_Ops!Q22</f>
        <v/>
      </c>
      <c r="R23" s="63">
        <f>Calc_Financing_Ops!R22</f>
        <v/>
      </c>
      <c r="S23" s="63">
        <f>Calc_Financing_Ops!S22</f>
        <v/>
      </c>
      <c r="T23" s="63">
        <f>Calc_Financing_Ops!T22</f>
        <v/>
      </c>
      <c r="U23" s="63">
        <f>Calc_Financing_Ops!U22</f>
        <v/>
      </c>
      <c r="V23" s="63">
        <f>Calc_Financing_Ops!V22</f>
        <v/>
      </c>
      <c r="W23" s="63">
        <f>Calc_Financing_Ops!W22</f>
        <v/>
      </c>
      <c r="X23" s="63">
        <f>Calc_Financing_Ops!X22</f>
        <v/>
      </c>
      <c r="Y23" s="63">
        <f>Calc_Financing_Ops!Y22</f>
        <v/>
      </c>
      <c r="Z23" s="63">
        <f>Calc_Financing_Ops!Z22</f>
        <v/>
      </c>
      <c r="AA23" s="63">
        <f>Calc_Financing_Ops!AA22</f>
        <v/>
      </c>
      <c r="AB23" s="63">
        <f>Calc_Financing_Ops!AB22</f>
        <v/>
      </c>
      <c r="AC23" s="63">
        <f>Calc_Financing_Ops!AC22</f>
        <v/>
      </c>
      <c r="AD23" s="63">
        <f>Calc_Financing_Ops!AD22</f>
        <v/>
      </c>
      <c r="AE23" s="63">
        <f>Calc_Financing_Ops!AE22</f>
        <v/>
      </c>
      <c r="AF23" s="63">
        <f>Calc_Financing_Ops!AF22</f>
        <v/>
      </c>
      <c r="AG23" s="63">
        <f>Calc_Financing_Ops!AG22</f>
        <v/>
      </c>
      <c r="AH23" s="63">
        <f>Calc_Financing_Ops!AH22</f>
        <v/>
      </c>
      <c r="AI23" s="63">
        <f>Calc_Financing_Ops!AI22</f>
        <v/>
      </c>
      <c r="AJ23" s="63">
        <f>Calc_Financing_Ops!AJ22</f>
        <v/>
      </c>
      <c r="AK23" s="63">
        <f>Calc_Financing_Ops!AK22</f>
        <v/>
      </c>
      <c r="AL23" s="63">
        <f>Calc_Financing_Ops!AL22</f>
        <v/>
      </c>
      <c r="AM23" s="63">
        <f>Calc_Financing_Ops!AM22</f>
        <v/>
      </c>
      <c r="AN23" s="63">
        <f>Calc_Financing_Ops!AN22</f>
        <v/>
      </c>
      <c r="AO23" s="63">
        <f>Calc_Financing_Ops!AO22</f>
        <v/>
      </c>
      <c r="AP23" s="63">
        <f>Calc_Financing_Ops!AP22</f>
        <v/>
      </c>
      <c r="AQ23" s="63">
        <f>Calc_Financing_Ops!AQ22</f>
        <v/>
      </c>
      <c r="AR23" s="63">
        <f>Calc_Financing_Ops!AR22</f>
        <v/>
      </c>
      <c r="AS23" s="63">
        <f>Calc_Financing_Ops!AS22</f>
        <v/>
      </c>
      <c r="AT23" s="63">
        <f>Calc_Financing_Ops!AT22</f>
        <v/>
      </c>
      <c r="AU23" s="63">
        <f>Calc_Financing_Ops!AU22</f>
        <v/>
      </c>
      <c r="AV23" s="63">
        <f>Calc_Financing_Ops!AV22</f>
        <v/>
      </c>
      <c r="AW23" s="63">
        <f>Calc_Financing_Ops!AW22</f>
        <v/>
      </c>
      <c r="AX23" s="63">
        <f>Calc_Financing_Ops!AX22</f>
        <v/>
      </c>
      <c r="AY23" s="63">
        <f>Calc_Financing_Ops!AY22</f>
        <v/>
      </c>
      <c r="AZ23" s="63">
        <f>Calc_Financing_Ops!AZ22</f>
        <v/>
      </c>
      <c r="BA23" s="63">
        <f>Calc_Financing_Ops!BA22</f>
        <v/>
      </c>
      <c r="BB23" s="63">
        <f>Calc_Financing_Ops!BB22</f>
        <v/>
      </c>
      <c r="BC23" s="63">
        <f>Calc_Financing_Ops!BC22</f>
        <v/>
      </c>
      <c r="BD23" s="63">
        <f>Calc_Financing_Ops!BD22</f>
        <v/>
      </c>
      <c r="BE23" s="63">
        <f>Calc_Financing_Ops!BE22</f>
        <v/>
      </c>
      <c r="BF23" s="63">
        <f>Calc_Financing_Ops!BF22</f>
        <v/>
      </c>
      <c r="BG23" s="63">
        <f>Calc_Financing_Ops!BG22</f>
        <v/>
      </c>
      <c r="BH23" s="63">
        <f>Calc_Financing_Ops!BH22</f>
        <v/>
      </c>
      <c r="BI23" s="63">
        <f>Calc_Financing_Ops!BI22</f>
        <v/>
      </c>
      <c r="BJ23" s="63">
        <f>Calc_Financing_Ops!BJ22</f>
        <v/>
      </c>
      <c r="BK23" s="63">
        <f>Calc_Financing_Ops!BK22</f>
        <v/>
      </c>
      <c r="BL23" s="63">
        <f>Calc_Financing_Ops!BL22</f>
        <v/>
      </c>
      <c r="BM23" s="63">
        <f>Calc_Financing_Ops!BM22</f>
        <v/>
      </c>
      <c r="BN23" s="63">
        <f>Calc_Financing_Ops!BN22</f>
        <v/>
      </c>
      <c r="BO23" s="63">
        <f>Calc_Financing_Ops!BO22</f>
        <v/>
      </c>
      <c r="BP23" s="63">
        <f>Calc_Financing_Ops!BP22</f>
        <v/>
      </c>
      <c r="BQ23" s="63">
        <f>Calc_Financing_Ops!BQ22</f>
        <v/>
      </c>
      <c r="BR23" s="63">
        <f>Calc_Financing_Ops!BR22</f>
        <v/>
      </c>
      <c r="BS23" s="63">
        <f>Calc_Financing_Ops!BS22</f>
        <v/>
      </c>
      <c r="BT23" s="63">
        <f>Calc_Financing_Ops!BT22</f>
        <v/>
      </c>
      <c r="BU23" s="63">
        <f>Calc_Financing_Ops!BU22</f>
        <v/>
      </c>
      <c r="BV23" s="63">
        <f>Calc_Financing_Ops!BV22</f>
        <v/>
      </c>
      <c r="BW23" s="63">
        <f>Calc_Financing_Ops!BW22</f>
        <v/>
      </c>
      <c r="BX23" s="63">
        <f>Calc_Financing_Ops!BX22</f>
        <v/>
      </c>
      <c r="BY23" s="63">
        <f>Calc_Financing_Ops!BY22</f>
        <v/>
      </c>
      <c r="BZ23" s="63">
        <f>Calc_Financing_Ops!BZ22</f>
        <v/>
      </c>
      <c r="CA23" s="63">
        <f>Calc_Financing_Ops!CA22</f>
        <v/>
      </c>
      <c r="CB23" s="63">
        <f>Calc_Financing_Ops!CB22</f>
        <v/>
      </c>
      <c r="CC23" s="63">
        <f>Calc_Financing_Ops!CC22</f>
        <v/>
      </c>
      <c r="CD23" s="63">
        <f>Calc_Financing_Ops!CD22</f>
        <v/>
      </c>
    </row>
    <row r="24">
      <c r="A24" t="inlineStr">
        <is>
          <t>DSRA Funding/(Release) ($) — the LC fee sits in the P&amp;L above</t>
        </is>
      </c>
      <c r="C24" s="63">
        <f>Calc_Financing_Ops!C28</f>
        <v/>
      </c>
      <c r="D24" s="63">
        <f>Calc_Financing_Ops!D28</f>
        <v/>
      </c>
      <c r="E24" s="63">
        <f>Calc_Financing_Ops!E28</f>
        <v/>
      </c>
      <c r="F24" s="63">
        <f>Calc_Financing_Ops!F28</f>
        <v/>
      </c>
      <c r="G24" s="63">
        <f>Calc_Financing_Ops!G28</f>
        <v/>
      </c>
      <c r="H24" s="63">
        <f>Calc_Financing_Ops!H28</f>
        <v/>
      </c>
      <c r="I24" s="63">
        <f>Calc_Financing_Ops!I28</f>
        <v/>
      </c>
      <c r="J24" s="63">
        <f>Calc_Financing_Ops!J28</f>
        <v/>
      </c>
      <c r="K24" s="63">
        <f>Calc_Financing_Ops!K28</f>
        <v/>
      </c>
      <c r="L24" s="63">
        <f>Calc_Financing_Ops!L28</f>
        <v/>
      </c>
      <c r="M24" s="63">
        <f>Calc_Financing_Ops!M28</f>
        <v/>
      </c>
      <c r="N24" s="63">
        <f>Calc_Financing_Ops!N28</f>
        <v/>
      </c>
      <c r="O24" s="63">
        <f>Calc_Financing_Ops!O28</f>
        <v/>
      </c>
      <c r="P24" s="63">
        <f>Calc_Financing_Ops!P28</f>
        <v/>
      </c>
      <c r="Q24" s="63">
        <f>Calc_Financing_Ops!Q28</f>
        <v/>
      </c>
      <c r="R24" s="63">
        <f>Calc_Financing_Ops!R28</f>
        <v/>
      </c>
      <c r="S24" s="63">
        <f>Calc_Financing_Ops!S28</f>
        <v/>
      </c>
      <c r="T24" s="63">
        <f>Calc_Financing_Ops!T28</f>
        <v/>
      </c>
      <c r="U24" s="63">
        <f>Calc_Financing_Ops!U28</f>
        <v/>
      </c>
      <c r="V24" s="63">
        <f>Calc_Financing_Ops!V28</f>
        <v/>
      </c>
      <c r="W24" s="63">
        <f>Calc_Financing_Ops!W28</f>
        <v/>
      </c>
      <c r="X24" s="63">
        <f>Calc_Financing_Ops!X28</f>
        <v/>
      </c>
      <c r="Y24" s="63">
        <f>Calc_Financing_Ops!Y28</f>
        <v/>
      </c>
      <c r="Z24" s="63">
        <f>Calc_Financing_Ops!Z28</f>
        <v/>
      </c>
      <c r="AA24" s="63">
        <f>Calc_Financing_Ops!AA28</f>
        <v/>
      </c>
      <c r="AB24" s="63">
        <f>Calc_Financing_Ops!AB28</f>
        <v/>
      </c>
      <c r="AC24" s="63">
        <f>Calc_Financing_Ops!AC28</f>
        <v/>
      </c>
      <c r="AD24" s="63">
        <f>Calc_Financing_Ops!AD28</f>
        <v/>
      </c>
      <c r="AE24" s="63">
        <f>Calc_Financing_Ops!AE28</f>
        <v/>
      </c>
      <c r="AF24" s="63">
        <f>Calc_Financing_Ops!AF28</f>
        <v/>
      </c>
      <c r="AG24" s="63">
        <f>Calc_Financing_Ops!AG28</f>
        <v/>
      </c>
      <c r="AH24" s="63">
        <f>Calc_Financing_Ops!AH28</f>
        <v/>
      </c>
      <c r="AI24" s="63">
        <f>Calc_Financing_Ops!AI28</f>
        <v/>
      </c>
      <c r="AJ24" s="63">
        <f>Calc_Financing_Ops!AJ28</f>
        <v/>
      </c>
      <c r="AK24" s="63">
        <f>Calc_Financing_Ops!AK28</f>
        <v/>
      </c>
      <c r="AL24" s="63">
        <f>Calc_Financing_Ops!AL28</f>
        <v/>
      </c>
      <c r="AM24" s="63">
        <f>Calc_Financing_Ops!AM28</f>
        <v/>
      </c>
      <c r="AN24" s="63">
        <f>Calc_Financing_Ops!AN28</f>
        <v/>
      </c>
      <c r="AO24" s="63">
        <f>Calc_Financing_Ops!AO28</f>
        <v/>
      </c>
      <c r="AP24" s="63">
        <f>Calc_Financing_Ops!AP28</f>
        <v/>
      </c>
      <c r="AQ24" s="63">
        <f>Calc_Financing_Ops!AQ28</f>
        <v/>
      </c>
      <c r="AR24" s="63">
        <f>Calc_Financing_Ops!AR28</f>
        <v/>
      </c>
      <c r="AS24" s="63">
        <f>Calc_Financing_Ops!AS28</f>
        <v/>
      </c>
      <c r="AT24" s="63">
        <f>Calc_Financing_Ops!AT28</f>
        <v/>
      </c>
      <c r="AU24" s="63">
        <f>Calc_Financing_Ops!AU28</f>
        <v/>
      </c>
      <c r="AV24" s="63">
        <f>Calc_Financing_Ops!AV28</f>
        <v/>
      </c>
      <c r="AW24" s="63">
        <f>Calc_Financing_Ops!AW28</f>
        <v/>
      </c>
      <c r="AX24" s="63">
        <f>Calc_Financing_Ops!AX28</f>
        <v/>
      </c>
      <c r="AY24" s="63">
        <f>Calc_Financing_Ops!AY28</f>
        <v/>
      </c>
      <c r="AZ24" s="63">
        <f>Calc_Financing_Ops!AZ28</f>
        <v/>
      </c>
      <c r="BA24" s="63">
        <f>Calc_Financing_Ops!BA28</f>
        <v/>
      </c>
      <c r="BB24" s="63">
        <f>Calc_Financing_Ops!BB28</f>
        <v/>
      </c>
      <c r="BC24" s="63">
        <f>Calc_Financing_Ops!BC28</f>
        <v/>
      </c>
      <c r="BD24" s="63">
        <f>Calc_Financing_Ops!BD28</f>
        <v/>
      </c>
      <c r="BE24" s="63">
        <f>Calc_Financing_Ops!BE28</f>
        <v/>
      </c>
      <c r="BF24" s="63">
        <f>Calc_Financing_Ops!BF28</f>
        <v/>
      </c>
      <c r="BG24" s="63">
        <f>Calc_Financing_Ops!BG28</f>
        <v/>
      </c>
      <c r="BH24" s="63">
        <f>Calc_Financing_Ops!BH28</f>
        <v/>
      </c>
      <c r="BI24" s="63">
        <f>Calc_Financing_Ops!BI28</f>
        <v/>
      </c>
      <c r="BJ24" s="63">
        <f>Calc_Financing_Ops!BJ28</f>
        <v/>
      </c>
      <c r="BK24" s="63">
        <f>Calc_Financing_Ops!BK28</f>
        <v/>
      </c>
      <c r="BL24" s="63">
        <f>Calc_Financing_Ops!BL28</f>
        <v/>
      </c>
      <c r="BM24" s="63">
        <f>Calc_Financing_Ops!BM28</f>
        <v/>
      </c>
      <c r="BN24" s="63">
        <f>Calc_Financing_Ops!BN28</f>
        <v/>
      </c>
      <c r="BO24" s="63">
        <f>Calc_Financing_Ops!BO28</f>
        <v/>
      </c>
      <c r="BP24" s="63">
        <f>Calc_Financing_Ops!BP28</f>
        <v/>
      </c>
      <c r="BQ24" s="63">
        <f>Calc_Financing_Ops!BQ28</f>
        <v/>
      </c>
      <c r="BR24" s="63">
        <f>Calc_Financing_Ops!BR28</f>
        <v/>
      </c>
      <c r="BS24" s="63">
        <f>Calc_Financing_Ops!BS28</f>
        <v/>
      </c>
      <c r="BT24" s="63">
        <f>Calc_Financing_Ops!BT28</f>
        <v/>
      </c>
      <c r="BU24" s="63">
        <f>Calc_Financing_Ops!BU28</f>
        <v/>
      </c>
      <c r="BV24" s="63">
        <f>Calc_Financing_Ops!BV28</f>
        <v/>
      </c>
      <c r="BW24" s="63">
        <f>Calc_Financing_Ops!BW28</f>
        <v/>
      </c>
      <c r="BX24" s="63">
        <f>Calc_Financing_Ops!BX28</f>
        <v/>
      </c>
      <c r="BY24" s="63">
        <f>Calc_Financing_Ops!BY28</f>
        <v/>
      </c>
      <c r="BZ24" s="63">
        <f>Calc_Financing_Ops!BZ28</f>
        <v/>
      </c>
      <c r="CA24" s="63">
        <f>Calc_Financing_Ops!CA28</f>
        <v/>
      </c>
      <c r="CB24" s="63">
        <f>Calc_Financing_Ops!CB28</f>
        <v/>
      </c>
      <c r="CC24" s="63">
        <f>Calc_Financing_Ops!CC28</f>
        <v/>
      </c>
      <c r="CD24" s="63">
        <f>Calc_Financing_Ops!CD28</f>
        <v/>
      </c>
    </row>
    <row r="25">
      <c r="A25" t="inlineStr">
        <is>
          <t>MRA Funding/(Release) ($)</t>
        </is>
      </c>
      <c r="C25" s="63">
        <f>Calc_CFADS!C14</f>
        <v/>
      </c>
      <c r="D25" s="63">
        <f>Calc_CFADS!D14</f>
        <v/>
      </c>
      <c r="E25" s="63">
        <f>Calc_CFADS!E14</f>
        <v/>
      </c>
      <c r="F25" s="63">
        <f>Calc_CFADS!F14</f>
        <v/>
      </c>
      <c r="G25" s="63">
        <f>Calc_CFADS!G14</f>
        <v/>
      </c>
      <c r="H25" s="63">
        <f>Calc_CFADS!H14</f>
        <v/>
      </c>
      <c r="I25" s="63">
        <f>Calc_CFADS!I14</f>
        <v/>
      </c>
      <c r="J25" s="63">
        <f>Calc_CFADS!J14</f>
        <v/>
      </c>
      <c r="K25" s="63">
        <f>Calc_CFADS!K14</f>
        <v/>
      </c>
      <c r="L25" s="63">
        <f>Calc_CFADS!L14</f>
        <v/>
      </c>
      <c r="M25" s="63">
        <f>Calc_CFADS!M14</f>
        <v/>
      </c>
      <c r="N25" s="63">
        <f>Calc_CFADS!N14</f>
        <v/>
      </c>
      <c r="O25" s="63">
        <f>Calc_CFADS!O14</f>
        <v/>
      </c>
      <c r="P25" s="63">
        <f>Calc_CFADS!P14</f>
        <v/>
      </c>
      <c r="Q25" s="63">
        <f>Calc_CFADS!Q14</f>
        <v/>
      </c>
      <c r="R25" s="63">
        <f>Calc_CFADS!R14</f>
        <v/>
      </c>
      <c r="S25" s="63">
        <f>Calc_CFADS!S14</f>
        <v/>
      </c>
      <c r="T25" s="63">
        <f>Calc_CFADS!T14</f>
        <v/>
      </c>
      <c r="U25" s="63">
        <f>Calc_CFADS!U14</f>
        <v/>
      </c>
      <c r="V25" s="63">
        <f>Calc_CFADS!V14</f>
        <v/>
      </c>
      <c r="W25" s="63">
        <f>Calc_CFADS!W14</f>
        <v/>
      </c>
      <c r="X25" s="63">
        <f>Calc_CFADS!X14</f>
        <v/>
      </c>
      <c r="Y25" s="63">
        <f>Calc_CFADS!Y14</f>
        <v/>
      </c>
      <c r="Z25" s="63">
        <f>Calc_CFADS!Z14</f>
        <v/>
      </c>
      <c r="AA25" s="63">
        <f>Calc_CFADS!AA14</f>
        <v/>
      </c>
      <c r="AB25" s="63">
        <f>Calc_CFADS!AB14</f>
        <v/>
      </c>
      <c r="AC25" s="63">
        <f>Calc_CFADS!AC14</f>
        <v/>
      </c>
      <c r="AD25" s="63">
        <f>Calc_CFADS!AD14</f>
        <v/>
      </c>
      <c r="AE25" s="63">
        <f>Calc_CFADS!AE14</f>
        <v/>
      </c>
      <c r="AF25" s="63">
        <f>Calc_CFADS!AF14</f>
        <v/>
      </c>
      <c r="AG25" s="63">
        <f>Calc_CFADS!AG14</f>
        <v/>
      </c>
      <c r="AH25" s="63">
        <f>Calc_CFADS!AH14</f>
        <v/>
      </c>
      <c r="AI25" s="63">
        <f>Calc_CFADS!AI14</f>
        <v/>
      </c>
      <c r="AJ25" s="63">
        <f>Calc_CFADS!AJ14</f>
        <v/>
      </c>
      <c r="AK25" s="63">
        <f>Calc_CFADS!AK14</f>
        <v/>
      </c>
      <c r="AL25" s="63">
        <f>Calc_CFADS!AL14</f>
        <v/>
      </c>
      <c r="AM25" s="63">
        <f>Calc_CFADS!AM14</f>
        <v/>
      </c>
      <c r="AN25" s="63">
        <f>Calc_CFADS!AN14</f>
        <v/>
      </c>
      <c r="AO25" s="63">
        <f>Calc_CFADS!AO14</f>
        <v/>
      </c>
      <c r="AP25" s="63">
        <f>Calc_CFADS!AP14</f>
        <v/>
      </c>
      <c r="AQ25" s="63">
        <f>Calc_CFADS!AQ14</f>
        <v/>
      </c>
      <c r="AR25" s="63">
        <f>Calc_CFADS!AR14</f>
        <v/>
      </c>
      <c r="AS25" s="63">
        <f>Calc_CFADS!AS14</f>
        <v/>
      </c>
      <c r="AT25" s="63">
        <f>Calc_CFADS!AT14</f>
        <v/>
      </c>
      <c r="AU25" s="63">
        <f>Calc_CFADS!AU14</f>
        <v/>
      </c>
      <c r="AV25" s="63">
        <f>Calc_CFADS!AV14</f>
        <v/>
      </c>
      <c r="AW25" s="63">
        <f>Calc_CFADS!AW14</f>
        <v/>
      </c>
      <c r="AX25" s="63">
        <f>Calc_CFADS!AX14</f>
        <v/>
      </c>
      <c r="AY25" s="63">
        <f>Calc_CFADS!AY14</f>
        <v/>
      </c>
      <c r="AZ25" s="63">
        <f>Calc_CFADS!AZ14</f>
        <v/>
      </c>
      <c r="BA25" s="63">
        <f>Calc_CFADS!BA14</f>
        <v/>
      </c>
      <c r="BB25" s="63">
        <f>Calc_CFADS!BB14</f>
        <v/>
      </c>
      <c r="BC25" s="63">
        <f>Calc_CFADS!BC14</f>
        <v/>
      </c>
      <c r="BD25" s="63">
        <f>Calc_CFADS!BD14</f>
        <v/>
      </c>
      <c r="BE25" s="63">
        <f>Calc_CFADS!BE14</f>
        <v/>
      </c>
      <c r="BF25" s="63">
        <f>Calc_CFADS!BF14</f>
        <v/>
      </c>
      <c r="BG25" s="63">
        <f>Calc_CFADS!BG14</f>
        <v/>
      </c>
      <c r="BH25" s="63">
        <f>Calc_CFADS!BH14</f>
        <v/>
      </c>
      <c r="BI25" s="63">
        <f>Calc_CFADS!BI14</f>
        <v/>
      </c>
      <c r="BJ25" s="63">
        <f>Calc_CFADS!BJ14</f>
        <v/>
      </c>
      <c r="BK25" s="63">
        <f>Calc_CFADS!BK14</f>
        <v/>
      </c>
      <c r="BL25" s="63">
        <f>Calc_CFADS!BL14</f>
        <v/>
      </c>
      <c r="BM25" s="63">
        <f>Calc_CFADS!BM14</f>
        <v/>
      </c>
      <c r="BN25" s="63">
        <f>Calc_CFADS!BN14</f>
        <v/>
      </c>
      <c r="BO25" s="63">
        <f>Calc_CFADS!BO14</f>
        <v/>
      </c>
      <c r="BP25" s="63">
        <f>Calc_CFADS!BP14</f>
        <v/>
      </c>
      <c r="BQ25" s="63">
        <f>Calc_CFADS!BQ14</f>
        <v/>
      </c>
      <c r="BR25" s="63">
        <f>Calc_CFADS!BR14</f>
        <v/>
      </c>
      <c r="BS25" s="63">
        <f>Calc_CFADS!BS14</f>
        <v/>
      </c>
      <c r="BT25" s="63">
        <f>Calc_CFADS!BT14</f>
        <v/>
      </c>
      <c r="BU25" s="63">
        <f>Calc_CFADS!BU14</f>
        <v/>
      </c>
      <c r="BV25" s="63">
        <f>Calc_CFADS!BV14</f>
        <v/>
      </c>
      <c r="BW25" s="63">
        <f>Calc_CFADS!BW14</f>
        <v/>
      </c>
      <c r="BX25" s="63">
        <f>Calc_CFADS!BX14</f>
        <v/>
      </c>
      <c r="BY25" s="63">
        <f>Calc_CFADS!BY14</f>
        <v/>
      </c>
      <c r="BZ25" s="63">
        <f>Calc_CFADS!BZ14</f>
        <v/>
      </c>
      <c r="CA25" s="63">
        <f>Calc_CFADS!CA14</f>
        <v/>
      </c>
      <c r="CB25" s="63">
        <f>Calc_CFADS!CB14</f>
        <v/>
      </c>
      <c r="CC25" s="63">
        <f>Calc_CFADS!CC14</f>
        <v/>
      </c>
      <c r="CD25" s="63">
        <f>Calc_CFADS!CD14</f>
        <v/>
      </c>
    </row>
    <row r="26">
      <c r="A26" t="inlineStr">
        <is>
          <t>Distributions to Equity ($)</t>
        </is>
      </c>
      <c r="C26" s="63">
        <f>Calc_CFADS!C22</f>
        <v/>
      </c>
      <c r="D26" s="63">
        <f>Calc_CFADS!D22</f>
        <v/>
      </c>
      <c r="E26" s="63">
        <f>Calc_CFADS!E22</f>
        <v/>
      </c>
      <c r="F26" s="63">
        <f>Calc_CFADS!F22</f>
        <v/>
      </c>
      <c r="G26" s="63">
        <f>Calc_CFADS!G22</f>
        <v/>
      </c>
      <c r="H26" s="63">
        <f>Calc_CFADS!H22</f>
        <v/>
      </c>
      <c r="I26" s="63">
        <f>Calc_CFADS!I22</f>
        <v/>
      </c>
      <c r="J26" s="63">
        <f>Calc_CFADS!J22</f>
        <v/>
      </c>
      <c r="K26" s="63">
        <f>Calc_CFADS!K22</f>
        <v/>
      </c>
      <c r="L26" s="63">
        <f>Calc_CFADS!L22</f>
        <v/>
      </c>
      <c r="M26" s="63">
        <f>Calc_CFADS!M22</f>
        <v/>
      </c>
      <c r="N26" s="63">
        <f>Calc_CFADS!N22</f>
        <v/>
      </c>
      <c r="O26" s="63">
        <f>Calc_CFADS!O22</f>
        <v/>
      </c>
      <c r="P26" s="63">
        <f>Calc_CFADS!P22</f>
        <v/>
      </c>
      <c r="Q26" s="63">
        <f>Calc_CFADS!Q22</f>
        <v/>
      </c>
      <c r="R26" s="63">
        <f>Calc_CFADS!R22</f>
        <v/>
      </c>
      <c r="S26" s="63">
        <f>Calc_CFADS!S22</f>
        <v/>
      </c>
      <c r="T26" s="63">
        <f>Calc_CFADS!T22</f>
        <v/>
      </c>
      <c r="U26" s="63">
        <f>Calc_CFADS!U22</f>
        <v/>
      </c>
      <c r="V26" s="63">
        <f>Calc_CFADS!V22</f>
        <v/>
      </c>
      <c r="W26" s="63">
        <f>Calc_CFADS!W22</f>
        <v/>
      </c>
      <c r="X26" s="63">
        <f>Calc_CFADS!X22</f>
        <v/>
      </c>
      <c r="Y26" s="63">
        <f>Calc_CFADS!Y22</f>
        <v/>
      </c>
      <c r="Z26" s="63">
        <f>Calc_CFADS!Z22</f>
        <v/>
      </c>
      <c r="AA26" s="63">
        <f>Calc_CFADS!AA22</f>
        <v/>
      </c>
      <c r="AB26" s="63">
        <f>Calc_CFADS!AB22</f>
        <v/>
      </c>
      <c r="AC26" s="63">
        <f>Calc_CFADS!AC22</f>
        <v/>
      </c>
      <c r="AD26" s="63">
        <f>Calc_CFADS!AD22</f>
        <v/>
      </c>
      <c r="AE26" s="63">
        <f>Calc_CFADS!AE22</f>
        <v/>
      </c>
      <c r="AF26" s="63">
        <f>Calc_CFADS!AF22</f>
        <v/>
      </c>
      <c r="AG26" s="63">
        <f>Calc_CFADS!AG22</f>
        <v/>
      </c>
      <c r="AH26" s="63">
        <f>Calc_CFADS!AH22</f>
        <v/>
      </c>
      <c r="AI26" s="63">
        <f>Calc_CFADS!AI22</f>
        <v/>
      </c>
      <c r="AJ26" s="63">
        <f>Calc_CFADS!AJ22</f>
        <v/>
      </c>
      <c r="AK26" s="63">
        <f>Calc_CFADS!AK22</f>
        <v/>
      </c>
      <c r="AL26" s="63">
        <f>Calc_CFADS!AL22</f>
        <v/>
      </c>
      <c r="AM26" s="63">
        <f>Calc_CFADS!AM22</f>
        <v/>
      </c>
      <c r="AN26" s="63">
        <f>Calc_CFADS!AN22</f>
        <v/>
      </c>
      <c r="AO26" s="63">
        <f>Calc_CFADS!AO22</f>
        <v/>
      </c>
      <c r="AP26" s="63">
        <f>Calc_CFADS!AP22</f>
        <v/>
      </c>
      <c r="AQ26" s="63">
        <f>Calc_CFADS!AQ22</f>
        <v/>
      </c>
      <c r="AR26" s="63">
        <f>Calc_CFADS!AR22</f>
        <v/>
      </c>
      <c r="AS26" s="63">
        <f>Calc_CFADS!AS22</f>
        <v/>
      </c>
      <c r="AT26" s="63">
        <f>Calc_CFADS!AT22</f>
        <v/>
      </c>
      <c r="AU26" s="63">
        <f>Calc_CFADS!AU22</f>
        <v/>
      </c>
      <c r="AV26" s="63">
        <f>Calc_CFADS!AV22</f>
        <v/>
      </c>
      <c r="AW26" s="63">
        <f>Calc_CFADS!AW22</f>
        <v/>
      </c>
      <c r="AX26" s="63">
        <f>Calc_CFADS!AX22</f>
        <v/>
      </c>
      <c r="AY26" s="63">
        <f>Calc_CFADS!AY22</f>
        <v/>
      </c>
      <c r="AZ26" s="63">
        <f>Calc_CFADS!AZ22</f>
        <v/>
      </c>
      <c r="BA26" s="63">
        <f>Calc_CFADS!BA22</f>
        <v/>
      </c>
      <c r="BB26" s="63">
        <f>Calc_CFADS!BB22</f>
        <v/>
      </c>
      <c r="BC26" s="63">
        <f>Calc_CFADS!BC22</f>
        <v/>
      </c>
      <c r="BD26" s="63">
        <f>Calc_CFADS!BD22</f>
        <v/>
      </c>
      <c r="BE26" s="63">
        <f>Calc_CFADS!BE22</f>
        <v/>
      </c>
      <c r="BF26" s="63">
        <f>Calc_CFADS!BF22</f>
        <v/>
      </c>
      <c r="BG26" s="63">
        <f>Calc_CFADS!BG22</f>
        <v/>
      </c>
      <c r="BH26" s="63">
        <f>Calc_CFADS!BH22</f>
        <v/>
      </c>
      <c r="BI26" s="63">
        <f>Calc_CFADS!BI22</f>
        <v/>
      </c>
      <c r="BJ26" s="63">
        <f>Calc_CFADS!BJ22</f>
        <v/>
      </c>
      <c r="BK26" s="63">
        <f>Calc_CFADS!BK22</f>
        <v/>
      </c>
      <c r="BL26" s="63">
        <f>Calc_CFADS!BL22</f>
        <v/>
      </c>
      <c r="BM26" s="63">
        <f>Calc_CFADS!BM22</f>
        <v/>
      </c>
      <c r="BN26" s="63">
        <f>Calc_CFADS!BN22</f>
        <v/>
      </c>
      <c r="BO26" s="63">
        <f>Calc_CFADS!BO22</f>
        <v/>
      </c>
      <c r="BP26" s="63">
        <f>Calc_CFADS!BP22</f>
        <v/>
      </c>
      <c r="BQ26" s="63">
        <f>Calc_CFADS!BQ22</f>
        <v/>
      </c>
      <c r="BR26" s="63">
        <f>Calc_CFADS!BR22</f>
        <v/>
      </c>
      <c r="BS26" s="63">
        <f>Calc_CFADS!BS22</f>
        <v/>
      </c>
      <c r="BT26" s="63">
        <f>Calc_CFADS!BT22</f>
        <v/>
      </c>
      <c r="BU26" s="63">
        <f>Calc_CFADS!BU22</f>
        <v/>
      </c>
      <c r="BV26" s="63">
        <f>Calc_CFADS!BV22</f>
        <v/>
      </c>
      <c r="BW26" s="63">
        <f>Calc_CFADS!BW22</f>
        <v/>
      </c>
      <c r="BX26" s="63">
        <f>Calc_CFADS!BX22</f>
        <v/>
      </c>
      <c r="BY26" s="63">
        <f>Calc_CFADS!BY22</f>
        <v/>
      </c>
      <c r="BZ26" s="63">
        <f>Calc_CFADS!BZ22</f>
        <v/>
      </c>
      <c r="CA26" s="63">
        <f>Calc_CFADS!CA22</f>
        <v/>
      </c>
      <c r="CB26" s="63">
        <f>Calc_CFADS!CB22</f>
        <v/>
      </c>
      <c r="CC26" s="63">
        <f>Calc_CFADS!CC22</f>
        <v/>
      </c>
      <c r="CD26" s="63">
        <f>Calc_CFADS!CD22</f>
        <v/>
      </c>
    </row>
    <row r="27">
      <c r="A27" t="inlineStr">
        <is>
          <t>Equity Injections ($) — shortfalls the buffer could not cover</t>
        </is>
      </c>
      <c r="C27" s="63">
        <f>Calc_CFADS!C23</f>
        <v/>
      </c>
      <c r="D27" s="63">
        <f>Calc_CFADS!D23</f>
        <v/>
      </c>
      <c r="E27" s="63">
        <f>Calc_CFADS!E23</f>
        <v/>
      </c>
      <c r="F27" s="63">
        <f>Calc_CFADS!F23</f>
        <v/>
      </c>
      <c r="G27" s="63">
        <f>Calc_CFADS!G23</f>
        <v/>
      </c>
      <c r="H27" s="63">
        <f>Calc_CFADS!H23</f>
        <v/>
      </c>
      <c r="I27" s="63">
        <f>Calc_CFADS!I23</f>
        <v/>
      </c>
      <c r="J27" s="63">
        <f>Calc_CFADS!J23</f>
        <v/>
      </c>
      <c r="K27" s="63">
        <f>Calc_CFADS!K23</f>
        <v/>
      </c>
      <c r="L27" s="63">
        <f>Calc_CFADS!L23</f>
        <v/>
      </c>
      <c r="M27" s="63">
        <f>Calc_CFADS!M23</f>
        <v/>
      </c>
      <c r="N27" s="63">
        <f>Calc_CFADS!N23</f>
        <v/>
      </c>
      <c r="O27" s="63">
        <f>Calc_CFADS!O23</f>
        <v/>
      </c>
      <c r="P27" s="63">
        <f>Calc_CFADS!P23</f>
        <v/>
      </c>
      <c r="Q27" s="63">
        <f>Calc_CFADS!Q23</f>
        <v/>
      </c>
      <c r="R27" s="63">
        <f>Calc_CFADS!R23</f>
        <v/>
      </c>
      <c r="S27" s="63">
        <f>Calc_CFADS!S23</f>
        <v/>
      </c>
      <c r="T27" s="63">
        <f>Calc_CFADS!T23</f>
        <v/>
      </c>
      <c r="U27" s="63">
        <f>Calc_CFADS!U23</f>
        <v/>
      </c>
      <c r="V27" s="63">
        <f>Calc_CFADS!V23</f>
        <v/>
      </c>
      <c r="W27" s="63">
        <f>Calc_CFADS!W23</f>
        <v/>
      </c>
      <c r="X27" s="63">
        <f>Calc_CFADS!X23</f>
        <v/>
      </c>
      <c r="Y27" s="63">
        <f>Calc_CFADS!Y23</f>
        <v/>
      </c>
      <c r="Z27" s="63">
        <f>Calc_CFADS!Z23</f>
        <v/>
      </c>
      <c r="AA27" s="63">
        <f>Calc_CFADS!AA23</f>
        <v/>
      </c>
      <c r="AB27" s="63">
        <f>Calc_CFADS!AB23</f>
        <v/>
      </c>
      <c r="AC27" s="63">
        <f>Calc_CFADS!AC23</f>
        <v/>
      </c>
      <c r="AD27" s="63">
        <f>Calc_CFADS!AD23</f>
        <v/>
      </c>
      <c r="AE27" s="63">
        <f>Calc_CFADS!AE23</f>
        <v/>
      </c>
      <c r="AF27" s="63">
        <f>Calc_CFADS!AF23</f>
        <v/>
      </c>
      <c r="AG27" s="63">
        <f>Calc_CFADS!AG23</f>
        <v/>
      </c>
      <c r="AH27" s="63">
        <f>Calc_CFADS!AH23</f>
        <v/>
      </c>
      <c r="AI27" s="63">
        <f>Calc_CFADS!AI23</f>
        <v/>
      </c>
      <c r="AJ27" s="63">
        <f>Calc_CFADS!AJ23</f>
        <v/>
      </c>
      <c r="AK27" s="63">
        <f>Calc_CFADS!AK23</f>
        <v/>
      </c>
      <c r="AL27" s="63">
        <f>Calc_CFADS!AL23</f>
        <v/>
      </c>
      <c r="AM27" s="63">
        <f>Calc_CFADS!AM23</f>
        <v/>
      </c>
      <c r="AN27" s="63">
        <f>Calc_CFADS!AN23</f>
        <v/>
      </c>
      <c r="AO27" s="63">
        <f>Calc_CFADS!AO23</f>
        <v/>
      </c>
      <c r="AP27" s="63">
        <f>Calc_CFADS!AP23</f>
        <v/>
      </c>
      <c r="AQ27" s="63">
        <f>Calc_CFADS!AQ23</f>
        <v/>
      </c>
      <c r="AR27" s="63">
        <f>Calc_CFADS!AR23</f>
        <v/>
      </c>
      <c r="AS27" s="63">
        <f>Calc_CFADS!AS23</f>
        <v/>
      </c>
      <c r="AT27" s="63">
        <f>Calc_CFADS!AT23</f>
        <v/>
      </c>
      <c r="AU27" s="63">
        <f>Calc_CFADS!AU23</f>
        <v/>
      </c>
      <c r="AV27" s="63">
        <f>Calc_CFADS!AV23</f>
        <v/>
      </c>
      <c r="AW27" s="63">
        <f>Calc_CFADS!AW23</f>
        <v/>
      </c>
      <c r="AX27" s="63">
        <f>Calc_CFADS!AX23</f>
        <v/>
      </c>
      <c r="AY27" s="63">
        <f>Calc_CFADS!AY23</f>
        <v/>
      </c>
      <c r="AZ27" s="63">
        <f>Calc_CFADS!AZ23</f>
        <v/>
      </c>
      <c r="BA27" s="63">
        <f>Calc_CFADS!BA23</f>
        <v/>
      </c>
      <c r="BB27" s="63">
        <f>Calc_CFADS!BB23</f>
        <v/>
      </c>
      <c r="BC27" s="63">
        <f>Calc_CFADS!BC23</f>
        <v/>
      </c>
      <c r="BD27" s="63">
        <f>Calc_CFADS!BD23</f>
        <v/>
      </c>
      <c r="BE27" s="63">
        <f>Calc_CFADS!BE23</f>
        <v/>
      </c>
      <c r="BF27" s="63">
        <f>Calc_CFADS!BF23</f>
        <v/>
      </c>
      <c r="BG27" s="63">
        <f>Calc_CFADS!BG23</f>
        <v/>
      </c>
      <c r="BH27" s="63">
        <f>Calc_CFADS!BH23</f>
        <v/>
      </c>
      <c r="BI27" s="63">
        <f>Calc_CFADS!BI23</f>
        <v/>
      </c>
      <c r="BJ27" s="63">
        <f>Calc_CFADS!BJ23</f>
        <v/>
      </c>
      <c r="BK27" s="63">
        <f>Calc_CFADS!BK23</f>
        <v/>
      </c>
      <c r="BL27" s="63">
        <f>Calc_CFADS!BL23</f>
        <v/>
      </c>
      <c r="BM27" s="63">
        <f>Calc_CFADS!BM23</f>
        <v/>
      </c>
      <c r="BN27" s="63">
        <f>Calc_CFADS!BN23</f>
        <v/>
      </c>
      <c r="BO27" s="63">
        <f>Calc_CFADS!BO23</f>
        <v/>
      </c>
      <c r="BP27" s="63">
        <f>Calc_CFADS!BP23</f>
        <v/>
      </c>
      <c r="BQ27" s="63">
        <f>Calc_CFADS!BQ23</f>
        <v/>
      </c>
      <c r="BR27" s="63">
        <f>Calc_CFADS!BR23</f>
        <v/>
      </c>
      <c r="BS27" s="63">
        <f>Calc_CFADS!BS23</f>
        <v/>
      </c>
      <c r="BT27" s="63">
        <f>Calc_CFADS!BT23</f>
        <v/>
      </c>
      <c r="BU27" s="63">
        <f>Calc_CFADS!BU23</f>
        <v/>
      </c>
      <c r="BV27" s="63">
        <f>Calc_CFADS!BV23</f>
        <v/>
      </c>
      <c r="BW27" s="63">
        <f>Calc_CFADS!BW23</f>
        <v/>
      </c>
      <c r="BX27" s="63">
        <f>Calc_CFADS!BX23</f>
        <v/>
      </c>
      <c r="BY27" s="63">
        <f>Calc_CFADS!BY23</f>
        <v/>
      </c>
      <c r="BZ27" s="63">
        <f>Calc_CFADS!BZ23</f>
        <v/>
      </c>
      <c r="CA27" s="63">
        <f>Calc_CFADS!CA23</f>
        <v/>
      </c>
      <c r="CB27" s="63">
        <f>Calc_CFADS!CB23</f>
        <v/>
      </c>
      <c r="CC27" s="63">
        <f>Calc_CFADS!CC23</f>
        <v/>
      </c>
      <c r="CD27" s="63">
        <f>Calc_CFADS!CD23</f>
        <v/>
      </c>
    </row>
    <row r="28">
      <c r="A28" t="inlineStr">
        <is>
          <t>Cash Flow from Financing ($)</t>
        </is>
      </c>
      <c r="C28" s="84">
        <f>-C23-C24-C25-C26+C27</f>
        <v/>
      </c>
      <c r="D28" s="84">
        <f>-D23-D24-D25-D26+D27</f>
        <v/>
      </c>
      <c r="E28" s="84">
        <f>-E23-E24-E25-E26+E27</f>
        <v/>
      </c>
      <c r="F28" s="84">
        <f>-F23-F24-F25-F26+F27</f>
        <v/>
      </c>
      <c r="G28" s="84">
        <f>-G23-G24-G25-G26+G27</f>
        <v/>
      </c>
      <c r="H28" s="84">
        <f>-H23-H24-H25-H26+H27</f>
        <v/>
      </c>
      <c r="I28" s="84">
        <f>-I23-I24-I25-I26+I27</f>
        <v/>
      </c>
      <c r="J28" s="84">
        <f>-J23-J24-J25-J26+J27</f>
        <v/>
      </c>
      <c r="K28" s="84">
        <f>-K23-K24-K25-K26+K27</f>
        <v/>
      </c>
      <c r="L28" s="84">
        <f>-L23-L24-L25-L26+L27</f>
        <v/>
      </c>
      <c r="M28" s="84">
        <f>-M23-M24-M25-M26+M27</f>
        <v/>
      </c>
      <c r="N28" s="84">
        <f>-N23-N24-N25-N26+N27</f>
        <v/>
      </c>
      <c r="O28" s="84">
        <f>-O23-O24-O25-O26+O27</f>
        <v/>
      </c>
      <c r="P28" s="84">
        <f>-P23-P24-P25-P26+P27</f>
        <v/>
      </c>
      <c r="Q28" s="84">
        <f>-Q23-Q24-Q25-Q26+Q27</f>
        <v/>
      </c>
      <c r="R28" s="84">
        <f>-R23-R24-R25-R26+R27</f>
        <v/>
      </c>
      <c r="S28" s="84">
        <f>-S23-S24-S25-S26+S27</f>
        <v/>
      </c>
      <c r="T28" s="84">
        <f>-T23-T24-T25-T26+T27</f>
        <v/>
      </c>
      <c r="U28" s="84">
        <f>-U23-U24-U25-U26+U27</f>
        <v/>
      </c>
      <c r="V28" s="84">
        <f>-V23-V24-V25-V26+V27</f>
        <v/>
      </c>
      <c r="W28" s="84">
        <f>-W23-W24-W25-W26+W27</f>
        <v/>
      </c>
      <c r="X28" s="84">
        <f>-X23-X24-X25-X26+X27</f>
        <v/>
      </c>
      <c r="Y28" s="84">
        <f>-Y23-Y24-Y25-Y26+Y27</f>
        <v/>
      </c>
      <c r="Z28" s="84">
        <f>-Z23-Z24-Z25-Z26+Z27</f>
        <v/>
      </c>
      <c r="AA28" s="84">
        <f>-AA23-AA24-AA25-AA26+AA27</f>
        <v/>
      </c>
      <c r="AB28" s="84">
        <f>-AB23-AB24-AB25-AB26+AB27</f>
        <v/>
      </c>
      <c r="AC28" s="84">
        <f>-AC23-AC24-AC25-AC26+AC27</f>
        <v/>
      </c>
      <c r="AD28" s="84">
        <f>-AD23-AD24-AD25-AD26+AD27</f>
        <v/>
      </c>
      <c r="AE28" s="84">
        <f>-AE23-AE24-AE25-AE26+AE27</f>
        <v/>
      </c>
      <c r="AF28" s="84">
        <f>-AF23-AF24-AF25-AF26+AF27</f>
        <v/>
      </c>
      <c r="AG28" s="84">
        <f>-AG23-AG24-AG25-AG26+AG27</f>
        <v/>
      </c>
      <c r="AH28" s="84">
        <f>-AH23-AH24-AH25-AH26+AH27</f>
        <v/>
      </c>
      <c r="AI28" s="84">
        <f>-AI23-AI24-AI25-AI26+AI27</f>
        <v/>
      </c>
      <c r="AJ28" s="84">
        <f>-AJ23-AJ24-AJ25-AJ26+AJ27</f>
        <v/>
      </c>
      <c r="AK28" s="84">
        <f>-AK23-AK24-AK25-AK26+AK27</f>
        <v/>
      </c>
      <c r="AL28" s="84">
        <f>-AL23-AL24-AL25-AL26+AL27</f>
        <v/>
      </c>
      <c r="AM28" s="84">
        <f>-AM23-AM24-AM25-AM26+AM27</f>
        <v/>
      </c>
      <c r="AN28" s="84">
        <f>-AN23-AN24-AN25-AN26+AN27</f>
        <v/>
      </c>
      <c r="AO28" s="84">
        <f>-AO23-AO24-AO25-AO26+AO27</f>
        <v/>
      </c>
      <c r="AP28" s="84">
        <f>-AP23-AP24-AP25-AP26+AP27</f>
        <v/>
      </c>
      <c r="AQ28" s="84">
        <f>-AQ23-AQ24-AQ25-AQ26+AQ27</f>
        <v/>
      </c>
      <c r="AR28" s="84">
        <f>-AR23-AR24-AR25-AR26+AR27</f>
        <v/>
      </c>
      <c r="AS28" s="84">
        <f>-AS23-AS24-AS25-AS26+AS27</f>
        <v/>
      </c>
      <c r="AT28" s="84">
        <f>-AT23-AT24-AT25-AT26+AT27</f>
        <v/>
      </c>
      <c r="AU28" s="84">
        <f>-AU23-AU24-AU25-AU26+AU27</f>
        <v/>
      </c>
      <c r="AV28" s="84">
        <f>-AV23-AV24-AV25-AV26+AV27</f>
        <v/>
      </c>
      <c r="AW28" s="84">
        <f>-AW23-AW24-AW25-AW26+AW27</f>
        <v/>
      </c>
      <c r="AX28" s="84">
        <f>-AX23-AX24-AX25-AX26+AX27</f>
        <v/>
      </c>
      <c r="AY28" s="84">
        <f>-AY23-AY24-AY25-AY26+AY27</f>
        <v/>
      </c>
      <c r="AZ28" s="84">
        <f>-AZ23-AZ24-AZ25-AZ26+AZ27</f>
        <v/>
      </c>
      <c r="BA28" s="84">
        <f>-BA23-BA24-BA25-BA26+BA27</f>
        <v/>
      </c>
      <c r="BB28" s="84">
        <f>-BB23-BB24-BB25-BB26+BB27</f>
        <v/>
      </c>
      <c r="BC28" s="84">
        <f>-BC23-BC24-BC25-BC26+BC27</f>
        <v/>
      </c>
      <c r="BD28" s="84">
        <f>-BD23-BD24-BD25-BD26+BD27</f>
        <v/>
      </c>
      <c r="BE28" s="84">
        <f>-BE23-BE24-BE25-BE26+BE27</f>
        <v/>
      </c>
      <c r="BF28" s="84">
        <f>-BF23-BF24-BF25-BF26+BF27</f>
        <v/>
      </c>
      <c r="BG28" s="84">
        <f>-BG23-BG24-BG25-BG26+BG27</f>
        <v/>
      </c>
      <c r="BH28" s="84">
        <f>-BH23-BH24-BH25-BH26+BH27</f>
        <v/>
      </c>
      <c r="BI28" s="84">
        <f>-BI23-BI24-BI25-BI26+BI27</f>
        <v/>
      </c>
      <c r="BJ28" s="84">
        <f>-BJ23-BJ24-BJ25-BJ26+BJ27</f>
        <v/>
      </c>
      <c r="BK28" s="84">
        <f>-BK23-BK24-BK25-BK26+BK27</f>
        <v/>
      </c>
      <c r="BL28" s="84">
        <f>-BL23-BL24-BL25-BL26+BL27</f>
        <v/>
      </c>
      <c r="BM28" s="84">
        <f>-BM23-BM24-BM25-BM26+BM27</f>
        <v/>
      </c>
      <c r="BN28" s="84">
        <f>-BN23-BN24-BN25-BN26+BN27</f>
        <v/>
      </c>
      <c r="BO28" s="84">
        <f>-BO23-BO24-BO25-BO26+BO27</f>
        <v/>
      </c>
      <c r="BP28" s="84">
        <f>-BP23-BP24-BP25-BP26+BP27</f>
        <v/>
      </c>
      <c r="BQ28" s="84">
        <f>-BQ23-BQ24-BQ25-BQ26+BQ27</f>
        <v/>
      </c>
      <c r="BR28" s="84">
        <f>-BR23-BR24-BR25-BR26+BR27</f>
        <v/>
      </c>
      <c r="BS28" s="84">
        <f>-BS23-BS24-BS25-BS26+BS27</f>
        <v/>
      </c>
      <c r="BT28" s="84">
        <f>-BT23-BT24-BT25-BT26+BT27</f>
        <v/>
      </c>
      <c r="BU28" s="84">
        <f>-BU23-BU24-BU25-BU26+BU27</f>
        <v/>
      </c>
      <c r="BV28" s="84">
        <f>-BV23-BV24-BV25-BV26+BV27</f>
        <v/>
      </c>
      <c r="BW28" s="84">
        <f>-BW23-BW24-BW25-BW26+BW27</f>
        <v/>
      </c>
      <c r="BX28" s="84">
        <f>-BX23-BX24-BX25-BX26+BX27</f>
        <v/>
      </c>
      <c r="BY28" s="84">
        <f>-BY23-BY24-BY25-BY26+BY27</f>
        <v/>
      </c>
      <c r="BZ28" s="84">
        <f>-BZ23-BZ24-BZ25-BZ26+BZ27</f>
        <v/>
      </c>
      <c r="CA28" s="84">
        <f>-CA23-CA24-CA25-CA26+CA27</f>
        <v/>
      </c>
      <c r="CB28" s="84">
        <f>-CB23-CB24-CB25-CB26+CB27</f>
        <v/>
      </c>
      <c r="CC28" s="84">
        <f>-CC23-CC24-CC25-CC26+CC27</f>
        <v/>
      </c>
      <c r="CD28" s="84">
        <f>-CD23-CD24-CD25-CD26+CD27</f>
        <v/>
      </c>
    </row>
    <row r="29">
      <c r="A29" t="inlineStr">
        <is>
          <t>Net Change in Cash ($)</t>
        </is>
      </c>
      <c r="C29" s="84">
        <f>C21+C22+C28</f>
        <v/>
      </c>
      <c r="D29" s="84">
        <f>D21+D22+D28</f>
        <v/>
      </c>
      <c r="E29" s="84">
        <f>E21+E22+E28</f>
        <v/>
      </c>
      <c r="F29" s="84">
        <f>F21+F22+F28</f>
        <v/>
      </c>
      <c r="G29" s="84">
        <f>G21+G22+G28</f>
        <v/>
      </c>
      <c r="H29" s="84">
        <f>H21+H22+H28</f>
        <v/>
      </c>
      <c r="I29" s="84">
        <f>I21+I22+I28</f>
        <v/>
      </c>
      <c r="J29" s="84">
        <f>J21+J22+J28</f>
        <v/>
      </c>
      <c r="K29" s="84">
        <f>K21+K22+K28</f>
        <v/>
      </c>
      <c r="L29" s="84">
        <f>L21+L22+L28</f>
        <v/>
      </c>
      <c r="M29" s="84">
        <f>M21+M22+M28</f>
        <v/>
      </c>
      <c r="N29" s="84">
        <f>N21+N22+N28</f>
        <v/>
      </c>
      <c r="O29" s="84">
        <f>O21+O22+O28</f>
        <v/>
      </c>
      <c r="P29" s="84">
        <f>P21+P22+P28</f>
        <v/>
      </c>
      <c r="Q29" s="84">
        <f>Q21+Q22+Q28</f>
        <v/>
      </c>
      <c r="R29" s="84">
        <f>R21+R22+R28</f>
        <v/>
      </c>
      <c r="S29" s="84">
        <f>S21+S22+S28</f>
        <v/>
      </c>
      <c r="T29" s="84">
        <f>T21+T22+T28</f>
        <v/>
      </c>
      <c r="U29" s="84">
        <f>U21+U22+U28</f>
        <v/>
      </c>
      <c r="V29" s="84">
        <f>V21+V22+V28</f>
        <v/>
      </c>
      <c r="W29" s="84">
        <f>W21+W22+W28</f>
        <v/>
      </c>
      <c r="X29" s="84">
        <f>X21+X22+X28</f>
        <v/>
      </c>
      <c r="Y29" s="84">
        <f>Y21+Y22+Y28</f>
        <v/>
      </c>
      <c r="Z29" s="84">
        <f>Z21+Z22+Z28</f>
        <v/>
      </c>
      <c r="AA29" s="84">
        <f>AA21+AA22+AA28</f>
        <v/>
      </c>
      <c r="AB29" s="84">
        <f>AB21+AB22+AB28</f>
        <v/>
      </c>
      <c r="AC29" s="84">
        <f>AC21+AC22+AC28</f>
        <v/>
      </c>
      <c r="AD29" s="84">
        <f>AD21+AD22+AD28</f>
        <v/>
      </c>
      <c r="AE29" s="84">
        <f>AE21+AE22+AE28</f>
        <v/>
      </c>
      <c r="AF29" s="84">
        <f>AF21+AF22+AF28</f>
        <v/>
      </c>
      <c r="AG29" s="84">
        <f>AG21+AG22+AG28</f>
        <v/>
      </c>
      <c r="AH29" s="84">
        <f>AH21+AH22+AH28</f>
        <v/>
      </c>
      <c r="AI29" s="84">
        <f>AI21+AI22+AI28</f>
        <v/>
      </c>
      <c r="AJ29" s="84">
        <f>AJ21+AJ22+AJ28</f>
        <v/>
      </c>
      <c r="AK29" s="84">
        <f>AK21+AK22+AK28</f>
        <v/>
      </c>
      <c r="AL29" s="84">
        <f>AL21+AL22+AL28</f>
        <v/>
      </c>
      <c r="AM29" s="84">
        <f>AM21+AM22+AM28</f>
        <v/>
      </c>
      <c r="AN29" s="84">
        <f>AN21+AN22+AN28</f>
        <v/>
      </c>
      <c r="AO29" s="84">
        <f>AO21+AO22+AO28</f>
        <v/>
      </c>
      <c r="AP29" s="84">
        <f>AP21+AP22+AP28</f>
        <v/>
      </c>
      <c r="AQ29" s="84">
        <f>AQ21+AQ22+AQ28</f>
        <v/>
      </c>
      <c r="AR29" s="84">
        <f>AR21+AR22+AR28</f>
        <v/>
      </c>
      <c r="AS29" s="84">
        <f>AS21+AS22+AS28</f>
        <v/>
      </c>
      <c r="AT29" s="84">
        <f>AT21+AT22+AT28</f>
        <v/>
      </c>
      <c r="AU29" s="84">
        <f>AU21+AU22+AU28</f>
        <v/>
      </c>
      <c r="AV29" s="84">
        <f>AV21+AV22+AV28</f>
        <v/>
      </c>
      <c r="AW29" s="84">
        <f>AW21+AW22+AW28</f>
        <v/>
      </c>
      <c r="AX29" s="84">
        <f>AX21+AX22+AX28</f>
        <v/>
      </c>
      <c r="AY29" s="84">
        <f>AY21+AY22+AY28</f>
        <v/>
      </c>
      <c r="AZ29" s="84">
        <f>AZ21+AZ22+AZ28</f>
        <v/>
      </c>
      <c r="BA29" s="84">
        <f>BA21+BA22+BA28</f>
        <v/>
      </c>
      <c r="BB29" s="84">
        <f>BB21+BB22+BB28</f>
        <v/>
      </c>
      <c r="BC29" s="84">
        <f>BC21+BC22+BC28</f>
        <v/>
      </c>
      <c r="BD29" s="84">
        <f>BD21+BD22+BD28</f>
        <v/>
      </c>
      <c r="BE29" s="84">
        <f>BE21+BE22+BE28</f>
        <v/>
      </c>
      <c r="BF29" s="84">
        <f>BF21+BF22+BF28</f>
        <v/>
      </c>
      <c r="BG29" s="84">
        <f>BG21+BG22+BG28</f>
        <v/>
      </c>
      <c r="BH29" s="84">
        <f>BH21+BH22+BH28</f>
        <v/>
      </c>
      <c r="BI29" s="84">
        <f>BI21+BI22+BI28</f>
        <v/>
      </c>
      <c r="BJ29" s="84">
        <f>BJ21+BJ22+BJ28</f>
        <v/>
      </c>
      <c r="BK29" s="84">
        <f>BK21+BK22+BK28</f>
        <v/>
      </c>
      <c r="BL29" s="84">
        <f>BL21+BL22+BL28</f>
        <v/>
      </c>
      <c r="BM29" s="84">
        <f>BM21+BM22+BM28</f>
        <v/>
      </c>
      <c r="BN29" s="84">
        <f>BN21+BN22+BN28</f>
        <v/>
      </c>
      <c r="BO29" s="84">
        <f>BO21+BO22+BO28</f>
        <v/>
      </c>
      <c r="BP29" s="84">
        <f>BP21+BP22+BP28</f>
        <v/>
      </c>
      <c r="BQ29" s="84">
        <f>BQ21+BQ22+BQ28</f>
        <v/>
      </c>
      <c r="BR29" s="84">
        <f>BR21+BR22+BR28</f>
        <v/>
      </c>
      <c r="BS29" s="84">
        <f>BS21+BS22+BS28</f>
        <v/>
      </c>
      <c r="BT29" s="84">
        <f>BT21+BT22+BT28</f>
        <v/>
      </c>
      <c r="BU29" s="84">
        <f>BU21+BU22+BU28</f>
        <v/>
      </c>
      <c r="BV29" s="84">
        <f>BV21+BV22+BV28</f>
        <v/>
      </c>
      <c r="BW29" s="84">
        <f>BW21+BW22+BW28</f>
        <v/>
      </c>
      <c r="BX29" s="84">
        <f>BX21+BX22+BX28</f>
        <v/>
      </c>
      <c r="BY29" s="84">
        <f>BY21+BY22+BY28</f>
        <v/>
      </c>
      <c r="BZ29" s="84">
        <f>BZ21+BZ22+BZ28</f>
        <v/>
      </c>
      <c r="CA29" s="84">
        <f>CA21+CA22+CA28</f>
        <v/>
      </c>
      <c r="CB29" s="84">
        <f>CB21+CB22+CB28</f>
        <v/>
      </c>
      <c r="CC29" s="84">
        <f>CC21+CC22+CC28</f>
        <v/>
      </c>
      <c r="CD29" s="84">
        <f>CD21+CD22+CD28</f>
        <v/>
      </c>
    </row>
    <row r="30">
      <c r="A30" t="inlineStr">
        <is>
          <t>Opening Cash ($)</t>
        </is>
      </c>
      <c r="C30" s="84">
        <f>Calc_Financing_Cons!$B$13</f>
        <v/>
      </c>
      <c r="D30" s="84">
        <f>C31</f>
        <v/>
      </c>
      <c r="E30" s="84">
        <f>D31</f>
        <v/>
      </c>
      <c r="F30" s="84">
        <f>E31</f>
        <v/>
      </c>
      <c r="G30" s="84">
        <f>F31</f>
        <v/>
      </c>
      <c r="H30" s="84">
        <f>G31</f>
        <v/>
      </c>
      <c r="I30" s="84">
        <f>H31</f>
        <v/>
      </c>
      <c r="J30" s="84">
        <f>I31</f>
        <v/>
      </c>
      <c r="K30" s="84">
        <f>J31</f>
        <v/>
      </c>
      <c r="L30" s="84">
        <f>K31</f>
        <v/>
      </c>
      <c r="M30" s="84">
        <f>L31</f>
        <v/>
      </c>
      <c r="N30" s="84">
        <f>M31</f>
        <v/>
      </c>
      <c r="O30" s="84">
        <f>N31</f>
        <v/>
      </c>
      <c r="P30" s="84">
        <f>O31</f>
        <v/>
      </c>
      <c r="Q30" s="84">
        <f>P31</f>
        <v/>
      </c>
      <c r="R30" s="84">
        <f>Q31</f>
        <v/>
      </c>
      <c r="S30" s="84">
        <f>R31</f>
        <v/>
      </c>
      <c r="T30" s="84">
        <f>S31</f>
        <v/>
      </c>
      <c r="U30" s="84">
        <f>T31</f>
        <v/>
      </c>
      <c r="V30" s="84">
        <f>U31</f>
        <v/>
      </c>
      <c r="W30" s="84">
        <f>V31</f>
        <v/>
      </c>
      <c r="X30" s="84">
        <f>W31</f>
        <v/>
      </c>
      <c r="Y30" s="84">
        <f>X31</f>
        <v/>
      </c>
      <c r="Z30" s="84">
        <f>Y31</f>
        <v/>
      </c>
      <c r="AA30" s="84">
        <f>Z31</f>
        <v/>
      </c>
      <c r="AB30" s="84">
        <f>AA31</f>
        <v/>
      </c>
      <c r="AC30" s="84">
        <f>AB31</f>
        <v/>
      </c>
      <c r="AD30" s="84">
        <f>AC31</f>
        <v/>
      </c>
      <c r="AE30" s="84">
        <f>AD31</f>
        <v/>
      </c>
      <c r="AF30" s="84">
        <f>AE31</f>
        <v/>
      </c>
      <c r="AG30" s="84">
        <f>AF31</f>
        <v/>
      </c>
      <c r="AH30" s="84">
        <f>AG31</f>
        <v/>
      </c>
      <c r="AI30" s="84">
        <f>AH31</f>
        <v/>
      </c>
      <c r="AJ30" s="84">
        <f>AI31</f>
        <v/>
      </c>
      <c r="AK30" s="84">
        <f>AJ31</f>
        <v/>
      </c>
      <c r="AL30" s="84">
        <f>AK31</f>
        <v/>
      </c>
      <c r="AM30" s="84">
        <f>AL31</f>
        <v/>
      </c>
      <c r="AN30" s="84">
        <f>AM31</f>
        <v/>
      </c>
      <c r="AO30" s="84">
        <f>AN31</f>
        <v/>
      </c>
      <c r="AP30" s="84">
        <f>AO31</f>
        <v/>
      </c>
      <c r="AQ30" s="84">
        <f>AP31</f>
        <v/>
      </c>
      <c r="AR30" s="84">
        <f>AQ31</f>
        <v/>
      </c>
      <c r="AS30" s="84">
        <f>AR31</f>
        <v/>
      </c>
      <c r="AT30" s="84">
        <f>AS31</f>
        <v/>
      </c>
      <c r="AU30" s="84">
        <f>AT31</f>
        <v/>
      </c>
      <c r="AV30" s="84">
        <f>AU31</f>
        <v/>
      </c>
      <c r="AW30" s="84">
        <f>AV31</f>
        <v/>
      </c>
      <c r="AX30" s="84">
        <f>AW31</f>
        <v/>
      </c>
      <c r="AY30" s="84">
        <f>AX31</f>
        <v/>
      </c>
      <c r="AZ30" s="84">
        <f>AY31</f>
        <v/>
      </c>
      <c r="BA30" s="84">
        <f>AZ31</f>
        <v/>
      </c>
      <c r="BB30" s="84">
        <f>BA31</f>
        <v/>
      </c>
      <c r="BC30" s="84">
        <f>BB31</f>
        <v/>
      </c>
      <c r="BD30" s="84">
        <f>BC31</f>
        <v/>
      </c>
      <c r="BE30" s="84">
        <f>BD31</f>
        <v/>
      </c>
      <c r="BF30" s="84">
        <f>BE31</f>
        <v/>
      </c>
      <c r="BG30" s="84">
        <f>BF31</f>
        <v/>
      </c>
      <c r="BH30" s="84">
        <f>BG31</f>
        <v/>
      </c>
      <c r="BI30" s="84">
        <f>BH31</f>
        <v/>
      </c>
      <c r="BJ30" s="84">
        <f>BI31</f>
        <v/>
      </c>
      <c r="BK30" s="84">
        <f>BJ31</f>
        <v/>
      </c>
      <c r="BL30" s="84">
        <f>BK31</f>
        <v/>
      </c>
      <c r="BM30" s="84">
        <f>BL31</f>
        <v/>
      </c>
      <c r="BN30" s="84">
        <f>BM31</f>
        <v/>
      </c>
      <c r="BO30" s="84">
        <f>BN31</f>
        <v/>
      </c>
      <c r="BP30" s="84">
        <f>BO31</f>
        <v/>
      </c>
      <c r="BQ30" s="84">
        <f>BP31</f>
        <v/>
      </c>
      <c r="BR30" s="84">
        <f>BQ31</f>
        <v/>
      </c>
      <c r="BS30" s="84">
        <f>BR31</f>
        <v/>
      </c>
      <c r="BT30" s="84">
        <f>BS31</f>
        <v/>
      </c>
      <c r="BU30" s="84">
        <f>BT31</f>
        <v/>
      </c>
      <c r="BV30" s="84">
        <f>BU31</f>
        <v/>
      </c>
      <c r="BW30" s="84">
        <f>BV31</f>
        <v/>
      </c>
      <c r="BX30" s="84">
        <f>BW31</f>
        <v/>
      </c>
      <c r="BY30" s="84">
        <f>BX31</f>
        <v/>
      </c>
      <c r="BZ30" s="84">
        <f>BY31</f>
        <v/>
      </c>
      <c r="CA30" s="84">
        <f>BZ31</f>
        <v/>
      </c>
      <c r="CB30" s="84">
        <f>CA31</f>
        <v/>
      </c>
      <c r="CC30" s="84">
        <f>CB31</f>
        <v/>
      </c>
      <c r="CD30" s="84">
        <f>CC31</f>
        <v/>
      </c>
    </row>
    <row r="31">
      <c r="A31" t="inlineStr">
        <is>
          <t>Closing Cash ($)</t>
        </is>
      </c>
      <c r="C31" s="84">
        <f>C30+C29</f>
        <v/>
      </c>
      <c r="D31" s="84">
        <f>D30+D29</f>
        <v/>
      </c>
      <c r="E31" s="84">
        <f>E30+E29</f>
        <v/>
      </c>
      <c r="F31" s="84">
        <f>F30+F29</f>
        <v/>
      </c>
      <c r="G31" s="84">
        <f>G30+G29</f>
        <v/>
      </c>
      <c r="H31" s="84">
        <f>H30+H29</f>
        <v/>
      </c>
      <c r="I31" s="84">
        <f>I30+I29</f>
        <v/>
      </c>
      <c r="J31" s="84">
        <f>J30+J29</f>
        <v/>
      </c>
      <c r="K31" s="84">
        <f>K30+K29</f>
        <v/>
      </c>
      <c r="L31" s="84">
        <f>L30+L29</f>
        <v/>
      </c>
      <c r="M31" s="84">
        <f>M30+M29</f>
        <v/>
      </c>
      <c r="N31" s="84">
        <f>N30+N29</f>
        <v/>
      </c>
      <c r="O31" s="84">
        <f>O30+O29</f>
        <v/>
      </c>
      <c r="P31" s="84">
        <f>P30+P29</f>
        <v/>
      </c>
      <c r="Q31" s="84">
        <f>Q30+Q29</f>
        <v/>
      </c>
      <c r="R31" s="84">
        <f>R30+R29</f>
        <v/>
      </c>
      <c r="S31" s="84">
        <f>S30+S29</f>
        <v/>
      </c>
      <c r="T31" s="84">
        <f>T30+T29</f>
        <v/>
      </c>
      <c r="U31" s="84">
        <f>U30+U29</f>
        <v/>
      </c>
      <c r="V31" s="84">
        <f>V30+V29</f>
        <v/>
      </c>
      <c r="W31" s="84">
        <f>W30+W29</f>
        <v/>
      </c>
      <c r="X31" s="84">
        <f>X30+X29</f>
        <v/>
      </c>
      <c r="Y31" s="84">
        <f>Y30+Y29</f>
        <v/>
      </c>
      <c r="Z31" s="84">
        <f>Z30+Z29</f>
        <v/>
      </c>
      <c r="AA31" s="84">
        <f>AA30+AA29</f>
        <v/>
      </c>
      <c r="AB31" s="84">
        <f>AB30+AB29</f>
        <v/>
      </c>
      <c r="AC31" s="84">
        <f>AC30+AC29</f>
        <v/>
      </c>
      <c r="AD31" s="84">
        <f>AD30+AD29</f>
        <v/>
      </c>
      <c r="AE31" s="84">
        <f>AE30+AE29</f>
        <v/>
      </c>
      <c r="AF31" s="84">
        <f>AF30+AF29</f>
        <v/>
      </c>
      <c r="AG31" s="84">
        <f>AG30+AG29</f>
        <v/>
      </c>
      <c r="AH31" s="84">
        <f>AH30+AH29</f>
        <v/>
      </c>
      <c r="AI31" s="84">
        <f>AI30+AI29</f>
        <v/>
      </c>
      <c r="AJ31" s="84">
        <f>AJ30+AJ29</f>
        <v/>
      </c>
      <c r="AK31" s="84">
        <f>AK30+AK29</f>
        <v/>
      </c>
      <c r="AL31" s="84">
        <f>AL30+AL29</f>
        <v/>
      </c>
      <c r="AM31" s="84">
        <f>AM30+AM29</f>
        <v/>
      </c>
      <c r="AN31" s="84">
        <f>AN30+AN29</f>
        <v/>
      </c>
      <c r="AO31" s="84">
        <f>AO30+AO29</f>
        <v/>
      </c>
      <c r="AP31" s="84">
        <f>AP30+AP29</f>
        <v/>
      </c>
      <c r="AQ31" s="84">
        <f>AQ30+AQ29</f>
        <v/>
      </c>
      <c r="AR31" s="84">
        <f>AR30+AR29</f>
        <v/>
      </c>
      <c r="AS31" s="84">
        <f>AS30+AS29</f>
        <v/>
      </c>
      <c r="AT31" s="84">
        <f>AT30+AT29</f>
        <v/>
      </c>
      <c r="AU31" s="84">
        <f>AU30+AU29</f>
        <v/>
      </c>
      <c r="AV31" s="84">
        <f>AV30+AV29</f>
        <v/>
      </c>
      <c r="AW31" s="84">
        <f>AW30+AW29</f>
        <v/>
      </c>
      <c r="AX31" s="84">
        <f>AX30+AX29</f>
        <v/>
      </c>
      <c r="AY31" s="84">
        <f>AY30+AY29</f>
        <v/>
      </c>
      <c r="AZ31" s="84">
        <f>AZ30+AZ29</f>
        <v/>
      </c>
      <c r="BA31" s="84">
        <f>BA30+BA29</f>
        <v/>
      </c>
      <c r="BB31" s="84">
        <f>BB30+BB29</f>
        <v/>
      </c>
      <c r="BC31" s="84">
        <f>BC30+BC29</f>
        <v/>
      </c>
      <c r="BD31" s="84">
        <f>BD30+BD29</f>
        <v/>
      </c>
      <c r="BE31" s="84">
        <f>BE30+BE29</f>
        <v/>
      </c>
      <c r="BF31" s="84">
        <f>BF30+BF29</f>
        <v/>
      </c>
      <c r="BG31" s="84">
        <f>BG30+BG29</f>
        <v/>
      </c>
      <c r="BH31" s="84">
        <f>BH30+BH29</f>
        <v/>
      </c>
      <c r="BI31" s="84">
        <f>BI30+BI29</f>
        <v/>
      </c>
      <c r="BJ31" s="84">
        <f>BJ30+BJ29</f>
        <v/>
      </c>
      <c r="BK31" s="84">
        <f>BK30+BK29</f>
        <v/>
      </c>
      <c r="BL31" s="84">
        <f>BL30+BL29</f>
        <v/>
      </c>
      <c r="BM31" s="84">
        <f>BM30+BM29</f>
        <v/>
      </c>
      <c r="BN31" s="84">
        <f>BN30+BN29</f>
        <v/>
      </c>
      <c r="BO31" s="84">
        <f>BO30+BO29</f>
        <v/>
      </c>
      <c r="BP31" s="84">
        <f>BP30+BP29</f>
        <v/>
      </c>
      <c r="BQ31" s="84">
        <f>BQ30+BQ29</f>
        <v/>
      </c>
      <c r="BR31" s="84">
        <f>BR30+BR29</f>
        <v/>
      </c>
      <c r="BS31" s="84">
        <f>BS30+BS29</f>
        <v/>
      </c>
      <c r="BT31" s="84">
        <f>BT30+BT29</f>
        <v/>
      </c>
      <c r="BU31" s="84">
        <f>BU30+BU29</f>
        <v/>
      </c>
      <c r="BV31" s="84">
        <f>BV30+BV29</f>
        <v/>
      </c>
      <c r="BW31" s="84">
        <f>BW30+BW29</f>
        <v/>
      </c>
      <c r="BX31" s="84">
        <f>BX30+BX29</f>
        <v/>
      </c>
      <c r="BY31" s="84">
        <f>BY30+BY29</f>
        <v/>
      </c>
      <c r="BZ31" s="84">
        <f>BZ30+BZ29</f>
        <v/>
      </c>
      <c r="CA31" s="84">
        <f>CA30+CA29</f>
        <v/>
      </c>
      <c r="CB31" s="84">
        <f>CB30+CB29</f>
        <v/>
      </c>
      <c r="CC31" s="84">
        <f>CC30+CC29</f>
        <v/>
      </c>
      <c r="CD31" s="84">
        <f>CD30+CD29</f>
        <v/>
      </c>
    </row>
    <row r="33">
      <c r="A33" s="98" t="inlineStr">
        <is>
          <t>CASH FLOW STATEMENT — DIRECT METHOD (cross-check)</t>
        </is>
      </c>
    </row>
    <row r="34">
      <c r="A34" t="inlineStr">
        <is>
          <t>Cash Received from Customers ($)</t>
        </is>
      </c>
      <c r="C34" s="84">
        <f>C6</f>
        <v/>
      </c>
      <c r="D34" s="84">
        <f>D6</f>
        <v/>
      </c>
      <c r="E34" s="84">
        <f>E6</f>
        <v/>
      </c>
      <c r="F34" s="84">
        <f>F6</f>
        <v/>
      </c>
      <c r="G34" s="84">
        <f>G6</f>
        <v/>
      </c>
      <c r="H34" s="84">
        <f>H6</f>
        <v/>
      </c>
      <c r="I34" s="84">
        <f>I6</f>
        <v/>
      </c>
      <c r="J34" s="84">
        <f>J6</f>
        <v/>
      </c>
      <c r="K34" s="84">
        <f>K6</f>
        <v/>
      </c>
      <c r="L34" s="84">
        <f>L6</f>
        <v/>
      </c>
      <c r="M34" s="84">
        <f>M6</f>
        <v/>
      </c>
      <c r="N34" s="84">
        <f>N6</f>
        <v/>
      </c>
      <c r="O34" s="84">
        <f>O6</f>
        <v/>
      </c>
      <c r="P34" s="84">
        <f>P6</f>
        <v/>
      </c>
      <c r="Q34" s="84">
        <f>Q6</f>
        <v/>
      </c>
      <c r="R34" s="84">
        <f>R6</f>
        <v/>
      </c>
      <c r="S34" s="84">
        <f>S6</f>
        <v/>
      </c>
      <c r="T34" s="84">
        <f>T6</f>
        <v/>
      </c>
      <c r="U34" s="84">
        <f>U6</f>
        <v/>
      </c>
      <c r="V34" s="84">
        <f>V6</f>
        <v/>
      </c>
      <c r="W34" s="84">
        <f>W6</f>
        <v/>
      </c>
      <c r="X34" s="84">
        <f>X6</f>
        <v/>
      </c>
      <c r="Y34" s="84">
        <f>Y6</f>
        <v/>
      </c>
      <c r="Z34" s="84">
        <f>Z6</f>
        <v/>
      </c>
      <c r="AA34" s="84">
        <f>AA6</f>
        <v/>
      </c>
      <c r="AB34" s="84">
        <f>AB6</f>
        <v/>
      </c>
      <c r="AC34" s="84">
        <f>AC6</f>
        <v/>
      </c>
      <c r="AD34" s="84">
        <f>AD6</f>
        <v/>
      </c>
      <c r="AE34" s="84">
        <f>AE6</f>
        <v/>
      </c>
      <c r="AF34" s="84">
        <f>AF6</f>
        <v/>
      </c>
      <c r="AG34" s="84">
        <f>AG6</f>
        <v/>
      </c>
      <c r="AH34" s="84">
        <f>AH6</f>
        <v/>
      </c>
      <c r="AI34" s="84">
        <f>AI6</f>
        <v/>
      </c>
      <c r="AJ34" s="84">
        <f>AJ6</f>
        <v/>
      </c>
      <c r="AK34" s="84">
        <f>AK6</f>
        <v/>
      </c>
      <c r="AL34" s="84">
        <f>AL6</f>
        <v/>
      </c>
      <c r="AM34" s="84">
        <f>AM6</f>
        <v/>
      </c>
      <c r="AN34" s="84">
        <f>AN6</f>
        <v/>
      </c>
      <c r="AO34" s="84">
        <f>AO6</f>
        <v/>
      </c>
      <c r="AP34" s="84">
        <f>AP6</f>
        <v/>
      </c>
      <c r="AQ34" s="84">
        <f>AQ6</f>
        <v/>
      </c>
      <c r="AR34" s="84">
        <f>AR6</f>
        <v/>
      </c>
      <c r="AS34" s="84">
        <f>AS6</f>
        <v/>
      </c>
      <c r="AT34" s="84">
        <f>AT6</f>
        <v/>
      </c>
      <c r="AU34" s="84">
        <f>AU6</f>
        <v/>
      </c>
      <c r="AV34" s="84">
        <f>AV6</f>
        <v/>
      </c>
      <c r="AW34" s="84">
        <f>AW6</f>
        <v/>
      </c>
      <c r="AX34" s="84">
        <f>AX6</f>
        <v/>
      </c>
      <c r="AY34" s="84">
        <f>AY6</f>
        <v/>
      </c>
      <c r="AZ34" s="84">
        <f>AZ6</f>
        <v/>
      </c>
      <c r="BA34" s="84">
        <f>BA6</f>
        <v/>
      </c>
      <c r="BB34" s="84">
        <f>BB6</f>
        <v/>
      </c>
      <c r="BC34" s="84">
        <f>BC6</f>
        <v/>
      </c>
      <c r="BD34" s="84">
        <f>BD6</f>
        <v/>
      </c>
      <c r="BE34" s="84">
        <f>BE6</f>
        <v/>
      </c>
      <c r="BF34" s="84">
        <f>BF6</f>
        <v/>
      </c>
      <c r="BG34" s="84">
        <f>BG6</f>
        <v/>
      </c>
      <c r="BH34" s="84">
        <f>BH6</f>
        <v/>
      </c>
      <c r="BI34" s="84">
        <f>BI6</f>
        <v/>
      </c>
      <c r="BJ34" s="84">
        <f>BJ6</f>
        <v/>
      </c>
      <c r="BK34" s="84">
        <f>BK6</f>
        <v/>
      </c>
      <c r="BL34" s="84">
        <f>BL6</f>
        <v/>
      </c>
      <c r="BM34" s="84">
        <f>BM6</f>
        <v/>
      </c>
      <c r="BN34" s="84">
        <f>BN6</f>
        <v/>
      </c>
      <c r="BO34" s="84">
        <f>BO6</f>
        <v/>
      </c>
      <c r="BP34" s="84">
        <f>BP6</f>
        <v/>
      </c>
      <c r="BQ34" s="84">
        <f>BQ6</f>
        <v/>
      </c>
      <c r="BR34" s="84">
        <f>BR6</f>
        <v/>
      </c>
      <c r="BS34" s="84">
        <f>BS6</f>
        <v/>
      </c>
      <c r="BT34" s="84">
        <f>BT6</f>
        <v/>
      </c>
      <c r="BU34" s="84">
        <f>BU6</f>
        <v/>
      </c>
      <c r="BV34" s="84">
        <f>BV6</f>
        <v/>
      </c>
      <c r="BW34" s="84">
        <f>BW6</f>
        <v/>
      </c>
      <c r="BX34" s="84">
        <f>BX6</f>
        <v/>
      </c>
      <c r="BY34" s="84">
        <f>BY6</f>
        <v/>
      </c>
      <c r="BZ34" s="84">
        <f>BZ6</f>
        <v/>
      </c>
      <c r="CA34" s="84">
        <f>CA6</f>
        <v/>
      </c>
      <c r="CB34" s="84">
        <f>CB6</f>
        <v/>
      </c>
      <c r="CC34" s="84">
        <f>CC6</f>
        <v/>
      </c>
      <c r="CD34" s="84">
        <f>CD6</f>
        <v/>
      </c>
    </row>
    <row r="35">
      <c r="A35" t="inlineStr">
        <is>
          <t>Cash Paid for Opex ($)</t>
        </is>
      </c>
      <c r="C35" s="84">
        <f>-C7</f>
        <v/>
      </c>
      <c r="D35" s="84">
        <f>-D7</f>
        <v/>
      </c>
      <c r="E35" s="84">
        <f>-E7</f>
        <v/>
      </c>
      <c r="F35" s="84">
        <f>-F7</f>
        <v/>
      </c>
      <c r="G35" s="84">
        <f>-G7</f>
        <v/>
      </c>
      <c r="H35" s="84">
        <f>-H7</f>
        <v/>
      </c>
      <c r="I35" s="84">
        <f>-I7</f>
        <v/>
      </c>
      <c r="J35" s="84">
        <f>-J7</f>
        <v/>
      </c>
      <c r="K35" s="84">
        <f>-K7</f>
        <v/>
      </c>
      <c r="L35" s="84">
        <f>-L7</f>
        <v/>
      </c>
      <c r="M35" s="84">
        <f>-M7</f>
        <v/>
      </c>
      <c r="N35" s="84">
        <f>-N7</f>
        <v/>
      </c>
      <c r="O35" s="84">
        <f>-O7</f>
        <v/>
      </c>
      <c r="P35" s="84">
        <f>-P7</f>
        <v/>
      </c>
      <c r="Q35" s="84">
        <f>-Q7</f>
        <v/>
      </c>
      <c r="R35" s="84">
        <f>-R7</f>
        <v/>
      </c>
      <c r="S35" s="84">
        <f>-S7</f>
        <v/>
      </c>
      <c r="T35" s="84">
        <f>-T7</f>
        <v/>
      </c>
      <c r="U35" s="84">
        <f>-U7</f>
        <v/>
      </c>
      <c r="V35" s="84">
        <f>-V7</f>
        <v/>
      </c>
      <c r="W35" s="84">
        <f>-W7</f>
        <v/>
      </c>
      <c r="X35" s="84">
        <f>-X7</f>
        <v/>
      </c>
      <c r="Y35" s="84">
        <f>-Y7</f>
        <v/>
      </c>
      <c r="Z35" s="84">
        <f>-Z7</f>
        <v/>
      </c>
      <c r="AA35" s="84">
        <f>-AA7</f>
        <v/>
      </c>
      <c r="AB35" s="84">
        <f>-AB7</f>
        <v/>
      </c>
      <c r="AC35" s="84">
        <f>-AC7</f>
        <v/>
      </c>
      <c r="AD35" s="84">
        <f>-AD7</f>
        <v/>
      </c>
      <c r="AE35" s="84">
        <f>-AE7</f>
        <v/>
      </c>
      <c r="AF35" s="84">
        <f>-AF7</f>
        <v/>
      </c>
      <c r="AG35" s="84">
        <f>-AG7</f>
        <v/>
      </c>
      <c r="AH35" s="84">
        <f>-AH7</f>
        <v/>
      </c>
      <c r="AI35" s="84">
        <f>-AI7</f>
        <v/>
      </c>
      <c r="AJ35" s="84">
        <f>-AJ7</f>
        <v/>
      </c>
      <c r="AK35" s="84">
        <f>-AK7</f>
        <v/>
      </c>
      <c r="AL35" s="84">
        <f>-AL7</f>
        <v/>
      </c>
      <c r="AM35" s="84">
        <f>-AM7</f>
        <v/>
      </c>
      <c r="AN35" s="84">
        <f>-AN7</f>
        <v/>
      </c>
      <c r="AO35" s="84">
        <f>-AO7</f>
        <v/>
      </c>
      <c r="AP35" s="84">
        <f>-AP7</f>
        <v/>
      </c>
      <c r="AQ35" s="84">
        <f>-AQ7</f>
        <v/>
      </c>
      <c r="AR35" s="84">
        <f>-AR7</f>
        <v/>
      </c>
      <c r="AS35" s="84">
        <f>-AS7</f>
        <v/>
      </c>
      <c r="AT35" s="84">
        <f>-AT7</f>
        <v/>
      </c>
      <c r="AU35" s="84">
        <f>-AU7</f>
        <v/>
      </c>
      <c r="AV35" s="84">
        <f>-AV7</f>
        <v/>
      </c>
      <c r="AW35" s="84">
        <f>-AW7</f>
        <v/>
      </c>
      <c r="AX35" s="84">
        <f>-AX7</f>
        <v/>
      </c>
      <c r="AY35" s="84">
        <f>-AY7</f>
        <v/>
      </c>
      <c r="AZ35" s="84">
        <f>-AZ7</f>
        <v/>
      </c>
      <c r="BA35" s="84">
        <f>-BA7</f>
        <v/>
      </c>
      <c r="BB35" s="84">
        <f>-BB7</f>
        <v/>
      </c>
      <c r="BC35" s="84">
        <f>-BC7</f>
        <v/>
      </c>
      <c r="BD35" s="84">
        <f>-BD7</f>
        <v/>
      </c>
      <c r="BE35" s="84">
        <f>-BE7</f>
        <v/>
      </c>
      <c r="BF35" s="84">
        <f>-BF7</f>
        <v/>
      </c>
      <c r="BG35" s="84">
        <f>-BG7</f>
        <v/>
      </c>
      <c r="BH35" s="84">
        <f>-BH7</f>
        <v/>
      </c>
      <c r="BI35" s="84">
        <f>-BI7</f>
        <v/>
      </c>
      <c r="BJ35" s="84">
        <f>-BJ7</f>
        <v/>
      </c>
      <c r="BK35" s="84">
        <f>-BK7</f>
        <v/>
      </c>
      <c r="BL35" s="84">
        <f>-BL7</f>
        <v/>
      </c>
      <c r="BM35" s="84">
        <f>-BM7</f>
        <v/>
      </c>
      <c r="BN35" s="84">
        <f>-BN7</f>
        <v/>
      </c>
      <c r="BO35" s="84">
        <f>-BO7</f>
        <v/>
      </c>
      <c r="BP35" s="84">
        <f>-BP7</f>
        <v/>
      </c>
      <c r="BQ35" s="84">
        <f>-BQ7</f>
        <v/>
      </c>
      <c r="BR35" s="84">
        <f>-BR7</f>
        <v/>
      </c>
      <c r="BS35" s="84">
        <f>-BS7</f>
        <v/>
      </c>
      <c r="BT35" s="84">
        <f>-BT7</f>
        <v/>
      </c>
      <c r="BU35" s="84">
        <f>-BU7</f>
        <v/>
      </c>
      <c r="BV35" s="84">
        <f>-BV7</f>
        <v/>
      </c>
      <c r="BW35" s="84">
        <f>-BW7</f>
        <v/>
      </c>
      <c r="BX35" s="84">
        <f>-BX7</f>
        <v/>
      </c>
      <c r="BY35" s="84">
        <f>-BY7</f>
        <v/>
      </c>
      <c r="BZ35" s="84">
        <f>-BZ7</f>
        <v/>
      </c>
      <c r="CA35" s="84">
        <f>-CA7</f>
        <v/>
      </c>
      <c r="CB35" s="84">
        <f>-CB7</f>
        <v/>
      </c>
      <c r="CC35" s="84">
        <f>-CC7</f>
        <v/>
      </c>
      <c r="CD35" s="84">
        <f>-CD7</f>
        <v/>
      </c>
    </row>
    <row r="36">
      <c r="A36" t="inlineStr">
        <is>
          <t>Cash Paid for Interest ($)</t>
        </is>
      </c>
      <c r="C36" s="84">
        <f>-C11</f>
        <v/>
      </c>
      <c r="D36" s="84">
        <f>-D11</f>
        <v/>
      </c>
      <c r="E36" s="84">
        <f>-E11</f>
        <v/>
      </c>
      <c r="F36" s="84">
        <f>-F11</f>
        <v/>
      </c>
      <c r="G36" s="84">
        <f>-G11</f>
        <v/>
      </c>
      <c r="H36" s="84">
        <f>-H11</f>
        <v/>
      </c>
      <c r="I36" s="84">
        <f>-I11</f>
        <v/>
      </c>
      <c r="J36" s="84">
        <f>-J11</f>
        <v/>
      </c>
      <c r="K36" s="84">
        <f>-K11</f>
        <v/>
      </c>
      <c r="L36" s="84">
        <f>-L11</f>
        <v/>
      </c>
      <c r="M36" s="84">
        <f>-M11</f>
        <v/>
      </c>
      <c r="N36" s="84">
        <f>-N11</f>
        <v/>
      </c>
      <c r="O36" s="84">
        <f>-O11</f>
        <v/>
      </c>
      <c r="P36" s="84">
        <f>-P11</f>
        <v/>
      </c>
      <c r="Q36" s="84">
        <f>-Q11</f>
        <v/>
      </c>
      <c r="R36" s="84">
        <f>-R11</f>
        <v/>
      </c>
      <c r="S36" s="84">
        <f>-S11</f>
        <v/>
      </c>
      <c r="T36" s="84">
        <f>-T11</f>
        <v/>
      </c>
      <c r="U36" s="84">
        <f>-U11</f>
        <v/>
      </c>
      <c r="V36" s="84">
        <f>-V11</f>
        <v/>
      </c>
      <c r="W36" s="84">
        <f>-W11</f>
        <v/>
      </c>
      <c r="X36" s="84">
        <f>-X11</f>
        <v/>
      </c>
      <c r="Y36" s="84">
        <f>-Y11</f>
        <v/>
      </c>
      <c r="Z36" s="84">
        <f>-Z11</f>
        <v/>
      </c>
      <c r="AA36" s="84">
        <f>-AA11</f>
        <v/>
      </c>
      <c r="AB36" s="84">
        <f>-AB11</f>
        <v/>
      </c>
      <c r="AC36" s="84">
        <f>-AC11</f>
        <v/>
      </c>
      <c r="AD36" s="84">
        <f>-AD11</f>
        <v/>
      </c>
      <c r="AE36" s="84">
        <f>-AE11</f>
        <v/>
      </c>
      <c r="AF36" s="84">
        <f>-AF11</f>
        <v/>
      </c>
      <c r="AG36" s="84">
        <f>-AG11</f>
        <v/>
      </c>
      <c r="AH36" s="84">
        <f>-AH11</f>
        <v/>
      </c>
      <c r="AI36" s="84">
        <f>-AI11</f>
        <v/>
      </c>
      <c r="AJ36" s="84">
        <f>-AJ11</f>
        <v/>
      </c>
      <c r="AK36" s="84">
        <f>-AK11</f>
        <v/>
      </c>
      <c r="AL36" s="84">
        <f>-AL11</f>
        <v/>
      </c>
      <c r="AM36" s="84">
        <f>-AM11</f>
        <v/>
      </c>
      <c r="AN36" s="84">
        <f>-AN11</f>
        <v/>
      </c>
      <c r="AO36" s="84">
        <f>-AO11</f>
        <v/>
      </c>
      <c r="AP36" s="84">
        <f>-AP11</f>
        <v/>
      </c>
      <c r="AQ36" s="84">
        <f>-AQ11</f>
        <v/>
      </c>
      <c r="AR36" s="84">
        <f>-AR11</f>
        <v/>
      </c>
      <c r="AS36" s="84">
        <f>-AS11</f>
        <v/>
      </c>
      <c r="AT36" s="84">
        <f>-AT11</f>
        <v/>
      </c>
      <c r="AU36" s="84">
        <f>-AU11</f>
        <v/>
      </c>
      <c r="AV36" s="84">
        <f>-AV11</f>
        <v/>
      </c>
      <c r="AW36" s="84">
        <f>-AW11</f>
        <v/>
      </c>
      <c r="AX36" s="84">
        <f>-AX11</f>
        <v/>
      </c>
      <c r="AY36" s="84">
        <f>-AY11</f>
        <v/>
      </c>
      <c r="AZ36" s="84">
        <f>-AZ11</f>
        <v/>
      </c>
      <c r="BA36" s="84">
        <f>-BA11</f>
        <v/>
      </c>
      <c r="BB36" s="84">
        <f>-BB11</f>
        <v/>
      </c>
      <c r="BC36" s="84">
        <f>-BC11</f>
        <v/>
      </c>
      <c r="BD36" s="84">
        <f>-BD11</f>
        <v/>
      </c>
      <c r="BE36" s="84">
        <f>-BE11</f>
        <v/>
      </c>
      <c r="BF36" s="84">
        <f>-BF11</f>
        <v/>
      </c>
      <c r="BG36" s="84">
        <f>-BG11</f>
        <v/>
      </c>
      <c r="BH36" s="84">
        <f>-BH11</f>
        <v/>
      </c>
      <c r="BI36" s="84">
        <f>-BI11</f>
        <v/>
      </c>
      <c r="BJ36" s="84">
        <f>-BJ11</f>
        <v/>
      </c>
      <c r="BK36" s="84">
        <f>-BK11</f>
        <v/>
      </c>
      <c r="BL36" s="84">
        <f>-BL11</f>
        <v/>
      </c>
      <c r="BM36" s="84">
        <f>-BM11</f>
        <v/>
      </c>
      <c r="BN36" s="84">
        <f>-BN11</f>
        <v/>
      </c>
      <c r="BO36" s="84">
        <f>-BO11</f>
        <v/>
      </c>
      <c r="BP36" s="84">
        <f>-BP11</f>
        <v/>
      </c>
      <c r="BQ36" s="84">
        <f>-BQ11</f>
        <v/>
      </c>
      <c r="BR36" s="84">
        <f>-BR11</f>
        <v/>
      </c>
      <c r="BS36" s="84">
        <f>-BS11</f>
        <v/>
      </c>
      <c r="BT36" s="84">
        <f>-BT11</f>
        <v/>
      </c>
      <c r="BU36" s="84">
        <f>-BU11</f>
        <v/>
      </c>
      <c r="BV36" s="84">
        <f>-BV11</f>
        <v/>
      </c>
      <c r="BW36" s="84">
        <f>-BW11</f>
        <v/>
      </c>
      <c r="BX36" s="84">
        <f>-BX11</f>
        <v/>
      </c>
      <c r="BY36" s="84">
        <f>-BY11</f>
        <v/>
      </c>
      <c r="BZ36" s="84">
        <f>-BZ11</f>
        <v/>
      </c>
      <c r="CA36" s="84">
        <f>-CA11</f>
        <v/>
      </c>
      <c r="CB36" s="84">
        <f>-CB11</f>
        <v/>
      </c>
      <c r="CC36" s="84">
        <f>-CC11</f>
        <v/>
      </c>
      <c r="CD36" s="84">
        <f>-CD11</f>
        <v/>
      </c>
    </row>
    <row r="37">
      <c r="A37" t="inlineStr">
        <is>
          <t>Cash Paid for Tax ($)</t>
        </is>
      </c>
      <c r="C37" s="84">
        <f>-C13</f>
        <v/>
      </c>
      <c r="D37" s="84">
        <f>-D13</f>
        <v/>
      </c>
      <c r="E37" s="84">
        <f>-E13</f>
        <v/>
      </c>
      <c r="F37" s="84">
        <f>-F13</f>
        <v/>
      </c>
      <c r="G37" s="84">
        <f>-G13</f>
        <v/>
      </c>
      <c r="H37" s="84">
        <f>-H13</f>
        <v/>
      </c>
      <c r="I37" s="84">
        <f>-I13</f>
        <v/>
      </c>
      <c r="J37" s="84">
        <f>-J13</f>
        <v/>
      </c>
      <c r="K37" s="84">
        <f>-K13</f>
        <v/>
      </c>
      <c r="L37" s="84">
        <f>-L13</f>
        <v/>
      </c>
      <c r="M37" s="84">
        <f>-M13</f>
        <v/>
      </c>
      <c r="N37" s="84">
        <f>-N13</f>
        <v/>
      </c>
      <c r="O37" s="84">
        <f>-O13</f>
        <v/>
      </c>
      <c r="P37" s="84">
        <f>-P13</f>
        <v/>
      </c>
      <c r="Q37" s="84">
        <f>-Q13</f>
        <v/>
      </c>
      <c r="R37" s="84">
        <f>-R13</f>
        <v/>
      </c>
      <c r="S37" s="84">
        <f>-S13</f>
        <v/>
      </c>
      <c r="T37" s="84">
        <f>-T13</f>
        <v/>
      </c>
      <c r="U37" s="84">
        <f>-U13</f>
        <v/>
      </c>
      <c r="V37" s="84">
        <f>-V13</f>
        <v/>
      </c>
      <c r="W37" s="84">
        <f>-W13</f>
        <v/>
      </c>
      <c r="X37" s="84">
        <f>-X13</f>
        <v/>
      </c>
      <c r="Y37" s="84">
        <f>-Y13</f>
        <v/>
      </c>
      <c r="Z37" s="84">
        <f>-Z13</f>
        <v/>
      </c>
      <c r="AA37" s="84">
        <f>-AA13</f>
        <v/>
      </c>
      <c r="AB37" s="84">
        <f>-AB13</f>
        <v/>
      </c>
      <c r="AC37" s="84">
        <f>-AC13</f>
        <v/>
      </c>
      <c r="AD37" s="84">
        <f>-AD13</f>
        <v/>
      </c>
      <c r="AE37" s="84">
        <f>-AE13</f>
        <v/>
      </c>
      <c r="AF37" s="84">
        <f>-AF13</f>
        <v/>
      </c>
      <c r="AG37" s="84">
        <f>-AG13</f>
        <v/>
      </c>
      <c r="AH37" s="84">
        <f>-AH13</f>
        <v/>
      </c>
      <c r="AI37" s="84">
        <f>-AI13</f>
        <v/>
      </c>
      <c r="AJ37" s="84">
        <f>-AJ13</f>
        <v/>
      </c>
      <c r="AK37" s="84">
        <f>-AK13</f>
        <v/>
      </c>
      <c r="AL37" s="84">
        <f>-AL13</f>
        <v/>
      </c>
      <c r="AM37" s="84">
        <f>-AM13</f>
        <v/>
      </c>
      <c r="AN37" s="84">
        <f>-AN13</f>
        <v/>
      </c>
      <c r="AO37" s="84">
        <f>-AO13</f>
        <v/>
      </c>
      <c r="AP37" s="84">
        <f>-AP13</f>
        <v/>
      </c>
      <c r="AQ37" s="84">
        <f>-AQ13</f>
        <v/>
      </c>
      <c r="AR37" s="84">
        <f>-AR13</f>
        <v/>
      </c>
      <c r="AS37" s="84">
        <f>-AS13</f>
        <v/>
      </c>
      <c r="AT37" s="84">
        <f>-AT13</f>
        <v/>
      </c>
      <c r="AU37" s="84">
        <f>-AU13</f>
        <v/>
      </c>
      <c r="AV37" s="84">
        <f>-AV13</f>
        <v/>
      </c>
      <c r="AW37" s="84">
        <f>-AW13</f>
        <v/>
      </c>
      <c r="AX37" s="84">
        <f>-AX13</f>
        <v/>
      </c>
      <c r="AY37" s="84">
        <f>-AY13</f>
        <v/>
      </c>
      <c r="AZ37" s="84">
        <f>-AZ13</f>
        <v/>
      </c>
      <c r="BA37" s="84">
        <f>-BA13</f>
        <v/>
      </c>
      <c r="BB37" s="84">
        <f>-BB13</f>
        <v/>
      </c>
      <c r="BC37" s="84">
        <f>-BC13</f>
        <v/>
      </c>
      <c r="BD37" s="84">
        <f>-BD13</f>
        <v/>
      </c>
      <c r="BE37" s="84">
        <f>-BE13</f>
        <v/>
      </c>
      <c r="BF37" s="84">
        <f>-BF13</f>
        <v/>
      </c>
      <c r="BG37" s="84">
        <f>-BG13</f>
        <v/>
      </c>
      <c r="BH37" s="84">
        <f>-BH13</f>
        <v/>
      </c>
      <c r="BI37" s="84">
        <f>-BI13</f>
        <v/>
      </c>
      <c r="BJ37" s="84">
        <f>-BJ13</f>
        <v/>
      </c>
      <c r="BK37" s="84">
        <f>-BK13</f>
        <v/>
      </c>
      <c r="BL37" s="84">
        <f>-BL13</f>
        <v/>
      </c>
      <c r="BM37" s="84">
        <f>-BM13</f>
        <v/>
      </c>
      <c r="BN37" s="84">
        <f>-BN13</f>
        <v/>
      </c>
      <c r="BO37" s="84">
        <f>-BO13</f>
        <v/>
      </c>
      <c r="BP37" s="84">
        <f>-BP13</f>
        <v/>
      </c>
      <c r="BQ37" s="84">
        <f>-BQ13</f>
        <v/>
      </c>
      <c r="BR37" s="84">
        <f>-BR13</f>
        <v/>
      </c>
      <c r="BS37" s="84">
        <f>-BS13</f>
        <v/>
      </c>
      <c r="BT37" s="84">
        <f>-BT13</f>
        <v/>
      </c>
      <c r="BU37" s="84">
        <f>-BU13</f>
        <v/>
      </c>
      <c r="BV37" s="84">
        <f>-BV13</f>
        <v/>
      </c>
      <c r="BW37" s="84">
        <f>-BW13</f>
        <v/>
      </c>
      <c r="BX37" s="84">
        <f>-BX13</f>
        <v/>
      </c>
      <c r="BY37" s="84">
        <f>-BY13</f>
        <v/>
      </c>
      <c r="BZ37" s="84">
        <f>-BZ13</f>
        <v/>
      </c>
      <c r="CA37" s="84">
        <f>-CA13</f>
        <v/>
      </c>
      <c r="CB37" s="84">
        <f>-CB13</f>
        <v/>
      </c>
      <c r="CC37" s="84">
        <f>-CC13</f>
        <v/>
      </c>
      <c r="CD37" s="84">
        <f>-CD13</f>
        <v/>
      </c>
    </row>
    <row r="38">
      <c r="A38" t="inlineStr">
        <is>
          <t>Cash Paid — DSRA LC Fee ($)</t>
        </is>
      </c>
      <c r="C38" s="84">
        <f>-C14</f>
        <v/>
      </c>
      <c r="D38" s="84">
        <f>-D14</f>
        <v/>
      </c>
      <c r="E38" s="84">
        <f>-E14</f>
        <v/>
      </c>
      <c r="F38" s="84">
        <f>-F14</f>
        <v/>
      </c>
      <c r="G38" s="84">
        <f>-G14</f>
        <v/>
      </c>
      <c r="H38" s="84">
        <f>-H14</f>
        <v/>
      </c>
      <c r="I38" s="84">
        <f>-I14</f>
        <v/>
      </c>
      <c r="J38" s="84">
        <f>-J14</f>
        <v/>
      </c>
      <c r="K38" s="84">
        <f>-K14</f>
        <v/>
      </c>
      <c r="L38" s="84">
        <f>-L14</f>
        <v/>
      </c>
      <c r="M38" s="84">
        <f>-M14</f>
        <v/>
      </c>
      <c r="N38" s="84">
        <f>-N14</f>
        <v/>
      </c>
      <c r="O38" s="84">
        <f>-O14</f>
        <v/>
      </c>
      <c r="P38" s="84">
        <f>-P14</f>
        <v/>
      </c>
      <c r="Q38" s="84">
        <f>-Q14</f>
        <v/>
      </c>
      <c r="R38" s="84">
        <f>-R14</f>
        <v/>
      </c>
      <c r="S38" s="84">
        <f>-S14</f>
        <v/>
      </c>
      <c r="T38" s="84">
        <f>-T14</f>
        <v/>
      </c>
      <c r="U38" s="84">
        <f>-U14</f>
        <v/>
      </c>
      <c r="V38" s="84">
        <f>-V14</f>
        <v/>
      </c>
      <c r="W38" s="84">
        <f>-W14</f>
        <v/>
      </c>
      <c r="X38" s="84">
        <f>-X14</f>
        <v/>
      </c>
      <c r="Y38" s="84">
        <f>-Y14</f>
        <v/>
      </c>
      <c r="Z38" s="84">
        <f>-Z14</f>
        <v/>
      </c>
      <c r="AA38" s="84">
        <f>-AA14</f>
        <v/>
      </c>
      <c r="AB38" s="84">
        <f>-AB14</f>
        <v/>
      </c>
      <c r="AC38" s="84">
        <f>-AC14</f>
        <v/>
      </c>
      <c r="AD38" s="84">
        <f>-AD14</f>
        <v/>
      </c>
      <c r="AE38" s="84">
        <f>-AE14</f>
        <v/>
      </c>
      <c r="AF38" s="84">
        <f>-AF14</f>
        <v/>
      </c>
      <c r="AG38" s="84">
        <f>-AG14</f>
        <v/>
      </c>
      <c r="AH38" s="84">
        <f>-AH14</f>
        <v/>
      </c>
      <c r="AI38" s="84">
        <f>-AI14</f>
        <v/>
      </c>
      <c r="AJ38" s="84">
        <f>-AJ14</f>
        <v/>
      </c>
      <c r="AK38" s="84">
        <f>-AK14</f>
        <v/>
      </c>
      <c r="AL38" s="84">
        <f>-AL14</f>
        <v/>
      </c>
      <c r="AM38" s="84">
        <f>-AM14</f>
        <v/>
      </c>
      <c r="AN38" s="84">
        <f>-AN14</f>
        <v/>
      </c>
      <c r="AO38" s="84">
        <f>-AO14</f>
        <v/>
      </c>
      <c r="AP38" s="84">
        <f>-AP14</f>
        <v/>
      </c>
      <c r="AQ38" s="84">
        <f>-AQ14</f>
        <v/>
      </c>
      <c r="AR38" s="84">
        <f>-AR14</f>
        <v/>
      </c>
      <c r="AS38" s="84">
        <f>-AS14</f>
        <v/>
      </c>
      <c r="AT38" s="84">
        <f>-AT14</f>
        <v/>
      </c>
      <c r="AU38" s="84">
        <f>-AU14</f>
        <v/>
      </c>
      <c r="AV38" s="84">
        <f>-AV14</f>
        <v/>
      </c>
      <c r="AW38" s="84">
        <f>-AW14</f>
        <v/>
      </c>
      <c r="AX38" s="84">
        <f>-AX14</f>
        <v/>
      </c>
      <c r="AY38" s="84">
        <f>-AY14</f>
        <v/>
      </c>
      <c r="AZ38" s="84">
        <f>-AZ14</f>
        <v/>
      </c>
      <c r="BA38" s="84">
        <f>-BA14</f>
        <v/>
      </c>
      <c r="BB38" s="84">
        <f>-BB14</f>
        <v/>
      </c>
      <c r="BC38" s="84">
        <f>-BC14</f>
        <v/>
      </c>
      <c r="BD38" s="84">
        <f>-BD14</f>
        <v/>
      </c>
      <c r="BE38" s="84">
        <f>-BE14</f>
        <v/>
      </c>
      <c r="BF38" s="84">
        <f>-BF14</f>
        <v/>
      </c>
      <c r="BG38" s="84">
        <f>-BG14</f>
        <v/>
      </c>
      <c r="BH38" s="84">
        <f>-BH14</f>
        <v/>
      </c>
      <c r="BI38" s="84">
        <f>-BI14</f>
        <v/>
      </c>
      <c r="BJ38" s="84">
        <f>-BJ14</f>
        <v/>
      </c>
      <c r="BK38" s="84">
        <f>-BK14</f>
        <v/>
      </c>
      <c r="BL38" s="84">
        <f>-BL14</f>
        <v/>
      </c>
      <c r="BM38" s="84">
        <f>-BM14</f>
        <v/>
      </c>
      <c r="BN38" s="84">
        <f>-BN14</f>
        <v/>
      </c>
      <c r="BO38" s="84">
        <f>-BO14</f>
        <v/>
      </c>
      <c r="BP38" s="84">
        <f>-BP14</f>
        <v/>
      </c>
      <c r="BQ38" s="84">
        <f>-BQ14</f>
        <v/>
      </c>
      <c r="BR38" s="84">
        <f>-BR14</f>
        <v/>
      </c>
      <c r="BS38" s="84">
        <f>-BS14</f>
        <v/>
      </c>
      <c r="BT38" s="84">
        <f>-BT14</f>
        <v/>
      </c>
      <c r="BU38" s="84">
        <f>-BU14</f>
        <v/>
      </c>
      <c r="BV38" s="84">
        <f>-BV14</f>
        <v/>
      </c>
      <c r="BW38" s="84">
        <f>-BW14</f>
        <v/>
      </c>
      <c r="BX38" s="84">
        <f>-BX14</f>
        <v/>
      </c>
      <c r="BY38" s="84">
        <f>-BY14</f>
        <v/>
      </c>
      <c r="BZ38" s="84">
        <f>-BZ14</f>
        <v/>
      </c>
      <c r="CA38" s="84">
        <f>-CA14</f>
        <v/>
      </c>
      <c r="CB38" s="84">
        <f>-CB14</f>
        <v/>
      </c>
      <c r="CC38" s="84">
        <f>-CC14</f>
        <v/>
      </c>
      <c r="CD38" s="84">
        <f>-CD14</f>
        <v/>
      </c>
    </row>
    <row r="39">
      <c r="A39" t="inlineStr">
        <is>
          <t>Cash Flow from Operations ($) — Direct Method</t>
        </is>
      </c>
      <c r="C39" s="84">
        <f>C34+C35+C36+C37+C38</f>
        <v/>
      </c>
      <c r="D39" s="84">
        <f>D34+D35+D36+D37+D38</f>
        <v/>
      </c>
      <c r="E39" s="84">
        <f>E34+E35+E36+E37+E38</f>
        <v/>
      </c>
      <c r="F39" s="84">
        <f>F34+F35+F36+F37+F38</f>
        <v/>
      </c>
      <c r="G39" s="84">
        <f>G34+G35+G36+G37+G38</f>
        <v/>
      </c>
      <c r="H39" s="84">
        <f>H34+H35+H36+H37+H38</f>
        <v/>
      </c>
      <c r="I39" s="84">
        <f>I34+I35+I36+I37+I38</f>
        <v/>
      </c>
      <c r="J39" s="84">
        <f>J34+J35+J36+J37+J38</f>
        <v/>
      </c>
      <c r="K39" s="84">
        <f>K34+K35+K36+K37+K38</f>
        <v/>
      </c>
      <c r="L39" s="84">
        <f>L34+L35+L36+L37+L38</f>
        <v/>
      </c>
      <c r="M39" s="84">
        <f>M34+M35+M36+M37+M38</f>
        <v/>
      </c>
      <c r="N39" s="84">
        <f>N34+N35+N36+N37+N38</f>
        <v/>
      </c>
      <c r="O39" s="84">
        <f>O34+O35+O36+O37+O38</f>
        <v/>
      </c>
      <c r="P39" s="84">
        <f>P34+P35+P36+P37+P38</f>
        <v/>
      </c>
      <c r="Q39" s="84">
        <f>Q34+Q35+Q36+Q37+Q38</f>
        <v/>
      </c>
      <c r="R39" s="84">
        <f>R34+R35+R36+R37+R38</f>
        <v/>
      </c>
      <c r="S39" s="84">
        <f>S34+S35+S36+S37+S38</f>
        <v/>
      </c>
      <c r="T39" s="84">
        <f>T34+T35+T36+T37+T38</f>
        <v/>
      </c>
      <c r="U39" s="84">
        <f>U34+U35+U36+U37+U38</f>
        <v/>
      </c>
      <c r="V39" s="84">
        <f>V34+V35+V36+V37+V38</f>
        <v/>
      </c>
      <c r="W39" s="84">
        <f>W34+W35+W36+W37+W38</f>
        <v/>
      </c>
      <c r="X39" s="84">
        <f>X34+X35+X36+X37+X38</f>
        <v/>
      </c>
      <c r="Y39" s="84">
        <f>Y34+Y35+Y36+Y37+Y38</f>
        <v/>
      </c>
      <c r="Z39" s="84">
        <f>Z34+Z35+Z36+Z37+Z38</f>
        <v/>
      </c>
      <c r="AA39" s="84">
        <f>AA34+AA35+AA36+AA37+AA38</f>
        <v/>
      </c>
      <c r="AB39" s="84">
        <f>AB34+AB35+AB36+AB37+AB38</f>
        <v/>
      </c>
      <c r="AC39" s="84">
        <f>AC34+AC35+AC36+AC37+AC38</f>
        <v/>
      </c>
      <c r="AD39" s="84">
        <f>AD34+AD35+AD36+AD37+AD38</f>
        <v/>
      </c>
      <c r="AE39" s="84">
        <f>AE34+AE35+AE36+AE37+AE38</f>
        <v/>
      </c>
      <c r="AF39" s="84">
        <f>AF34+AF35+AF36+AF37+AF38</f>
        <v/>
      </c>
      <c r="AG39" s="84">
        <f>AG34+AG35+AG36+AG37+AG38</f>
        <v/>
      </c>
      <c r="AH39" s="84">
        <f>AH34+AH35+AH36+AH37+AH38</f>
        <v/>
      </c>
      <c r="AI39" s="84">
        <f>AI34+AI35+AI36+AI37+AI38</f>
        <v/>
      </c>
      <c r="AJ39" s="84">
        <f>AJ34+AJ35+AJ36+AJ37+AJ38</f>
        <v/>
      </c>
      <c r="AK39" s="84">
        <f>AK34+AK35+AK36+AK37+AK38</f>
        <v/>
      </c>
      <c r="AL39" s="84">
        <f>AL34+AL35+AL36+AL37+AL38</f>
        <v/>
      </c>
      <c r="AM39" s="84">
        <f>AM34+AM35+AM36+AM37+AM38</f>
        <v/>
      </c>
      <c r="AN39" s="84">
        <f>AN34+AN35+AN36+AN37+AN38</f>
        <v/>
      </c>
      <c r="AO39" s="84">
        <f>AO34+AO35+AO36+AO37+AO38</f>
        <v/>
      </c>
      <c r="AP39" s="84">
        <f>AP34+AP35+AP36+AP37+AP38</f>
        <v/>
      </c>
      <c r="AQ39" s="84">
        <f>AQ34+AQ35+AQ36+AQ37+AQ38</f>
        <v/>
      </c>
      <c r="AR39" s="84">
        <f>AR34+AR35+AR36+AR37+AR38</f>
        <v/>
      </c>
      <c r="AS39" s="84">
        <f>AS34+AS35+AS36+AS37+AS38</f>
        <v/>
      </c>
      <c r="AT39" s="84">
        <f>AT34+AT35+AT36+AT37+AT38</f>
        <v/>
      </c>
      <c r="AU39" s="84">
        <f>AU34+AU35+AU36+AU37+AU38</f>
        <v/>
      </c>
      <c r="AV39" s="84">
        <f>AV34+AV35+AV36+AV37+AV38</f>
        <v/>
      </c>
      <c r="AW39" s="84">
        <f>AW34+AW35+AW36+AW37+AW38</f>
        <v/>
      </c>
      <c r="AX39" s="84">
        <f>AX34+AX35+AX36+AX37+AX38</f>
        <v/>
      </c>
      <c r="AY39" s="84">
        <f>AY34+AY35+AY36+AY37+AY38</f>
        <v/>
      </c>
      <c r="AZ39" s="84">
        <f>AZ34+AZ35+AZ36+AZ37+AZ38</f>
        <v/>
      </c>
      <c r="BA39" s="84">
        <f>BA34+BA35+BA36+BA37+BA38</f>
        <v/>
      </c>
      <c r="BB39" s="84">
        <f>BB34+BB35+BB36+BB37+BB38</f>
        <v/>
      </c>
      <c r="BC39" s="84">
        <f>BC34+BC35+BC36+BC37+BC38</f>
        <v/>
      </c>
      <c r="BD39" s="84">
        <f>BD34+BD35+BD36+BD37+BD38</f>
        <v/>
      </c>
      <c r="BE39" s="84">
        <f>BE34+BE35+BE36+BE37+BE38</f>
        <v/>
      </c>
      <c r="BF39" s="84">
        <f>BF34+BF35+BF36+BF37+BF38</f>
        <v/>
      </c>
      <c r="BG39" s="84">
        <f>BG34+BG35+BG36+BG37+BG38</f>
        <v/>
      </c>
      <c r="BH39" s="84">
        <f>BH34+BH35+BH36+BH37+BH38</f>
        <v/>
      </c>
      <c r="BI39" s="84">
        <f>BI34+BI35+BI36+BI37+BI38</f>
        <v/>
      </c>
      <c r="BJ39" s="84">
        <f>BJ34+BJ35+BJ36+BJ37+BJ38</f>
        <v/>
      </c>
      <c r="BK39" s="84">
        <f>BK34+BK35+BK36+BK37+BK38</f>
        <v/>
      </c>
      <c r="BL39" s="84">
        <f>BL34+BL35+BL36+BL37+BL38</f>
        <v/>
      </c>
      <c r="BM39" s="84">
        <f>BM34+BM35+BM36+BM37+BM38</f>
        <v/>
      </c>
      <c r="BN39" s="84">
        <f>BN34+BN35+BN36+BN37+BN38</f>
        <v/>
      </c>
      <c r="BO39" s="84">
        <f>BO34+BO35+BO36+BO37+BO38</f>
        <v/>
      </c>
      <c r="BP39" s="84">
        <f>BP34+BP35+BP36+BP37+BP38</f>
        <v/>
      </c>
      <c r="BQ39" s="84">
        <f>BQ34+BQ35+BQ36+BQ37+BQ38</f>
        <v/>
      </c>
      <c r="BR39" s="84">
        <f>BR34+BR35+BR36+BR37+BR38</f>
        <v/>
      </c>
      <c r="BS39" s="84">
        <f>BS34+BS35+BS36+BS37+BS38</f>
        <v/>
      </c>
      <c r="BT39" s="84">
        <f>BT34+BT35+BT36+BT37+BT38</f>
        <v/>
      </c>
      <c r="BU39" s="84">
        <f>BU34+BU35+BU36+BU37+BU38</f>
        <v/>
      </c>
      <c r="BV39" s="84">
        <f>BV34+BV35+BV36+BV37+BV38</f>
        <v/>
      </c>
      <c r="BW39" s="84">
        <f>BW34+BW35+BW36+BW37+BW38</f>
        <v/>
      </c>
      <c r="BX39" s="84">
        <f>BX34+BX35+BX36+BX37+BX38</f>
        <v/>
      </c>
      <c r="BY39" s="84">
        <f>BY34+BY35+BY36+BY37+BY38</f>
        <v/>
      </c>
      <c r="BZ39" s="84">
        <f>BZ34+BZ35+BZ36+BZ37+BZ38</f>
        <v/>
      </c>
      <c r="CA39" s="84">
        <f>CA34+CA35+CA36+CA37+CA38</f>
        <v/>
      </c>
      <c r="CB39" s="84">
        <f>CB34+CB35+CB36+CB37+CB38</f>
        <v/>
      </c>
      <c r="CC39" s="84">
        <f>CC34+CC35+CC36+CC37+CC38</f>
        <v/>
      </c>
      <c r="CD39" s="84">
        <f>CD34+CD35+CD36+CD37+CD38</f>
        <v/>
      </c>
    </row>
    <row r="40">
      <c r="A40" t="inlineStr">
        <is>
          <t>Check: Direct CFO = Indirect CFO</t>
        </is>
      </c>
      <c r="C40" s="84">
        <f>IF(ROUND(C39-C21,2)=0,1,0)</f>
        <v/>
      </c>
      <c r="D40" s="84">
        <f>IF(ROUND(D39-D21,2)=0,1,0)</f>
        <v/>
      </c>
      <c r="E40" s="84">
        <f>IF(ROUND(E39-E21,2)=0,1,0)</f>
        <v/>
      </c>
      <c r="F40" s="84">
        <f>IF(ROUND(F39-F21,2)=0,1,0)</f>
        <v/>
      </c>
      <c r="G40" s="84">
        <f>IF(ROUND(G39-G21,2)=0,1,0)</f>
        <v/>
      </c>
      <c r="H40" s="84">
        <f>IF(ROUND(H39-H21,2)=0,1,0)</f>
        <v/>
      </c>
      <c r="I40" s="84">
        <f>IF(ROUND(I39-I21,2)=0,1,0)</f>
        <v/>
      </c>
      <c r="J40" s="84">
        <f>IF(ROUND(J39-J21,2)=0,1,0)</f>
        <v/>
      </c>
      <c r="K40" s="84">
        <f>IF(ROUND(K39-K21,2)=0,1,0)</f>
        <v/>
      </c>
      <c r="L40" s="84">
        <f>IF(ROUND(L39-L21,2)=0,1,0)</f>
        <v/>
      </c>
      <c r="M40" s="84">
        <f>IF(ROUND(M39-M21,2)=0,1,0)</f>
        <v/>
      </c>
      <c r="N40" s="84">
        <f>IF(ROUND(N39-N21,2)=0,1,0)</f>
        <v/>
      </c>
      <c r="O40" s="84">
        <f>IF(ROUND(O39-O21,2)=0,1,0)</f>
        <v/>
      </c>
      <c r="P40" s="84">
        <f>IF(ROUND(P39-P21,2)=0,1,0)</f>
        <v/>
      </c>
      <c r="Q40" s="84">
        <f>IF(ROUND(Q39-Q21,2)=0,1,0)</f>
        <v/>
      </c>
      <c r="R40" s="84">
        <f>IF(ROUND(R39-R21,2)=0,1,0)</f>
        <v/>
      </c>
      <c r="S40" s="84">
        <f>IF(ROUND(S39-S21,2)=0,1,0)</f>
        <v/>
      </c>
      <c r="T40" s="84">
        <f>IF(ROUND(T39-T21,2)=0,1,0)</f>
        <v/>
      </c>
      <c r="U40" s="84">
        <f>IF(ROUND(U39-U21,2)=0,1,0)</f>
        <v/>
      </c>
      <c r="V40" s="84">
        <f>IF(ROUND(V39-V21,2)=0,1,0)</f>
        <v/>
      </c>
      <c r="W40" s="84">
        <f>IF(ROUND(W39-W21,2)=0,1,0)</f>
        <v/>
      </c>
      <c r="X40" s="84">
        <f>IF(ROUND(X39-X21,2)=0,1,0)</f>
        <v/>
      </c>
      <c r="Y40" s="84">
        <f>IF(ROUND(Y39-Y21,2)=0,1,0)</f>
        <v/>
      </c>
      <c r="Z40" s="84">
        <f>IF(ROUND(Z39-Z21,2)=0,1,0)</f>
        <v/>
      </c>
      <c r="AA40" s="84">
        <f>IF(ROUND(AA39-AA21,2)=0,1,0)</f>
        <v/>
      </c>
      <c r="AB40" s="84">
        <f>IF(ROUND(AB39-AB21,2)=0,1,0)</f>
        <v/>
      </c>
      <c r="AC40" s="84">
        <f>IF(ROUND(AC39-AC21,2)=0,1,0)</f>
        <v/>
      </c>
      <c r="AD40" s="84">
        <f>IF(ROUND(AD39-AD21,2)=0,1,0)</f>
        <v/>
      </c>
      <c r="AE40" s="84">
        <f>IF(ROUND(AE39-AE21,2)=0,1,0)</f>
        <v/>
      </c>
      <c r="AF40" s="84">
        <f>IF(ROUND(AF39-AF21,2)=0,1,0)</f>
        <v/>
      </c>
      <c r="AG40" s="84">
        <f>IF(ROUND(AG39-AG21,2)=0,1,0)</f>
        <v/>
      </c>
      <c r="AH40" s="84">
        <f>IF(ROUND(AH39-AH21,2)=0,1,0)</f>
        <v/>
      </c>
      <c r="AI40" s="84">
        <f>IF(ROUND(AI39-AI21,2)=0,1,0)</f>
        <v/>
      </c>
      <c r="AJ40" s="84">
        <f>IF(ROUND(AJ39-AJ21,2)=0,1,0)</f>
        <v/>
      </c>
      <c r="AK40" s="84">
        <f>IF(ROUND(AK39-AK21,2)=0,1,0)</f>
        <v/>
      </c>
      <c r="AL40" s="84">
        <f>IF(ROUND(AL39-AL21,2)=0,1,0)</f>
        <v/>
      </c>
      <c r="AM40" s="84">
        <f>IF(ROUND(AM39-AM21,2)=0,1,0)</f>
        <v/>
      </c>
      <c r="AN40" s="84">
        <f>IF(ROUND(AN39-AN21,2)=0,1,0)</f>
        <v/>
      </c>
      <c r="AO40" s="84">
        <f>IF(ROUND(AO39-AO21,2)=0,1,0)</f>
        <v/>
      </c>
      <c r="AP40" s="84">
        <f>IF(ROUND(AP39-AP21,2)=0,1,0)</f>
        <v/>
      </c>
      <c r="AQ40" s="84">
        <f>IF(ROUND(AQ39-AQ21,2)=0,1,0)</f>
        <v/>
      </c>
      <c r="AR40" s="84">
        <f>IF(ROUND(AR39-AR21,2)=0,1,0)</f>
        <v/>
      </c>
      <c r="AS40" s="84">
        <f>IF(ROUND(AS39-AS21,2)=0,1,0)</f>
        <v/>
      </c>
      <c r="AT40" s="84">
        <f>IF(ROUND(AT39-AT21,2)=0,1,0)</f>
        <v/>
      </c>
      <c r="AU40" s="84">
        <f>IF(ROUND(AU39-AU21,2)=0,1,0)</f>
        <v/>
      </c>
      <c r="AV40" s="84">
        <f>IF(ROUND(AV39-AV21,2)=0,1,0)</f>
        <v/>
      </c>
      <c r="AW40" s="84">
        <f>IF(ROUND(AW39-AW21,2)=0,1,0)</f>
        <v/>
      </c>
      <c r="AX40" s="84">
        <f>IF(ROUND(AX39-AX21,2)=0,1,0)</f>
        <v/>
      </c>
      <c r="AY40" s="84">
        <f>IF(ROUND(AY39-AY21,2)=0,1,0)</f>
        <v/>
      </c>
      <c r="AZ40" s="84">
        <f>IF(ROUND(AZ39-AZ21,2)=0,1,0)</f>
        <v/>
      </c>
      <c r="BA40" s="84">
        <f>IF(ROUND(BA39-BA21,2)=0,1,0)</f>
        <v/>
      </c>
      <c r="BB40" s="84">
        <f>IF(ROUND(BB39-BB21,2)=0,1,0)</f>
        <v/>
      </c>
      <c r="BC40" s="84">
        <f>IF(ROUND(BC39-BC21,2)=0,1,0)</f>
        <v/>
      </c>
      <c r="BD40" s="84">
        <f>IF(ROUND(BD39-BD21,2)=0,1,0)</f>
        <v/>
      </c>
      <c r="BE40" s="84">
        <f>IF(ROUND(BE39-BE21,2)=0,1,0)</f>
        <v/>
      </c>
      <c r="BF40" s="84">
        <f>IF(ROUND(BF39-BF21,2)=0,1,0)</f>
        <v/>
      </c>
      <c r="BG40" s="84">
        <f>IF(ROUND(BG39-BG21,2)=0,1,0)</f>
        <v/>
      </c>
      <c r="BH40" s="84">
        <f>IF(ROUND(BH39-BH21,2)=0,1,0)</f>
        <v/>
      </c>
      <c r="BI40" s="84">
        <f>IF(ROUND(BI39-BI21,2)=0,1,0)</f>
        <v/>
      </c>
      <c r="BJ40" s="84">
        <f>IF(ROUND(BJ39-BJ21,2)=0,1,0)</f>
        <v/>
      </c>
      <c r="BK40" s="84">
        <f>IF(ROUND(BK39-BK21,2)=0,1,0)</f>
        <v/>
      </c>
      <c r="BL40" s="84">
        <f>IF(ROUND(BL39-BL21,2)=0,1,0)</f>
        <v/>
      </c>
      <c r="BM40" s="84">
        <f>IF(ROUND(BM39-BM21,2)=0,1,0)</f>
        <v/>
      </c>
      <c r="BN40" s="84">
        <f>IF(ROUND(BN39-BN21,2)=0,1,0)</f>
        <v/>
      </c>
      <c r="BO40" s="84">
        <f>IF(ROUND(BO39-BO21,2)=0,1,0)</f>
        <v/>
      </c>
      <c r="BP40" s="84">
        <f>IF(ROUND(BP39-BP21,2)=0,1,0)</f>
        <v/>
      </c>
      <c r="BQ40" s="84">
        <f>IF(ROUND(BQ39-BQ21,2)=0,1,0)</f>
        <v/>
      </c>
      <c r="BR40" s="84">
        <f>IF(ROUND(BR39-BR21,2)=0,1,0)</f>
        <v/>
      </c>
      <c r="BS40" s="84">
        <f>IF(ROUND(BS39-BS21,2)=0,1,0)</f>
        <v/>
      </c>
      <c r="BT40" s="84">
        <f>IF(ROUND(BT39-BT21,2)=0,1,0)</f>
        <v/>
      </c>
      <c r="BU40" s="84">
        <f>IF(ROUND(BU39-BU21,2)=0,1,0)</f>
        <v/>
      </c>
      <c r="BV40" s="84">
        <f>IF(ROUND(BV39-BV21,2)=0,1,0)</f>
        <v/>
      </c>
      <c r="BW40" s="84">
        <f>IF(ROUND(BW39-BW21,2)=0,1,0)</f>
        <v/>
      </c>
      <c r="BX40" s="84">
        <f>IF(ROUND(BX39-BX21,2)=0,1,0)</f>
        <v/>
      </c>
      <c r="BY40" s="84">
        <f>IF(ROUND(BY39-BY21,2)=0,1,0)</f>
        <v/>
      </c>
      <c r="BZ40" s="84">
        <f>IF(ROUND(BZ39-BZ21,2)=0,1,0)</f>
        <v/>
      </c>
      <c r="CA40" s="84">
        <f>IF(ROUND(CA39-CA21,2)=0,1,0)</f>
        <v/>
      </c>
      <c r="CB40" s="84">
        <f>IF(ROUND(CB39-CB21,2)=0,1,0)</f>
        <v/>
      </c>
      <c r="CC40" s="84">
        <f>IF(ROUND(CC39-CC21,2)=0,1,0)</f>
        <v/>
      </c>
      <c r="CD40" s="84">
        <f>IF(ROUND(CD39-CD21,2)=0,1,0)</f>
        <v/>
      </c>
    </row>
    <row r="42">
      <c r="A42" s="98" t="inlineStr">
        <is>
          <t>BALANCE SHEET</t>
        </is>
      </c>
    </row>
    <row r="43">
      <c r="A43" t="inlineStr">
        <is>
          <t>Cash ($) — unrestricted operating buffer</t>
        </is>
      </c>
      <c r="C43" s="84">
        <f>C31</f>
        <v/>
      </c>
      <c r="D43" s="84">
        <f>D31</f>
        <v/>
      </c>
      <c r="E43" s="84">
        <f>E31</f>
        <v/>
      </c>
      <c r="F43" s="84">
        <f>F31</f>
        <v/>
      </c>
      <c r="G43" s="84">
        <f>G31</f>
        <v/>
      </c>
      <c r="H43" s="84">
        <f>H31</f>
        <v/>
      </c>
      <c r="I43" s="84">
        <f>I31</f>
        <v/>
      </c>
      <c r="J43" s="84">
        <f>J31</f>
        <v/>
      </c>
      <c r="K43" s="84">
        <f>K31</f>
        <v/>
      </c>
      <c r="L43" s="84">
        <f>L31</f>
        <v/>
      </c>
      <c r="M43" s="84">
        <f>M31</f>
        <v/>
      </c>
      <c r="N43" s="84">
        <f>N31</f>
        <v/>
      </c>
      <c r="O43" s="84">
        <f>O31</f>
        <v/>
      </c>
      <c r="P43" s="84">
        <f>P31</f>
        <v/>
      </c>
      <c r="Q43" s="84">
        <f>Q31</f>
        <v/>
      </c>
      <c r="R43" s="84">
        <f>R31</f>
        <v/>
      </c>
      <c r="S43" s="84">
        <f>S31</f>
        <v/>
      </c>
      <c r="T43" s="84">
        <f>T31</f>
        <v/>
      </c>
      <c r="U43" s="84">
        <f>U31</f>
        <v/>
      </c>
      <c r="V43" s="84">
        <f>V31</f>
        <v/>
      </c>
      <c r="W43" s="84">
        <f>W31</f>
        <v/>
      </c>
      <c r="X43" s="84">
        <f>X31</f>
        <v/>
      </c>
      <c r="Y43" s="84">
        <f>Y31</f>
        <v/>
      </c>
      <c r="Z43" s="84">
        <f>Z31</f>
        <v/>
      </c>
      <c r="AA43" s="84">
        <f>AA31</f>
        <v/>
      </c>
      <c r="AB43" s="84">
        <f>AB31</f>
        <v/>
      </c>
      <c r="AC43" s="84">
        <f>AC31</f>
        <v/>
      </c>
      <c r="AD43" s="84">
        <f>AD31</f>
        <v/>
      </c>
      <c r="AE43" s="84">
        <f>AE31</f>
        <v/>
      </c>
      <c r="AF43" s="84">
        <f>AF31</f>
        <v/>
      </c>
      <c r="AG43" s="84">
        <f>AG31</f>
        <v/>
      </c>
      <c r="AH43" s="84">
        <f>AH31</f>
        <v/>
      </c>
      <c r="AI43" s="84">
        <f>AI31</f>
        <v/>
      </c>
      <c r="AJ43" s="84">
        <f>AJ31</f>
        <v/>
      </c>
      <c r="AK43" s="84">
        <f>AK31</f>
        <v/>
      </c>
      <c r="AL43" s="84">
        <f>AL31</f>
        <v/>
      </c>
      <c r="AM43" s="84">
        <f>AM31</f>
        <v/>
      </c>
      <c r="AN43" s="84">
        <f>AN31</f>
        <v/>
      </c>
      <c r="AO43" s="84">
        <f>AO31</f>
        <v/>
      </c>
      <c r="AP43" s="84">
        <f>AP31</f>
        <v/>
      </c>
      <c r="AQ43" s="84">
        <f>AQ31</f>
        <v/>
      </c>
      <c r="AR43" s="84">
        <f>AR31</f>
        <v/>
      </c>
      <c r="AS43" s="84">
        <f>AS31</f>
        <v/>
      </c>
      <c r="AT43" s="84">
        <f>AT31</f>
        <v/>
      </c>
      <c r="AU43" s="84">
        <f>AU31</f>
        <v/>
      </c>
      <c r="AV43" s="84">
        <f>AV31</f>
        <v/>
      </c>
      <c r="AW43" s="84">
        <f>AW31</f>
        <v/>
      </c>
      <c r="AX43" s="84">
        <f>AX31</f>
        <v/>
      </c>
      <c r="AY43" s="84">
        <f>AY31</f>
        <v/>
      </c>
      <c r="AZ43" s="84">
        <f>AZ31</f>
        <v/>
      </c>
      <c r="BA43" s="84">
        <f>BA31</f>
        <v/>
      </c>
      <c r="BB43" s="84">
        <f>BB31</f>
        <v/>
      </c>
      <c r="BC43" s="84">
        <f>BC31</f>
        <v/>
      </c>
      <c r="BD43" s="84">
        <f>BD31</f>
        <v/>
      </c>
      <c r="BE43" s="84">
        <f>BE31</f>
        <v/>
      </c>
      <c r="BF43" s="84">
        <f>BF31</f>
        <v/>
      </c>
      <c r="BG43" s="84">
        <f>BG31</f>
        <v/>
      </c>
      <c r="BH43" s="84">
        <f>BH31</f>
        <v/>
      </c>
      <c r="BI43" s="84">
        <f>BI31</f>
        <v/>
      </c>
      <c r="BJ43" s="84">
        <f>BJ31</f>
        <v/>
      </c>
      <c r="BK43" s="84">
        <f>BK31</f>
        <v/>
      </c>
      <c r="BL43" s="84">
        <f>BL31</f>
        <v/>
      </c>
      <c r="BM43" s="84">
        <f>BM31</f>
        <v/>
      </c>
      <c r="BN43" s="84">
        <f>BN31</f>
        <v/>
      </c>
      <c r="BO43" s="84">
        <f>BO31</f>
        <v/>
      </c>
      <c r="BP43" s="84">
        <f>BP31</f>
        <v/>
      </c>
      <c r="BQ43" s="84">
        <f>BQ31</f>
        <v/>
      </c>
      <c r="BR43" s="84">
        <f>BR31</f>
        <v/>
      </c>
      <c r="BS43" s="84">
        <f>BS31</f>
        <v/>
      </c>
      <c r="BT43" s="84">
        <f>BT31</f>
        <v/>
      </c>
      <c r="BU43" s="84">
        <f>BU31</f>
        <v/>
      </c>
      <c r="BV43" s="84">
        <f>BV31</f>
        <v/>
      </c>
      <c r="BW43" s="84">
        <f>BW31</f>
        <v/>
      </c>
      <c r="BX43" s="84">
        <f>BX31</f>
        <v/>
      </c>
      <c r="BY43" s="84">
        <f>BY31</f>
        <v/>
      </c>
      <c r="BZ43" s="84">
        <f>BZ31</f>
        <v/>
      </c>
      <c r="CA43" s="84">
        <f>CA31</f>
        <v/>
      </c>
      <c r="CB43" s="84">
        <f>CB31</f>
        <v/>
      </c>
      <c r="CC43" s="84">
        <f>CC31</f>
        <v/>
      </c>
      <c r="CD43" s="84">
        <f>CD31</f>
        <v/>
      </c>
    </row>
    <row r="44">
      <c r="A44" t="inlineStr">
        <is>
          <t>DSRA Balance ($) — restricted cash</t>
        </is>
      </c>
      <c r="C44" s="63">
        <f>Calc_Financing_Ops!C27</f>
        <v/>
      </c>
      <c r="D44" s="63">
        <f>Calc_Financing_Ops!D27</f>
        <v/>
      </c>
      <c r="E44" s="63">
        <f>Calc_Financing_Ops!E27</f>
        <v/>
      </c>
      <c r="F44" s="63">
        <f>Calc_Financing_Ops!F27</f>
        <v/>
      </c>
      <c r="G44" s="63">
        <f>Calc_Financing_Ops!G27</f>
        <v/>
      </c>
      <c r="H44" s="63">
        <f>Calc_Financing_Ops!H27</f>
        <v/>
      </c>
      <c r="I44" s="63">
        <f>Calc_Financing_Ops!I27</f>
        <v/>
      </c>
      <c r="J44" s="63">
        <f>Calc_Financing_Ops!J27</f>
        <v/>
      </c>
      <c r="K44" s="63">
        <f>Calc_Financing_Ops!K27</f>
        <v/>
      </c>
      <c r="L44" s="63">
        <f>Calc_Financing_Ops!L27</f>
        <v/>
      </c>
      <c r="M44" s="63">
        <f>Calc_Financing_Ops!M27</f>
        <v/>
      </c>
      <c r="N44" s="63">
        <f>Calc_Financing_Ops!N27</f>
        <v/>
      </c>
      <c r="O44" s="63">
        <f>Calc_Financing_Ops!O27</f>
        <v/>
      </c>
      <c r="P44" s="63">
        <f>Calc_Financing_Ops!P27</f>
        <v/>
      </c>
      <c r="Q44" s="63">
        <f>Calc_Financing_Ops!Q27</f>
        <v/>
      </c>
      <c r="R44" s="63">
        <f>Calc_Financing_Ops!R27</f>
        <v/>
      </c>
      <c r="S44" s="63">
        <f>Calc_Financing_Ops!S27</f>
        <v/>
      </c>
      <c r="T44" s="63">
        <f>Calc_Financing_Ops!T27</f>
        <v/>
      </c>
      <c r="U44" s="63">
        <f>Calc_Financing_Ops!U27</f>
        <v/>
      </c>
      <c r="V44" s="63">
        <f>Calc_Financing_Ops!V27</f>
        <v/>
      </c>
      <c r="W44" s="63">
        <f>Calc_Financing_Ops!W27</f>
        <v/>
      </c>
      <c r="X44" s="63">
        <f>Calc_Financing_Ops!X27</f>
        <v/>
      </c>
      <c r="Y44" s="63">
        <f>Calc_Financing_Ops!Y27</f>
        <v/>
      </c>
      <c r="Z44" s="63">
        <f>Calc_Financing_Ops!Z27</f>
        <v/>
      </c>
      <c r="AA44" s="63">
        <f>Calc_Financing_Ops!AA27</f>
        <v/>
      </c>
      <c r="AB44" s="63">
        <f>Calc_Financing_Ops!AB27</f>
        <v/>
      </c>
      <c r="AC44" s="63">
        <f>Calc_Financing_Ops!AC27</f>
        <v/>
      </c>
      <c r="AD44" s="63">
        <f>Calc_Financing_Ops!AD27</f>
        <v/>
      </c>
      <c r="AE44" s="63">
        <f>Calc_Financing_Ops!AE27</f>
        <v/>
      </c>
      <c r="AF44" s="63">
        <f>Calc_Financing_Ops!AF27</f>
        <v/>
      </c>
      <c r="AG44" s="63">
        <f>Calc_Financing_Ops!AG27</f>
        <v/>
      </c>
      <c r="AH44" s="63">
        <f>Calc_Financing_Ops!AH27</f>
        <v/>
      </c>
      <c r="AI44" s="63">
        <f>Calc_Financing_Ops!AI27</f>
        <v/>
      </c>
      <c r="AJ44" s="63">
        <f>Calc_Financing_Ops!AJ27</f>
        <v/>
      </c>
      <c r="AK44" s="63">
        <f>Calc_Financing_Ops!AK27</f>
        <v/>
      </c>
      <c r="AL44" s="63">
        <f>Calc_Financing_Ops!AL27</f>
        <v/>
      </c>
      <c r="AM44" s="63">
        <f>Calc_Financing_Ops!AM27</f>
        <v/>
      </c>
      <c r="AN44" s="63">
        <f>Calc_Financing_Ops!AN27</f>
        <v/>
      </c>
      <c r="AO44" s="63">
        <f>Calc_Financing_Ops!AO27</f>
        <v/>
      </c>
      <c r="AP44" s="63">
        <f>Calc_Financing_Ops!AP27</f>
        <v/>
      </c>
      <c r="AQ44" s="63">
        <f>Calc_Financing_Ops!AQ27</f>
        <v/>
      </c>
      <c r="AR44" s="63">
        <f>Calc_Financing_Ops!AR27</f>
        <v/>
      </c>
      <c r="AS44" s="63">
        <f>Calc_Financing_Ops!AS27</f>
        <v/>
      </c>
      <c r="AT44" s="63">
        <f>Calc_Financing_Ops!AT27</f>
        <v/>
      </c>
      <c r="AU44" s="63">
        <f>Calc_Financing_Ops!AU27</f>
        <v/>
      </c>
      <c r="AV44" s="63">
        <f>Calc_Financing_Ops!AV27</f>
        <v/>
      </c>
      <c r="AW44" s="63">
        <f>Calc_Financing_Ops!AW27</f>
        <v/>
      </c>
      <c r="AX44" s="63">
        <f>Calc_Financing_Ops!AX27</f>
        <v/>
      </c>
      <c r="AY44" s="63">
        <f>Calc_Financing_Ops!AY27</f>
        <v/>
      </c>
      <c r="AZ44" s="63">
        <f>Calc_Financing_Ops!AZ27</f>
        <v/>
      </c>
      <c r="BA44" s="63">
        <f>Calc_Financing_Ops!BA27</f>
        <v/>
      </c>
      <c r="BB44" s="63">
        <f>Calc_Financing_Ops!BB27</f>
        <v/>
      </c>
      <c r="BC44" s="63">
        <f>Calc_Financing_Ops!BC27</f>
        <v/>
      </c>
      <c r="BD44" s="63">
        <f>Calc_Financing_Ops!BD27</f>
        <v/>
      </c>
      <c r="BE44" s="63">
        <f>Calc_Financing_Ops!BE27</f>
        <v/>
      </c>
      <c r="BF44" s="63">
        <f>Calc_Financing_Ops!BF27</f>
        <v/>
      </c>
      <c r="BG44" s="63">
        <f>Calc_Financing_Ops!BG27</f>
        <v/>
      </c>
      <c r="BH44" s="63">
        <f>Calc_Financing_Ops!BH27</f>
        <v/>
      </c>
      <c r="BI44" s="63">
        <f>Calc_Financing_Ops!BI27</f>
        <v/>
      </c>
      <c r="BJ44" s="63">
        <f>Calc_Financing_Ops!BJ27</f>
        <v/>
      </c>
      <c r="BK44" s="63">
        <f>Calc_Financing_Ops!BK27</f>
        <v/>
      </c>
      <c r="BL44" s="63">
        <f>Calc_Financing_Ops!BL27</f>
        <v/>
      </c>
      <c r="BM44" s="63">
        <f>Calc_Financing_Ops!BM27</f>
        <v/>
      </c>
      <c r="BN44" s="63">
        <f>Calc_Financing_Ops!BN27</f>
        <v/>
      </c>
      <c r="BO44" s="63">
        <f>Calc_Financing_Ops!BO27</f>
        <v/>
      </c>
      <c r="BP44" s="63">
        <f>Calc_Financing_Ops!BP27</f>
        <v/>
      </c>
      <c r="BQ44" s="63">
        <f>Calc_Financing_Ops!BQ27</f>
        <v/>
      </c>
      <c r="BR44" s="63">
        <f>Calc_Financing_Ops!BR27</f>
        <v/>
      </c>
      <c r="BS44" s="63">
        <f>Calc_Financing_Ops!BS27</f>
        <v/>
      </c>
      <c r="BT44" s="63">
        <f>Calc_Financing_Ops!BT27</f>
        <v/>
      </c>
      <c r="BU44" s="63">
        <f>Calc_Financing_Ops!BU27</f>
        <v/>
      </c>
      <c r="BV44" s="63">
        <f>Calc_Financing_Ops!BV27</f>
        <v/>
      </c>
      <c r="BW44" s="63">
        <f>Calc_Financing_Ops!BW27</f>
        <v/>
      </c>
      <c r="BX44" s="63">
        <f>Calc_Financing_Ops!BX27</f>
        <v/>
      </c>
      <c r="BY44" s="63">
        <f>Calc_Financing_Ops!BY27</f>
        <v/>
      </c>
      <c r="BZ44" s="63">
        <f>Calc_Financing_Ops!BZ27</f>
        <v/>
      </c>
      <c r="CA44" s="63">
        <f>Calc_Financing_Ops!CA27</f>
        <v/>
      </c>
      <c r="CB44" s="63">
        <f>Calc_Financing_Ops!CB27</f>
        <v/>
      </c>
      <c r="CC44" s="63">
        <f>Calc_Financing_Ops!CC27</f>
        <v/>
      </c>
      <c r="CD44" s="63">
        <f>Calc_Financing_Ops!CD27</f>
        <v/>
      </c>
    </row>
    <row r="45">
      <c r="A45" t="inlineStr">
        <is>
          <t>MRA Balance ($) — restricted cash</t>
        </is>
      </c>
      <c r="C45" s="63">
        <f>Calc_CFADS!C13</f>
        <v/>
      </c>
      <c r="D45" s="63">
        <f>Calc_CFADS!D13</f>
        <v/>
      </c>
      <c r="E45" s="63">
        <f>Calc_CFADS!E13</f>
        <v/>
      </c>
      <c r="F45" s="63">
        <f>Calc_CFADS!F13</f>
        <v/>
      </c>
      <c r="G45" s="63">
        <f>Calc_CFADS!G13</f>
        <v/>
      </c>
      <c r="H45" s="63">
        <f>Calc_CFADS!H13</f>
        <v/>
      </c>
      <c r="I45" s="63">
        <f>Calc_CFADS!I13</f>
        <v/>
      </c>
      <c r="J45" s="63">
        <f>Calc_CFADS!J13</f>
        <v/>
      </c>
      <c r="K45" s="63">
        <f>Calc_CFADS!K13</f>
        <v/>
      </c>
      <c r="L45" s="63">
        <f>Calc_CFADS!L13</f>
        <v/>
      </c>
      <c r="M45" s="63">
        <f>Calc_CFADS!M13</f>
        <v/>
      </c>
      <c r="N45" s="63">
        <f>Calc_CFADS!N13</f>
        <v/>
      </c>
      <c r="O45" s="63">
        <f>Calc_CFADS!O13</f>
        <v/>
      </c>
      <c r="P45" s="63">
        <f>Calc_CFADS!P13</f>
        <v/>
      </c>
      <c r="Q45" s="63">
        <f>Calc_CFADS!Q13</f>
        <v/>
      </c>
      <c r="R45" s="63">
        <f>Calc_CFADS!R13</f>
        <v/>
      </c>
      <c r="S45" s="63">
        <f>Calc_CFADS!S13</f>
        <v/>
      </c>
      <c r="T45" s="63">
        <f>Calc_CFADS!T13</f>
        <v/>
      </c>
      <c r="U45" s="63">
        <f>Calc_CFADS!U13</f>
        <v/>
      </c>
      <c r="V45" s="63">
        <f>Calc_CFADS!V13</f>
        <v/>
      </c>
      <c r="W45" s="63">
        <f>Calc_CFADS!W13</f>
        <v/>
      </c>
      <c r="X45" s="63">
        <f>Calc_CFADS!X13</f>
        <v/>
      </c>
      <c r="Y45" s="63">
        <f>Calc_CFADS!Y13</f>
        <v/>
      </c>
      <c r="Z45" s="63">
        <f>Calc_CFADS!Z13</f>
        <v/>
      </c>
      <c r="AA45" s="63">
        <f>Calc_CFADS!AA13</f>
        <v/>
      </c>
      <c r="AB45" s="63">
        <f>Calc_CFADS!AB13</f>
        <v/>
      </c>
      <c r="AC45" s="63">
        <f>Calc_CFADS!AC13</f>
        <v/>
      </c>
      <c r="AD45" s="63">
        <f>Calc_CFADS!AD13</f>
        <v/>
      </c>
      <c r="AE45" s="63">
        <f>Calc_CFADS!AE13</f>
        <v/>
      </c>
      <c r="AF45" s="63">
        <f>Calc_CFADS!AF13</f>
        <v/>
      </c>
      <c r="AG45" s="63">
        <f>Calc_CFADS!AG13</f>
        <v/>
      </c>
      <c r="AH45" s="63">
        <f>Calc_CFADS!AH13</f>
        <v/>
      </c>
      <c r="AI45" s="63">
        <f>Calc_CFADS!AI13</f>
        <v/>
      </c>
      <c r="AJ45" s="63">
        <f>Calc_CFADS!AJ13</f>
        <v/>
      </c>
      <c r="AK45" s="63">
        <f>Calc_CFADS!AK13</f>
        <v/>
      </c>
      <c r="AL45" s="63">
        <f>Calc_CFADS!AL13</f>
        <v/>
      </c>
      <c r="AM45" s="63">
        <f>Calc_CFADS!AM13</f>
        <v/>
      </c>
      <c r="AN45" s="63">
        <f>Calc_CFADS!AN13</f>
        <v/>
      </c>
      <c r="AO45" s="63">
        <f>Calc_CFADS!AO13</f>
        <v/>
      </c>
      <c r="AP45" s="63">
        <f>Calc_CFADS!AP13</f>
        <v/>
      </c>
      <c r="AQ45" s="63">
        <f>Calc_CFADS!AQ13</f>
        <v/>
      </c>
      <c r="AR45" s="63">
        <f>Calc_CFADS!AR13</f>
        <v/>
      </c>
      <c r="AS45" s="63">
        <f>Calc_CFADS!AS13</f>
        <v/>
      </c>
      <c r="AT45" s="63">
        <f>Calc_CFADS!AT13</f>
        <v/>
      </c>
      <c r="AU45" s="63">
        <f>Calc_CFADS!AU13</f>
        <v/>
      </c>
      <c r="AV45" s="63">
        <f>Calc_CFADS!AV13</f>
        <v/>
      </c>
      <c r="AW45" s="63">
        <f>Calc_CFADS!AW13</f>
        <v/>
      </c>
      <c r="AX45" s="63">
        <f>Calc_CFADS!AX13</f>
        <v/>
      </c>
      <c r="AY45" s="63">
        <f>Calc_CFADS!AY13</f>
        <v/>
      </c>
      <c r="AZ45" s="63">
        <f>Calc_CFADS!AZ13</f>
        <v/>
      </c>
      <c r="BA45" s="63">
        <f>Calc_CFADS!BA13</f>
        <v/>
      </c>
      <c r="BB45" s="63">
        <f>Calc_CFADS!BB13</f>
        <v/>
      </c>
      <c r="BC45" s="63">
        <f>Calc_CFADS!BC13</f>
        <v/>
      </c>
      <c r="BD45" s="63">
        <f>Calc_CFADS!BD13</f>
        <v/>
      </c>
      <c r="BE45" s="63">
        <f>Calc_CFADS!BE13</f>
        <v/>
      </c>
      <c r="BF45" s="63">
        <f>Calc_CFADS!BF13</f>
        <v/>
      </c>
      <c r="BG45" s="63">
        <f>Calc_CFADS!BG13</f>
        <v/>
      </c>
      <c r="BH45" s="63">
        <f>Calc_CFADS!BH13</f>
        <v/>
      </c>
      <c r="BI45" s="63">
        <f>Calc_CFADS!BI13</f>
        <v/>
      </c>
      <c r="BJ45" s="63">
        <f>Calc_CFADS!BJ13</f>
        <v/>
      </c>
      <c r="BK45" s="63">
        <f>Calc_CFADS!BK13</f>
        <v/>
      </c>
      <c r="BL45" s="63">
        <f>Calc_CFADS!BL13</f>
        <v/>
      </c>
      <c r="BM45" s="63">
        <f>Calc_CFADS!BM13</f>
        <v/>
      </c>
      <c r="BN45" s="63">
        <f>Calc_CFADS!BN13</f>
        <v/>
      </c>
      <c r="BO45" s="63">
        <f>Calc_CFADS!BO13</f>
        <v/>
      </c>
      <c r="BP45" s="63">
        <f>Calc_CFADS!BP13</f>
        <v/>
      </c>
      <c r="BQ45" s="63">
        <f>Calc_CFADS!BQ13</f>
        <v/>
      </c>
      <c r="BR45" s="63">
        <f>Calc_CFADS!BR13</f>
        <v/>
      </c>
      <c r="BS45" s="63">
        <f>Calc_CFADS!BS13</f>
        <v/>
      </c>
      <c r="BT45" s="63">
        <f>Calc_CFADS!BT13</f>
        <v/>
      </c>
      <c r="BU45" s="63">
        <f>Calc_CFADS!BU13</f>
        <v/>
      </c>
      <c r="BV45" s="63">
        <f>Calc_CFADS!BV13</f>
        <v/>
      </c>
      <c r="BW45" s="63">
        <f>Calc_CFADS!BW13</f>
        <v/>
      </c>
      <c r="BX45" s="63">
        <f>Calc_CFADS!BX13</f>
        <v/>
      </c>
      <c r="BY45" s="63">
        <f>Calc_CFADS!BY13</f>
        <v/>
      </c>
      <c r="BZ45" s="63">
        <f>Calc_CFADS!BZ13</f>
        <v/>
      </c>
      <c r="CA45" s="63">
        <f>Calc_CFADS!CA13</f>
        <v/>
      </c>
      <c r="CB45" s="63">
        <f>Calc_CFADS!CB13</f>
        <v/>
      </c>
      <c r="CC45" s="63">
        <f>Calc_CFADS!CC13</f>
        <v/>
      </c>
      <c r="CD45" s="63">
        <f>Calc_CFADS!CD13</f>
        <v/>
      </c>
    </row>
    <row r="46">
      <c r="A46" t="inlineStr">
        <is>
          <t>PP&amp;E, Net ($)</t>
        </is>
      </c>
      <c r="C46" s="84">
        <f>Calc_Capex!$Z$17-C22-C9</f>
        <v/>
      </c>
      <c r="D46" s="84">
        <f>C46-D22-D9</f>
        <v/>
      </c>
      <c r="E46" s="84">
        <f>D46-E22-E9</f>
        <v/>
      </c>
      <c r="F46" s="84">
        <f>E46-F22-F9</f>
        <v/>
      </c>
      <c r="G46" s="84">
        <f>F46-G22-G9</f>
        <v/>
      </c>
      <c r="H46" s="84">
        <f>G46-H22-H9</f>
        <v/>
      </c>
      <c r="I46" s="84">
        <f>H46-I22-I9</f>
        <v/>
      </c>
      <c r="J46" s="84">
        <f>I46-J22-J9</f>
        <v/>
      </c>
      <c r="K46" s="84">
        <f>J46-K22-K9</f>
        <v/>
      </c>
      <c r="L46" s="84">
        <f>K46-L22-L9</f>
        <v/>
      </c>
      <c r="M46" s="84">
        <f>L46-M22-M9</f>
        <v/>
      </c>
      <c r="N46" s="84">
        <f>M46-N22-N9</f>
        <v/>
      </c>
      <c r="O46" s="84">
        <f>N46-O22-O9</f>
        <v/>
      </c>
      <c r="P46" s="84">
        <f>O46-P22-P9</f>
        <v/>
      </c>
      <c r="Q46" s="84">
        <f>P46-Q22-Q9</f>
        <v/>
      </c>
      <c r="R46" s="84">
        <f>Q46-R22-R9</f>
        <v/>
      </c>
      <c r="S46" s="84">
        <f>R46-S22-S9</f>
        <v/>
      </c>
      <c r="T46" s="84">
        <f>S46-T22-T9</f>
        <v/>
      </c>
      <c r="U46" s="84">
        <f>T46-U22-U9</f>
        <v/>
      </c>
      <c r="V46" s="84">
        <f>U46-V22-V9</f>
        <v/>
      </c>
      <c r="W46" s="84">
        <f>V46-W22-W9</f>
        <v/>
      </c>
      <c r="X46" s="84">
        <f>W46-X22-X9</f>
        <v/>
      </c>
      <c r="Y46" s="84">
        <f>X46-Y22-Y9</f>
        <v/>
      </c>
      <c r="Z46" s="84">
        <f>Y46-Z22-Z9</f>
        <v/>
      </c>
      <c r="AA46" s="84">
        <f>Z46-AA22-AA9</f>
        <v/>
      </c>
      <c r="AB46" s="84">
        <f>AA46-AB22-AB9</f>
        <v/>
      </c>
      <c r="AC46" s="84">
        <f>AB46-AC22-AC9</f>
        <v/>
      </c>
      <c r="AD46" s="84">
        <f>AC46-AD22-AD9</f>
        <v/>
      </c>
      <c r="AE46" s="84">
        <f>AD46-AE22-AE9</f>
        <v/>
      </c>
      <c r="AF46" s="84">
        <f>AE46-AF22-AF9</f>
        <v/>
      </c>
      <c r="AG46" s="84">
        <f>AF46-AG22-AG9</f>
        <v/>
      </c>
      <c r="AH46" s="84">
        <f>AG46-AH22-AH9</f>
        <v/>
      </c>
      <c r="AI46" s="84">
        <f>AH46-AI22-AI9</f>
        <v/>
      </c>
      <c r="AJ46" s="84">
        <f>AI46-AJ22-AJ9</f>
        <v/>
      </c>
      <c r="AK46" s="84">
        <f>AJ46-AK22-AK9</f>
        <v/>
      </c>
      <c r="AL46" s="84">
        <f>AK46-AL22-AL9</f>
        <v/>
      </c>
      <c r="AM46" s="84">
        <f>AL46-AM22-AM9</f>
        <v/>
      </c>
      <c r="AN46" s="84">
        <f>AM46-AN22-AN9</f>
        <v/>
      </c>
      <c r="AO46" s="84">
        <f>AN46-AO22-AO9</f>
        <v/>
      </c>
      <c r="AP46" s="84">
        <f>AO46-AP22-AP9</f>
        <v/>
      </c>
      <c r="AQ46" s="84">
        <f>AP46-AQ22-AQ9</f>
        <v/>
      </c>
      <c r="AR46" s="84">
        <f>AQ46-AR22-AR9</f>
        <v/>
      </c>
      <c r="AS46" s="84">
        <f>AR46-AS22-AS9</f>
        <v/>
      </c>
      <c r="AT46" s="84">
        <f>AS46-AT22-AT9</f>
        <v/>
      </c>
      <c r="AU46" s="84">
        <f>AT46-AU22-AU9</f>
        <v/>
      </c>
      <c r="AV46" s="84">
        <f>AU46-AV22-AV9</f>
        <v/>
      </c>
      <c r="AW46" s="84">
        <f>AV46-AW22-AW9</f>
        <v/>
      </c>
      <c r="AX46" s="84">
        <f>AW46-AX22-AX9</f>
        <v/>
      </c>
      <c r="AY46" s="84">
        <f>AX46-AY22-AY9</f>
        <v/>
      </c>
      <c r="AZ46" s="84">
        <f>AY46-AZ22-AZ9</f>
        <v/>
      </c>
      <c r="BA46" s="84">
        <f>AZ46-BA22-BA9</f>
        <v/>
      </c>
      <c r="BB46" s="84">
        <f>BA46-BB22-BB9</f>
        <v/>
      </c>
      <c r="BC46" s="84">
        <f>BB46-BC22-BC9</f>
        <v/>
      </c>
      <c r="BD46" s="84">
        <f>BC46-BD22-BD9</f>
        <v/>
      </c>
      <c r="BE46" s="84">
        <f>BD46-BE22-BE9</f>
        <v/>
      </c>
      <c r="BF46" s="84">
        <f>BE46-BF22-BF9</f>
        <v/>
      </c>
      <c r="BG46" s="84">
        <f>BF46-BG22-BG9</f>
        <v/>
      </c>
      <c r="BH46" s="84">
        <f>BG46-BH22-BH9</f>
        <v/>
      </c>
      <c r="BI46" s="84">
        <f>BH46-BI22-BI9</f>
        <v/>
      </c>
      <c r="BJ46" s="84">
        <f>BI46-BJ22-BJ9</f>
        <v/>
      </c>
      <c r="BK46" s="84">
        <f>BJ46-BK22-BK9</f>
        <v/>
      </c>
      <c r="BL46" s="84">
        <f>BK46-BL22-BL9</f>
        <v/>
      </c>
      <c r="BM46" s="84">
        <f>BL46-BM22-BM9</f>
        <v/>
      </c>
      <c r="BN46" s="84">
        <f>BM46-BN22-BN9</f>
        <v/>
      </c>
      <c r="BO46" s="84">
        <f>BN46-BO22-BO9</f>
        <v/>
      </c>
      <c r="BP46" s="84">
        <f>BO46-BP22-BP9</f>
        <v/>
      </c>
      <c r="BQ46" s="84">
        <f>BP46-BQ22-BQ9</f>
        <v/>
      </c>
      <c r="BR46" s="84">
        <f>BQ46-BR22-BR9</f>
        <v/>
      </c>
      <c r="BS46" s="84">
        <f>BR46-BS22-BS9</f>
        <v/>
      </c>
      <c r="BT46" s="84">
        <f>BS46-BT22-BT9</f>
        <v/>
      </c>
      <c r="BU46" s="84">
        <f>BT46-BU22-BU9</f>
        <v/>
      </c>
      <c r="BV46" s="84">
        <f>BU46-BV22-BV9</f>
        <v/>
      </c>
      <c r="BW46" s="84">
        <f>BV46-BW22-BW9</f>
        <v/>
      </c>
      <c r="BX46" s="84">
        <f>BW46-BX22-BX9</f>
        <v/>
      </c>
      <c r="BY46" s="84">
        <f>BX46-BY22-BY9</f>
        <v/>
      </c>
      <c r="BZ46" s="84">
        <f>BY46-BZ22-BZ9</f>
        <v/>
      </c>
      <c r="CA46" s="84">
        <f>BZ46-CA22-CA9</f>
        <v/>
      </c>
      <c r="CB46" s="84">
        <f>CA46-CB22-CB9</f>
        <v/>
      </c>
      <c r="CC46" s="84">
        <f>CB46-CC22-CC9</f>
        <v/>
      </c>
      <c r="CD46" s="84">
        <f>CC46-CD22-CD9</f>
        <v/>
      </c>
    </row>
    <row r="47">
      <c r="A47" t="inlineStr">
        <is>
          <t>Total Assets ($)</t>
        </is>
      </c>
      <c r="C47" s="84">
        <f>C43+C44+C45+C46</f>
        <v/>
      </c>
      <c r="D47" s="84">
        <f>D43+D44+D45+D46</f>
        <v/>
      </c>
      <c r="E47" s="84">
        <f>E43+E44+E45+E46</f>
        <v/>
      </c>
      <c r="F47" s="84">
        <f>F43+F44+F45+F46</f>
        <v/>
      </c>
      <c r="G47" s="84">
        <f>G43+G44+G45+G46</f>
        <v/>
      </c>
      <c r="H47" s="84">
        <f>H43+H44+H45+H46</f>
        <v/>
      </c>
      <c r="I47" s="84">
        <f>I43+I44+I45+I46</f>
        <v/>
      </c>
      <c r="J47" s="84">
        <f>J43+J44+J45+J46</f>
        <v/>
      </c>
      <c r="K47" s="84">
        <f>K43+K44+K45+K46</f>
        <v/>
      </c>
      <c r="L47" s="84">
        <f>L43+L44+L45+L46</f>
        <v/>
      </c>
      <c r="M47" s="84">
        <f>M43+M44+M45+M46</f>
        <v/>
      </c>
      <c r="N47" s="84">
        <f>N43+N44+N45+N46</f>
        <v/>
      </c>
      <c r="O47" s="84">
        <f>O43+O44+O45+O46</f>
        <v/>
      </c>
      <c r="P47" s="84">
        <f>P43+P44+P45+P46</f>
        <v/>
      </c>
      <c r="Q47" s="84">
        <f>Q43+Q44+Q45+Q46</f>
        <v/>
      </c>
      <c r="R47" s="84">
        <f>R43+R44+R45+R46</f>
        <v/>
      </c>
      <c r="S47" s="84">
        <f>S43+S44+S45+S46</f>
        <v/>
      </c>
      <c r="T47" s="84">
        <f>T43+T44+T45+T46</f>
        <v/>
      </c>
      <c r="U47" s="84">
        <f>U43+U44+U45+U46</f>
        <v/>
      </c>
      <c r="V47" s="84">
        <f>V43+V44+V45+V46</f>
        <v/>
      </c>
      <c r="W47" s="84">
        <f>W43+W44+W45+W46</f>
        <v/>
      </c>
      <c r="X47" s="84">
        <f>X43+X44+X45+X46</f>
        <v/>
      </c>
      <c r="Y47" s="84">
        <f>Y43+Y44+Y45+Y46</f>
        <v/>
      </c>
      <c r="Z47" s="84">
        <f>Z43+Z44+Z45+Z46</f>
        <v/>
      </c>
      <c r="AA47" s="84">
        <f>AA43+AA44+AA45+AA46</f>
        <v/>
      </c>
      <c r="AB47" s="84">
        <f>AB43+AB44+AB45+AB46</f>
        <v/>
      </c>
      <c r="AC47" s="84">
        <f>AC43+AC44+AC45+AC46</f>
        <v/>
      </c>
      <c r="AD47" s="84">
        <f>AD43+AD44+AD45+AD46</f>
        <v/>
      </c>
      <c r="AE47" s="84">
        <f>AE43+AE44+AE45+AE46</f>
        <v/>
      </c>
      <c r="AF47" s="84">
        <f>AF43+AF44+AF45+AF46</f>
        <v/>
      </c>
      <c r="AG47" s="84">
        <f>AG43+AG44+AG45+AG46</f>
        <v/>
      </c>
      <c r="AH47" s="84">
        <f>AH43+AH44+AH45+AH46</f>
        <v/>
      </c>
      <c r="AI47" s="84">
        <f>AI43+AI44+AI45+AI46</f>
        <v/>
      </c>
      <c r="AJ47" s="84">
        <f>AJ43+AJ44+AJ45+AJ46</f>
        <v/>
      </c>
      <c r="AK47" s="84">
        <f>AK43+AK44+AK45+AK46</f>
        <v/>
      </c>
      <c r="AL47" s="84">
        <f>AL43+AL44+AL45+AL46</f>
        <v/>
      </c>
      <c r="AM47" s="84">
        <f>AM43+AM44+AM45+AM46</f>
        <v/>
      </c>
      <c r="AN47" s="84">
        <f>AN43+AN44+AN45+AN46</f>
        <v/>
      </c>
      <c r="AO47" s="84">
        <f>AO43+AO44+AO45+AO46</f>
        <v/>
      </c>
      <c r="AP47" s="84">
        <f>AP43+AP44+AP45+AP46</f>
        <v/>
      </c>
      <c r="AQ47" s="84">
        <f>AQ43+AQ44+AQ45+AQ46</f>
        <v/>
      </c>
      <c r="AR47" s="84">
        <f>AR43+AR44+AR45+AR46</f>
        <v/>
      </c>
      <c r="AS47" s="84">
        <f>AS43+AS44+AS45+AS46</f>
        <v/>
      </c>
      <c r="AT47" s="84">
        <f>AT43+AT44+AT45+AT46</f>
        <v/>
      </c>
      <c r="AU47" s="84">
        <f>AU43+AU44+AU45+AU46</f>
        <v/>
      </c>
      <c r="AV47" s="84">
        <f>AV43+AV44+AV45+AV46</f>
        <v/>
      </c>
      <c r="AW47" s="84">
        <f>AW43+AW44+AW45+AW46</f>
        <v/>
      </c>
      <c r="AX47" s="84">
        <f>AX43+AX44+AX45+AX46</f>
        <v/>
      </c>
      <c r="AY47" s="84">
        <f>AY43+AY44+AY45+AY46</f>
        <v/>
      </c>
      <c r="AZ47" s="84">
        <f>AZ43+AZ44+AZ45+AZ46</f>
        <v/>
      </c>
      <c r="BA47" s="84">
        <f>BA43+BA44+BA45+BA46</f>
        <v/>
      </c>
      <c r="BB47" s="84">
        <f>BB43+BB44+BB45+BB46</f>
        <v/>
      </c>
      <c r="BC47" s="84">
        <f>BC43+BC44+BC45+BC46</f>
        <v/>
      </c>
      <c r="BD47" s="84">
        <f>BD43+BD44+BD45+BD46</f>
        <v/>
      </c>
      <c r="BE47" s="84">
        <f>BE43+BE44+BE45+BE46</f>
        <v/>
      </c>
      <c r="BF47" s="84">
        <f>BF43+BF44+BF45+BF46</f>
        <v/>
      </c>
      <c r="BG47" s="84">
        <f>BG43+BG44+BG45+BG46</f>
        <v/>
      </c>
      <c r="BH47" s="84">
        <f>BH43+BH44+BH45+BH46</f>
        <v/>
      </c>
      <c r="BI47" s="84">
        <f>BI43+BI44+BI45+BI46</f>
        <v/>
      </c>
      <c r="BJ47" s="84">
        <f>BJ43+BJ44+BJ45+BJ46</f>
        <v/>
      </c>
      <c r="BK47" s="84">
        <f>BK43+BK44+BK45+BK46</f>
        <v/>
      </c>
      <c r="BL47" s="84">
        <f>BL43+BL44+BL45+BL46</f>
        <v/>
      </c>
      <c r="BM47" s="84">
        <f>BM43+BM44+BM45+BM46</f>
        <v/>
      </c>
      <c r="BN47" s="84">
        <f>BN43+BN44+BN45+BN46</f>
        <v/>
      </c>
      <c r="BO47" s="84">
        <f>BO43+BO44+BO45+BO46</f>
        <v/>
      </c>
      <c r="BP47" s="84">
        <f>BP43+BP44+BP45+BP46</f>
        <v/>
      </c>
      <c r="BQ47" s="84">
        <f>BQ43+BQ44+BQ45+BQ46</f>
        <v/>
      </c>
      <c r="BR47" s="84">
        <f>BR43+BR44+BR45+BR46</f>
        <v/>
      </c>
      <c r="BS47" s="84">
        <f>BS43+BS44+BS45+BS46</f>
        <v/>
      </c>
      <c r="BT47" s="84">
        <f>BT43+BT44+BT45+BT46</f>
        <v/>
      </c>
      <c r="BU47" s="84">
        <f>BU43+BU44+BU45+BU46</f>
        <v/>
      </c>
      <c r="BV47" s="84">
        <f>BV43+BV44+BV45+BV46</f>
        <v/>
      </c>
      <c r="BW47" s="84">
        <f>BW43+BW44+BW45+BW46</f>
        <v/>
      </c>
      <c r="BX47" s="84">
        <f>BX43+BX44+BX45+BX46</f>
        <v/>
      </c>
      <c r="BY47" s="84">
        <f>BY43+BY44+BY45+BY46</f>
        <v/>
      </c>
      <c r="BZ47" s="84">
        <f>BZ43+BZ44+BZ45+BZ46</f>
        <v/>
      </c>
      <c r="CA47" s="84">
        <f>CA43+CA44+CA45+CA46</f>
        <v/>
      </c>
      <c r="CB47" s="84">
        <f>CB43+CB44+CB45+CB46</f>
        <v/>
      </c>
      <c r="CC47" s="84">
        <f>CC43+CC44+CC45+CC46</f>
        <v/>
      </c>
      <c r="CD47" s="84">
        <f>CD43+CD44+CD45+CD46</f>
        <v/>
      </c>
    </row>
    <row r="48">
      <c r="A48" t="inlineStr">
        <is>
          <t>Debt ($)</t>
        </is>
      </c>
      <c r="C48" s="63">
        <f>Calc_Financing_Ops!C23</f>
        <v/>
      </c>
      <c r="D48" s="63">
        <f>Calc_Financing_Ops!D23</f>
        <v/>
      </c>
      <c r="E48" s="63">
        <f>Calc_Financing_Ops!E23</f>
        <v/>
      </c>
      <c r="F48" s="63">
        <f>Calc_Financing_Ops!F23</f>
        <v/>
      </c>
      <c r="G48" s="63">
        <f>Calc_Financing_Ops!G23</f>
        <v/>
      </c>
      <c r="H48" s="63">
        <f>Calc_Financing_Ops!H23</f>
        <v/>
      </c>
      <c r="I48" s="63">
        <f>Calc_Financing_Ops!I23</f>
        <v/>
      </c>
      <c r="J48" s="63">
        <f>Calc_Financing_Ops!J23</f>
        <v/>
      </c>
      <c r="K48" s="63">
        <f>Calc_Financing_Ops!K23</f>
        <v/>
      </c>
      <c r="L48" s="63">
        <f>Calc_Financing_Ops!L23</f>
        <v/>
      </c>
      <c r="M48" s="63">
        <f>Calc_Financing_Ops!M23</f>
        <v/>
      </c>
      <c r="N48" s="63">
        <f>Calc_Financing_Ops!N23</f>
        <v/>
      </c>
      <c r="O48" s="63">
        <f>Calc_Financing_Ops!O23</f>
        <v/>
      </c>
      <c r="P48" s="63">
        <f>Calc_Financing_Ops!P23</f>
        <v/>
      </c>
      <c r="Q48" s="63">
        <f>Calc_Financing_Ops!Q23</f>
        <v/>
      </c>
      <c r="R48" s="63">
        <f>Calc_Financing_Ops!R23</f>
        <v/>
      </c>
      <c r="S48" s="63">
        <f>Calc_Financing_Ops!S23</f>
        <v/>
      </c>
      <c r="T48" s="63">
        <f>Calc_Financing_Ops!T23</f>
        <v/>
      </c>
      <c r="U48" s="63">
        <f>Calc_Financing_Ops!U23</f>
        <v/>
      </c>
      <c r="V48" s="63">
        <f>Calc_Financing_Ops!V23</f>
        <v/>
      </c>
      <c r="W48" s="63">
        <f>Calc_Financing_Ops!W23</f>
        <v/>
      </c>
      <c r="X48" s="63">
        <f>Calc_Financing_Ops!X23</f>
        <v/>
      </c>
      <c r="Y48" s="63">
        <f>Calc_Financing_Ops!Y23</f>
        <v/>
      </c>
      <c r="Z48" s="63">
        <f>Calc_Financing_Ops!Z23</f>
        <v/>
      </c>
      <c r="AA48" s="63">
        <f>Calc_Financing_Ops!AA23</f>
        <v/>
      </c>
      <c r="AB48" s="63">
        <f>Calc_Financing_Ops!AB23</f>
        <v/>
      </c>
      <c r="AC48" s="63">
        <f>Calc_Financing_Ops!AC23</f>
        <v/>
      </c>
      <c r="AD48" s="63">
        <f>Calc_Financing_Ops!AD23</f>
        <v/>
      </c>
      <c r="AE48" s="63">
        <f>Calc_Financing_Ops!AE23</f>
        <v/>
      </c>
      <c r="AF48" s="63">
        <f>Calc_Financing_Ops!AF23</f>
        <v/>
      </c>
      <c r="AG48" s="63">
        <f>Calc_Financing_Ops!AG23</f>
        <v/>
      </c>
      <c r="AH48" s="63">
        <f>Calc_Financing_Ops!AH23</f>
        <v/>
      </c>
      <c r="AI48" s="63">
        <f>Calc_Financing_Ops!AI23</f>
        <v/>
      </c>
      <c r="AJ48" s="63">
        <f>Calc_Financing_Ops!AJ23</f>
        <v/>
      </c>
      <c r="AK48" s="63">
        <f>Calc_Financing_Ops!AK23</f>
        <v/>
      </c>
      <c r="AL48" s="63">
        <f>Calc_Financing_Ops!AL23</f>
        <v/>
      </c>
      <c r="AM48" s="63">
        <f>Calc_Financing_Ops!AM23</f>
        <v/>
      </c>
      <c r="AN48" s="63">
        <f>Calc_Financing_Ops!AN23</f>
        <v/>
      </c>
      <c r="AO48" s="63">
        <f>Calc_Financing_Ops!AO23</f>
        <v/>
      </c>
      <c r="AP48" s="63">
        <f>Calc_Financing_Ops!AP23</f>
        <v/>
      </c>
      <c r="AQ48" s="63">
        <f>Calc_Financing_Ops!AQ23</f>
        <v/>
      </c>
      <c r="AR48" s="63">
        <f>Calc_Financing_Ops!AR23</f>
        <v/>
      </c>
      <c r="AS48" s="63">
        <f>Calc_Financing_Ops!AS23</f>
        <v/>
      </c>
      <c r="AT48" s="63">
        <f>Calc_Financing_Ops!AT23</f>
        <v/>
      </c>
      <c r="AU48" s="63">
        <f>Calc_Financing_Ops!AU23</f>
        <v/>
      </c>
      <c r="AV48" s="63">
        <f>Calc_Financing_Ops!AV23</f>
        <v/>
      </c>
      <c r="AW48" s="63">
        <f>Calc_Financing_Ops!AW23</f>
        <v/>
      </c>
      <c r="AX48" s="63">
        <f>Calc_Financing_Ops!AX23</f>
        <v/>
      </c>
      <c r="AY48" s="63">
        <f>Calc_Financing_Ops!AY23</f>
        <v/>
      </c>
      <c r="AZ48" s="63">
        <f>Calc_Financing_Ops!AZ23</f>
        <v/>
      </c>
      <c r="BA48" s="63">
        <f>Calc_Financing_Ops!BA23</f>
        <v/>
      </c>
      <c r="BB48" s="63">
        <f>Calc_Financing_Ops!BB23</f>
        <v/>
      </c>
      <c r="BC48" s="63">
        <f>Calc_Financing_Ops!BC23</f>
        <v/>
      </c>
      <c r="BD48" s="63">
        <f>Calc_Financing_Ops!BD23</f>
        <v/>
      </c>
      <c r="BE48" s="63">
        <f>Calc_Financing_Ops!BE23</f>
        <v/>
      </c>
      <c r="BF48" s="63">
        <f>Calc_Financing_Ops!BF23</f>
        <v/>
      </c>
      <c r="BG48" s="63">
        <f>Calc_Financing_Ops!BG23</f>
        <v/>
      </c>
      <c r="BH48" s="63">
        <f>Calc_Financing_Ops!BH23</f>
        <v/>
      </c>
      <c r="BI48" s="63">
        <f>Calc_Financing_Ops!BI23</f>
        <v/>
      </c>
      <c r="BJ48" s="63">
        <f>Calc_Financing_Ops!BJ23</f>
        <v/>
      </c>
      <c r="BK48" s="63">
        <f>Calc_Financing_Ops!BK23</f>
        <v/>
      </c>
      <c r="BL48" s="63">
        <f>Calc_Financing_Ops!BL23</f>
        <v/>
      </c>
      <c r="BM48" s="63">
        <f>Calc_Financing_Ops!BM23</f>
        <v/>
      </c>
      <c r="BN48" s="63">
        <f>Calc_Financing_Ops!BN23</f>
        <v/>
      </c>
      <c r="BO48" s="63">
        <f>Calc_Financing_Ops!BO23</f>
        <v/>
      </c>
      <c r="BP48" s="63">
        <f>Calc_Financing_Ops!BP23</f>
        <v/>
      </c>
      <c r="BQ48" s="63">
        <f>Calc_Financing_Ops!BQ23</f>
        <v/>
      </c>
      <c r="BR48" s="63">
        <f>Calc_Financing_Ops!BR23</f>
        <v/>
      </c>
      <c r="BS48" s="63">
        <f>Calc_Financing_Ops!BS23</f>
        <v/>
      </c>
      <c r="BT48" s="63">
        <f>Calc_Financing_Ops!BT23</f>
        <v/>
      </c>
      <c r="BU48" s="63">
        <f>Calc_Financing_Ops!BU23</f>
        <v/>
      </c>
      <c r="BV48" s="63">
        <f>Calc_Financing_Ops!BV23</f>
        <v/>
      </c>
      <c r="BW48" s="63">
        <f>Calc_Financing_Ops!BW23</f>
        <v/>
      </c>
      <c r="BX48" s="63">
        <f>Calc_Financing_Ops!BX23</f>
        <v/>
      </c>
      <c r="BY48" s="63">
        <f>Calc_Financing_Ops!BY23</f>
        <v/>
      </c>
      <c r="BZ48" s="63">
        <f>Calc_Financing_Ops!BZ23</f>
        <v/>
      </c>
      <c r="CA48" s="63">
        <f>Calc_Financing_Ops!CA23</f>
        <v/>
      </c>
      <c r="CB48" s="63">
        <f>Calc_Financing_Ops!CB23</f>
        <v/>
      </c>
      <c r="CC48" s="63">
        <f>Calc_Financing_Ops!CC23</f>
        <v/>
      </c>
      <c r="CD48" s="63">
        <f>Calc_Financing_Ops!CD23</f>
        <v/>
      </c>
    </row>
    <row r="49">
      <c r="A49" t="inlineStr">
        <is>
          <t>Paid-in Capital ($)</t>
        </is>
      </c>
      <c r="C49" s="84">
        <f>Calc_Capex!$Z$13+C27</f>
        <v/>
      </c>
      <c r="D49" s="84">
        <f>C49+D27</f>
        <v/>
      </c>
      <c r="E49" s="84">
        <f>D49+E27</f>
        <v/>
      </c>
      <c r="F49" s="84">
        <f>E49+F27</f>
        <v/>
      </c>
      <c r="G49" s="84">
        <f>F49+G27</f>
        <v/>
      </c>
      <c r="H49" s="84">
        <f>G49+H27</f>
        <v/>
      </c>
      <c r="I49" s="84">
        <f>H49+I27</f>
        <v/>
      </c>
      <c r="J49" s="84">
        <f>I49+J27</f>
        <v/>
      </c>
      <c r="K49" s="84">
        <f>J49+K27</f>
        <v/>
      </c>
      <c r="L49" s="84">
        <f>K49+L27</f>
        <v/>
      </c>
      <c r="M49" s="84">
        <f>L49+M27</f>
        <v/>
      </c>
      <c r="N49" s="84">
        <f>M49+N27</f>
        <v/>
      </c>
      <c r="O49" s="84">
        <f>N49+O27</f>
        <v/>
      </c>
      <c r="P49" s="84">
        <f>O49+P27</f>
        <v/>
      </c>
      <c r="Q49" s="84">
        <f>P49+Q27</f>
        <v/>
      </c>
      <c r="R49" s="84">
        <f>Q49+R27</f>
        <v/>
      </c>
      <c r="S49" s="84">
        <f>R49+S27</f>
        <v/>
      </c>
      <c r="T49" s="84">
        <f>S49+T27</f>
        <v/>
      </c>
      <c r="U49" s="84">
        <f>T49+U27</f>
        <v/>
      </c>
      <c r="V49" s="84">
        <f>U49+V27</f>
        <v/>
      </c>
      <c r="W49" s="84">
        <f>V49+W27</f>
        <v/>
      </c>
      <c r="X49" s="84">
        <f>W49+X27</f>
        <v/>
      </c>
      <c r="Y49" s="84">
        <f>X49+Y27</f>
        <v/>
      </c>
      <c r="Z49" s="84">
        <f>Y49+Z27</f>
        <v/>
      </c>
      <c r="AA49" s="84">
        <f>Z49+AA27</f>
        <v/>
      </c>
      <c r="AB49" s="84">
        <f>AA49+AB27</f>
        <v/>
      </c>
      <c r="AC49" s="84">
        <f>AB49+AC27</f>
        <v/>
      </c>
      <c r="AD49" s="84">
        <f>AC49+AD27</f>
        <v/>
      </c>
      <c r="AE49" s="84">
        <f>AD49+AE27</f>
        <v/>
      </c>
      <c r="AF49" s="84">
        <f>AE49+AF27</f>
        <v/>
      </c>
      <c r="AG49" s="84">
        <f>AF49+AG27</f>
        <v/>
      </c>
      <c r="AH49" s="84">
        <f>AG49+AH27</f>
        <v/>
      </c>
      <c r="AI49" s="84">
        <f>AH49+AI27</f>
        <v/>
      </c>
      <c r="AJ49" s="84">
        <f>AI49+AJ27</f>
        <v/>
      </c>
      <c r="AK49" s="84">
        <f>AJ49+AK27</f>
        <v/>
      </c>
      <c r="AL49" s="84">
        <f>AK49+AL27</f>
        <v/>
      </c>
      <c r="AM49" s="84">
        <f>AL49+AM27</f>
        <v/>
      </c>
      <c r="AN49" s="84">
        <f>AM49+AN27</f>
        <v/>
      </c>
      <c r="AO49" s="84">
        <f>AN49+AO27</f>
        <v/>
      </c>
      <c r="AP49" s="84">
        <f>AO49+AP27</f>
        <v/>
      </c>
      <c r="AQ49" s="84">
        <f>AP49+AQ27</f>
        <v/>
      </c>
      <c r="AR49" s="84">
        <f>AQ49+AR27</f>
        <v/>
      </c>
      <c r="AS49" s="84">
        <f>AR49+AS27</f>
        <v/>
      </c>
      <c r="AT49" s="84">
        <f>AS49+AT27</f>
        <v/>
      </c>
      <c r="AU49" s="84">
        <f>AT49+AU27</f>
        <v/>
      </c>
      <c r="AV49" s="84">
        <f>AU49+AV27</f>
        <v/>
      </c>
      <c r="AW49" s="84">
        <f>AV49+AW27</f>
        <v/>
      </c>
      <c r="AX49" s="84">
        <f>AW49+AX27</f>
        <v/>
      </c>
      <c r="AY49" s="84">
        <f>AX49+AY27</f>
        <v/>
      </c>
      <c r="AZ49" s="84">
        <f>AY49+AZ27</f>
        <v/>
      </c>
      <c r="BA49" s="84">
        <f>AZ49+BA27</f>
        <v/>
      </c>
      <c r="BB49" s="84">
        <f>BA49+BB27</f>
        <v/>
      </c>
      <c r="BC49" s="84">
        <f>BB49+BC27</f>
        <v/>
      </c>
      <c r="BD49" s="84">
        <f>BC49+BD27</f>
        <v/>
      </c>
      <c r="BE49" s="84">
        <f>BD49+BE27</f>
        <v/>
      </c>
      <c r="BF49" s="84">
        <f>BE49+BF27</f>
        <v/>
      </c>
      <c r="BG49" s="84">
        <f>BF49+BG27</f>
        <v/>
      </c>
      <c r="BH49" s="84">
        <f>BG49+BH27</f>
        <v/>
      </c>
      <c r="BI49" s="84">
        <f>BH49+BI27</f>
        <v/>
      </c>
      <c r="BJ49" s="84">
        <f>BI49+BJ27</f>
        <v/>
      </c>
      <c r="BK49" s="84">
        <f>BJ49+BK27</f>
        <v/>
      </c>
      <c r="BL49" s="84">
        <f>BK49+BL27</f>
        <v/>
      </c>
      <c r="BM49" s="84">
        <f>BL49+BM27</f>
        <v/>
      </c>
      <c r="BN49" s="84">
        <f>BM49+BN27</f>
        <v/>
      </c>
      <c r="BO49" s="84">
        <f>BN49+BO27</f>
        <v/>
      </c>
      <c r="BP49" s="84">
        <f>BO49+BP27</f>
        <v/>
      </c>
      <c r="BQ49" s="84">
        <f>BP49+BQ27</f>
        <v/>
      </c>
      <c r="BR49" s="84">
        <f>BQ49+BR27</f>
        <v/>
      </c>
      <c r="BS49" s="84">
        <f>BR49+BS27</f>
        <v/>
      </c>
      <c r="BT49" s="84">
        <f>BS49+BT27</f>
        <v/>
      </c>
      <c r="BU49" s="84">
        <f>BT49+BU27</f>
        <v/>
      </c>
      <c r="BV49" s="84">
        <f>BU49+BV27</f>
        <v/>
      </c>
      <c r="BW49" s="84">
        <f>BV49+BW27</f>
        <v/>
      </c>
      <c r="BX49" s="84">
        <f>BW49+BX27</f>
        <v/>
      </c>
      <c r="BY49" s="84">
        <f>BX49+BY27</f>
        <v/>
      </c>
      <c r="BZ49" s="84">
        <f>BY49+BZ27</f>
        <v/>
      </c>
      <c r="CA49" s="84">
        <f>BZ49+CA27</f>
        <v/>
      </c>
      <c r="CB49" s="84">
        <f>CA49+CB27</f>
        <v/>
      </c>
      <c r="CC49" s="84">
        <f>CB49+CC27</f>
        <v/>
      </c>
      <c r="CD49" s="84">
        <f>CC49+CD27</f>
        <v/>
      </c>
    </row>
    <row r="50">
      <c r="A50" t="inlineStr">
        <is>
          <t>Retained Earnings ($)</t>
        </is>
      </c>
      <c r="C50" s="84">
        <f>C15-C26</f>
        <v/>
      </c>
      <c r="D50" s="84">
        <f>C50+D15-D26</f>
        <v/>
      </c>
      <c r="E50" s="84">
        <f>D50+E15-E26</f>
        <v/>
      </c>
      <c r="F50" s="84">
        <f>E50+F15-F26</f>
        <v/>
      </c>
      <c r="G50" s="84">
        <f>F50+G15-G26</f>
        <v/>
      </c>
      <c r="H50" s="84">
        <f>G50+H15-H26</f>
        <v/>
      </c>
      <c r="I50" s="84">
        <f>H50+I15-I26</f>
        <v/>
      </c>
      <c r="J50" s="84">
        <f>I50+J15-J26</f>
        <v/>
      </c>
      <c r="K50" s="84">
        <f>J50+K15-K26</f>
        <v/>
      </c>
      <c r="L50" s="84">
        <f>K50+L15-L26</f>
        <v/>
      </c>
      <c r="M50" s="84">
        <f>L50+M15-M26</f>
        <v/>
      </c>
      <c r="N50" s="84">
        <f>M50+N15-N26</f>
        <v/>
      </c>
      <c r="O50" s="84">
        <f>N50+O15-O26</f>
        <v/>
      </c>
      <c r="P50" s="84">
        <f>O50+P15-P26</f>
        <v/>
      </c>
      <c r="Q50" s="84">
        <f>P50+Q15-Q26</f>
        <v/>
      </c>
      <c r="R50" s="84">
        <f>Q50+R15-R26</f>
        <v/>
      </c>
      <c r="S50" s="84">
        <f>R50+S15-S26</f>
        <v/>
      </c>
      <c r="T50" s="84">
        <f>S50+T15-T26</f>
        <v/>
      </c>
      <c r="U50" s="84">
        <f>T50+U15-U26</f>
        <v/>
      </c>
      <c r="V50" s="84">
        <f>U50+V15-V26</f>
        <v/>
      </c>
      <c r="W50" s="84">
        <f>V50+W15-W26</f>
        <v/>
      </c>
      <c r="X50" s="84">
        <f>W50+X15-X26</f>
        <v/>
      </c>
      <c r="Y50" s="84">
        <f>X50+Y15-Y26</f>
        <v/>
      </c>
      <c r="Z50" s="84">
        <f>Y50+Z15-Z26</f>
        <v/>
      </c>
      <c r="AA50" s="84">
        <f>Z50+AA15-AA26</f>
        <v/>
      </c>
      <c r="AB50" s="84">
        <f>AA50+AB15-AB26</f>
        <v/>
      </c>
      <c r="AC50" s="84">
        <f>AB50+AC15-AC26</f>
        <v/>
      </c>
      <c r="AD50" s="84">
        <f>AC50+AD15-AD26</f>
        <v/>
      </c>
      <c r="AE50" s="84">
        <f>AD50+AE15-AE26</f>
        <v/>
      </c>
      <c r="AF50" s="84">
        <f>AE50+AF15-AF26</f>
        <v/>
      </c>
      <c r="AG50" s="84">
        <f>AF50+AG15-AG26</f>
        <v/>
      </c>
      <c r="AH50" s="84">
        <f>AG50+AH15-AH26</f>
        <v/>
      </c>
      <c r="AI50" s="84">
        <f>AH50+AI15-AI26</f>
        <v/>
      </c>
      <c r="AJ50" s="84">
        <f>AI50+AJ15-AJ26</f>
        <v/>
      </c>
      <c r="AK50" s="84">
        <f>AJ50+AK15-AK26</f>
        <v/>
      </c>
      <c r="AL50" s="84">
        <f>AK50+AL15-AL26</f>
        <v/>
      </c>
      <c r="AM50" s="84">
        <f>AL50+AM15-AM26</f>
        <v/>
      </c>
      <c r="AN50" s="84">
        <f>AM50+AN15-AN26</f>
        <v/>
      </c>
      <c r="AO50" s="84">
        <f>AN50+AO15-AO26</f>
        <v/>
      </c>
      <c r="AP50" s="84">
        <f>AO50+AP15-AP26</f>
        <v/>
      </c>
      <c r="AQ50" s="84">
        <f>AP50+AQ15-AQ26</f>
        <v/>
      </c>
      <c r="AR50" s="84">
        <f>AQ50+AR15-AR26</f>
        <v/>
      </c>
      <c r="AS50" s="84">
        <f>AR50+AS15-AS26</f>
        <v/>
      </c>
      <c r="AT50" s="84">
        <f>AS50+AT15-AT26</f>
        <v/>
      </c>
      <c r="AU50" s="84">
        <f>AT50+AU15-AU26</f>
        <v/>
      </c>
      <c r="AV50" s="84">
        <f>AU50+AV15-AV26</f>
        <v/>
      </c>
      <c r="AW50" s="84">
        <f>AV50+AW15-AW26</f>
        <v/>
      </c>
      <c r="AX50" s="84">
        <f>AW50+AX15-AX26</f>
        <v/>
      </c>
      <c r="AY50" s="84">
        <f>AX50+AY15-AY26</f>
        <v/>
      </c>
      <c r="AZ50" s="84">
        <f>AY50+AZ15-AZ26</f>
        <v/>
      </c>
      <c r="BA50" s="84">
        <f>AZ50+BA15-BA26</f>
        <v/>
      </c>
      <c r="BB50" s="84">
        <f>BA50+BB15-BB26</f>
        <v/>
      </c>
      <c r="BC50" s="84">
        <f>BB50+BC15-BC26</f>
        <v/>
      </c>
      <c r="BD50" s="84">
        <f>BC50+BD15-BD26</f>
        <v/>
      </c>
      <c r="BE50" s="84">
        <f>BD50+BE15-BE26</f>
        <v/>
      </c>
      <c r="BF50" s="84">
        <f>BE50+BF15-BF26</f>
        <v/>
      </c>
      <c r="BG50" s="84">
        <f>BF50+BG15-BG26</f>
        <v/>
      </c>
      <c r="BH50" s="84">
        <f>BG50+BH15-BH26</f>
        <v/>
      </c>
      <c r="BI50" s="84">
        <f>BH50+BI15-BI26</f>
        <v/>
      </c>
      <c r="BJ50" s="84">
        <f>BI50+BJ15-BJ26</f>
        <v/>
      </c>
      <c r="BK50" s="84">
        <f>BJ50+BK15-BK26</f>
        <v/>
      </c>
      <c r="BL50" s="84">
        <f>BK50+BL15-BL26</f>
        <v/>
      </c>
      <c r="BM50" s="84">
        <f>BL50+BM15-BM26</f>
        <v/>
      </c>
      <c r="BN50" s="84">
        <f>BM50+BN15-BN26</f>
        <v/>
      </c>
      <c r="BO50" s="84">
        <f>BN50+BO15-BO26</f>
        <v/>
      </c>
      <c r="BP50" s="84">
        <f>BO50+BP15-BP26</f>
        <v/>
      </c>
      <c r="BQ50" s="84">
        <f>BP50+BQ15-BQ26</f>
        <v/>
      </c>
      <c r="BR50" s="84">
        <f>BQ50+BR15-BR26</f>
        <v/>
      </c>
      <c r="BS50" s="84">
        <f>BR50+BS15-BS26</f>
        <v/>
      </c>
      <c r="BT50" s="84">
        <f>BS50+BT15-BT26</f>
        <v/>
      </c>
      <c r="BU50" s="84">
        <f>BT50+BU15-BU26</f>
        <v/>
      </c>
      <c r="BV50" s="84">
        <f>BU50+BV15-BV26</f>
        <v/>
      </c>
      <c r="BW50" s="84">
        <f>BV50+BW15-BW26</f>
        <v/>
      </c>
      <c r="BX50" s="84">
        <f>BW50+BX15-BX26</f>
        <v/>
      </c>
      <c r="BY50" s="84">
        <f>BX50+BY15-BY26</f>
        <v/>
      </c>
      <c r="BZ50" s="84">
        <f>BY50+BZ15-BZ26</f>
        <v/>
      </c>
      <c r="CA50" s="84">
        <f>BZ50+CA15-CA26</f>
        <v/>
      </c>
      <c r="CB50" s="84">
        <f>CA50+CB15-CB26</f>
        <v/>
      </c>
      <c r="CC50" s="84">
        <f>CB50+CC15-CC26</f>
        <v/>
      </c>
      <c r="CD50" s="84">
        <f>CC50+CD15-CD26</f>
        <v/>
      </c>
    </row>
    <row r="51">
      <c r="A51" t="inlineStr">
        <is>
          <t>Total Equity ($)</t>
        </is>
      </c>
      <c r="C51" s="84">
        <f>C49+C50</f>
        <v/>
      </c>
      <c r="D51" s="84">
        <f>D49+D50</f>
        <v/>
      </c>
      <c r="E51" s="84">
        <f>E49+E50</f>
        <v/>
      </c>
      <c r="F51" s="84">
        <f>F49+F50</f>
        <v/>
      </c>
      <c r="G51" s="84">
        <f>G49+G50</f>
        <v/>
      </c>
      <c r="H51" s="84">
        <f>H49+H50</f>
        <v/>
      </c>
      <c r="I51" s="84">
        <f>I49+I50</f>
        <v/>
      </c>
      <c r="J51" s="84">
        <f>J49+J50</f>
        <v/>
      </c>
      <c r="K51" s="84">
        <f>K49+K50</f>
        <v/>
      </c>
      <c r="L51" s="84">
        <f>L49+L50</f>
        <v/>
      </c>
      <c r="M51" s="84">
        <f>M49+M50</f>
        <v/>
      </c>
      <c r="N51" s="84">
        <f>N49+N50</f>
        <v/>
      </c>
      <c r="O51" s="84">
        <f>O49+O50</f>
        <v/>
      </c>
      <c r="P51" s="84">
        <f>P49+P50</f>
        <v/>
      </c>
      <c r="Q51" s="84">
        <f>Q49+Q50</f>
        <v/>
      </c>
      <c r="R51" s="84">
        <f>R49+R50</f>
        <v/>
      </c>
      <c r="S51" s="84">
        <f>S49+S50</f>
        <v/>
      </c>
      <c r="T51" s="84">
        <f>T49+T50</f>
        <v/>
      </c>
      <c r="U51" s="84">
        <f>U49+U50</f>
        <v/>
      </c>
      <c r="V51" s="84">
        <f>V49+V50</f>
        <v/>
      </c>
      <c r="W51" s="84">
        <f>W49+W50</f>
        <v/>
      </c>
      <c r="X51" s="84">
        <f>X49+X50</f>
        <v/>
      </c>
      <c r="Y51" s="84">
        <f>Y49+Y50</f>
        <v/>
      </c>
      <c r="Z51" s="84">
        <f>Z49+Z50</f>
        <v/>
      </c>
      <c r="AA51" s="84">
        <f>AA49+AA50</f>
        <v/>
      </c>
      <c r="AB51" s="84">
        <f>AB49+AB50</f>
        <v/>
      </c>
      <c r="AC51" s="84">
        <f>AC49+AC50</f>
        <v/>
      </c>
      <c r="AD51" s="84">
        <f>AD49+AD50</f>
        <v/>
      </c>
      <c r="AE51" s="84">
        <f>AE49+AE50</f>
        <v/>
      </c>
      <c r="AF51" s="84">
        <f>AF49+AF50</f>
        <v/>
      </c>
      <c r="AG51" s="84">
        <f>AG49+AG50</f>
        <v/>
      </c>
      <c r="AH51" s="84">
        <f>AH49+AH50</f>
        <v/>
      </c>
      <c r="AI51" s="84">
        <f>AI49+AI50</f>
        <v/>
      </c>
      <c r="AJ51" s="84">
        <f>AJ49+AJ50</f>
        <v/>
      </c>
      <c r="AK51" s="84">
        <f>AK49+AK50</f>
        <v/>
      </c>
      <c r="AL51" s="84">
        <f>AL49+AL50</f>
        <v/>
      </c>
      <c r="AM51" s="84">
        <f>AM49+AM50</f>
        <v/>
      </c>
      <c r="AN51" s="84">
        <f>AN49+AN50</f>
        <v/>
      </c>
      <c r="AO51" s="84">
        <f>AO49+AO50</f>
        <v/>
      </c>
      <c r="AP51" s="84">
        <f>AP49+AP50</f>
        <v/>
      </c>
      <c r="AQ51" s="84">
        <f>AQ49+AQ50</f>
        <v/>
      </c>
      <c r="AR51" s="84">
        <f>AR49+AR50</f>
        <v/>
      </c>
      <c r="AS51" s="84">
        <f>AS49+AS50</f>
        <v/>
      </c>
      <c r="AT51" s="84">
        <f>AT49+AT50</f>
        <v/>
      </c>
      <c r="AU51" s="84">
        <f>AU49+AU50</f>
        <v/>
      </c>
      <c r="AV51" s="84">
        <f>AV49+AV50</f>
        <v/>
      </c>
      <c r="AW51" s="84">
        <f>AW49+AW50</f>
        <v/>
      </c>
      <c r="AX51" s="84">
        <f>AX49+AX50</f>
        <v/>
      </c>
      <c r="AY51" s="84">
        <f>AY49+AY50</f>
        <v/>
      </c>
      <c r="AZ51" s="84">
        <f>AZ49+AZ50</f>
        <v/>
      </c>
      <c r="BA51" s="84">
        <f>BA49+BA50</f>
        <v/>
      </c>
      <c r="BB51" s="84">
        <f>BB49+BB50</f>
        <v/>
      </c>
      <c r="BC51" s="84">
        <f>BC49+BC50</f>
        <v/>
      </c>
      <c r="BD51" s="84">
        <f>BD49+BD50</f>
        <v/>
      </c>
      <c r="BE51" s="84">
        <f>BE49+BE50</f>
        <v/>
      </c>
      <c r="BF51" s="84">
        <f>BF49+BF50</f>
        <v/>
      </c>
      <c r="BG51" s="84">
        <f>BG49+BG50</f>
        <v/>
      </c>
      <c r="BH51" s="84">
        <f>BH49+BH50</f>
        <v/>
      </c>
      <c r="BI51" s="84">
        <f>BI49+BI50</f>
        <v/>
      </c>
      <c r="BJ51" s="84">
        <f>BJ49+BJ50</f>
        <v/>
      </c>
      <c r="BK51" s="84">
        <f>BK49+BK50</f>
        <v/>
      </c>
      <c r="BL51" s="84">
        <f>BL49+BL50</f>
        <v/>
      </c>
      <c r="BM51" s="84">
        <f>BM49+BM50</f>
        <v/>
      </c>
      <c r="BN51" s="84">
        <f>BN49+BN50</f>
        <v/>
      </c>
      <c r="BO51" s="84">
        <f>BO49+BO50</f>
        <v/>
      </c>
      <c r="BP51" s="84">
        <f>BP49+BP50</f>
        <v/>
      </c>
      <c r="BQ51" s="84">
        <f>BQ49+BQ50</f>
        <v/>
      </c>
      <c r="BR51" s="84">
        <f>BR49+BR50</f>
        <v/>
      </c>
      <c r="BS51" s="84">
        <f>BS49+BS50</f>
        <v/>
      </c>
      <c r="BT51" s="84">
        <f>BT49+BT50</f>
        <v/>
      </c>
      <c r="BU51" s="84">
        <f>BU49+BU50</f>
        <v/>
      </c>
      <c r="BV51" s="84">
        <f>BV49+BV50</f>
        <v/>
      </c>
      <c r="BW51" s="84">
        <f>BW49+BW50</f>
        <v/>
      </c>
      <c r="BX51" s="84">
        <f>BX49+BX50</f>
        <v/>
      </c>
      <c r="BY51" s="84">
        <f>BY49+BY50</f>
        <v/>
      </c>
      <c r="BZ51" s="84">
        <f>BZ49+BZ50</f>
        <v/>
      </c>
      <c r="CA51" s="84">
        <f>CA49+CA50</f>
        <v/>
      </c>
      <c r="CB51" s="84">
        <f>CB49+CB50</f>
        <v/>
      </c>
      <c r="CC51" s="84">
        <f>CC49+CC50</f>
        <v/>
      </c>
      <c r="CD51" s="84">
        <f>CD49+CD50</f>
        <v/>
      </c>
    </row>
    <row r="52">
      <c r="A52" t="inlineStr">
        <is>
          <t>Total Liabilities + Equity ($)</t>
        </is>
      </c>
      <c r="C52" s="84">
        <f>C48+C51</f>
        <v/>
      </c>
      <c r="D52" s="84">
        <f>D48+D51</f>
        <v/>
      </c>
      <c r="E52" s="84">
        <f>E48+E51</f>
        <v/>
      </c>
      <c r="F52" s="84">
        <f>F48+F51</f>
        <v/>
      </c>
      <c r="G52" s="84">
        <f>G48+G51</f>
        <v/>
      </c>
      <c r="H52" s="84">
        <f>H48+H51</f>
        <v/>
      </c>
      <c r="I52" s="84">
        <f>I48+I51</f>
        <v/>
      </c>
      <c r="J52" s="84">
        <f>J48+J51</f>
        <v/>
      </c>
      <c r="K52" s="84">
        <f>K48+K51</f>
        <v/>
      </c>
      <c r="L52" s="84">
        <f>L48+L51</f>
        <v/>
      </c>
      <c r="M52" s="84">
        <f>M48+M51</f>
        <v/>
      </c>
      <c r="N52" s="84">
        <f>N48+N51</f>
        <v/>
      </c>
      <c r="O52" s="84">
        <f>O48+O51</f>
        <v/>
      </c>
      <c r="P52" s="84">
        <f>P48+P51</f>
        <v/>
      </c>
      <c r="Q52" s="84">
        <f>Q48+Q51</f>
        <v/>
      </c>
      <c r="R52" s="84">
        <f>R48+R51</f>
        <v/>
      </c>
      <c r="S52" s="84">
        <f>S48+S51</f>
        <v/>
      </c>
      <c r="T52" s="84">
        <f>T48+T51</f>
        <v/>
      </c>
      <c r="U52" s="84">
        <f>U48+U51</f>
        <v/>
      </c>
      <c r="V52" s="84">
        <f>V48+V51</f>
        <v/>
      </c>
      <c r="W52" s="84">
        <f>W48+W51</f>
        <v/>
      </c>
      <c r="X52" s="84">
        <f>X48+X51</f>
        <v/>
      </c>
      <c r="Y52" s="84">
        <f>Y48+Y51</f>
        <v/>
      </c>
      <c r="Z52" s="84">
        <f>Z48+Z51</f>
        <v/>
      </c>
      <c r="AA52" s="84">
        <f>AA48+AA51</f>
        <v/>
      </c>
      <c r="AB52" s="84">
        <f>AB48+AB51</f>
        <v/>
      </c>
      <c r="AC52" s="84">
        <f>AC48+AC51</f>
        <v/>
      </c>
      <c r="AD52" s="84">
        <f>AD48+AD51</f>
        <v/>
      </c>
      <c r="AE52" s="84">
        <f>AE48+AE51</f>
        <v/>
      </c>
      <c r="AF52" s="84">
        <f>AF48+AF51</f>
        <v/>
      </c>
      <c r="AG52" s="84">
        <f>AG48+AG51</f>
        <v/>
      </c>
      <c r="AH52" s="84">
        <f>AH48+AH51</f>
        <v/>
      </c>
      <c r="AI52" s="84">
        <f>AI48+AI51</f>
        <v/>
      </c>
      <c r="AJ52" s="84">
        <f>AJ48+AJ51</f>
        <v/>
      </c>
      <c r="AK52" s="84">
        <f>AK48+AK51</f>
        <v/>
      </c>
      <c r="AL52" s="84">
        <f>AL48+AL51</f>
        <v/>
      </c>
      <c r="AM52" s="84">
        <f>AM48+AM51</f>
        <v/>
      </c>
      <c r="AN52" s="84">
        <f>AN48+AN51</f>
        <v/>
      </c>
      <c r="AO52" s="84">
        <f>AO48+AO51</f>
        <v/>
      </c>
      <c r="AP52" s="84">
        <f>AP48+AP51</f>
        <v/>
      </c>
      <c r="AQ52" s="84">
        <f>AQ48+AQ51</f>
        <v/>
      </c>
      <c r="AR52" s="84">
        <f>AR48+AR51</f>
        <v/>
      </c>
      <c r="AS52" s="84">
        <f>AS48+AS51</f>
        <v/>
      </c>
      <c r="AT52" s="84">
        <f>AT48+AT51</f>
        <v/>
      </c>
      <c r="AU52" s="84">
        <f>AU48+AU51</f>
        <v/>
      </c>
      <c r="AV52" s="84">
        <f>AV48+AV51</f>
        <v/>
      </c>
      <c r="AW52" s="84">
        <f>AW48+AW51</f>
        <v/>
      </c>
      <c r="AX52" s="84">
        <f>AX48+AX51</f>
        <v/>
      </c>
      <c r="AY52" s="84">
        <f>AY48+AY51</f>
        <v/>
      </c>
      <c r="AZ52" s="84">
        <f>AZ48+AZ51</f>
        <v/>
      </c>
      <c r="BA52" s="84">
        <f>BA48+BA51</f>
        <v/>
      </c>
      <c r="BB52" s="84">
        <f>BB48+BB51</f>
        <v/>
      </c>
      <c r="BC52" s="84">
        <f>BC48+BC51</f>
        <v/>
      </c>
      <c r="BD52" s="84">
        <f>BD48+BD51</f>
        <v/>
      </c>
      <c r="BE52" s="84">
        <f>BE48+BE51</f>
        <v/>
      </c>
      <c r="BF52" s="84">
        <f>BF48+BF51</f>
        <v/>
      </c>
      <c r="BG52" s="84">
        <f>BG48+BG51</f>
        <v/>
      </c>
      <c r="BH52" s="84">
        <f>BH48+BH51</f>
        <v/>
      </c>
      <c r="BI52" s="84">
        <f>BI48+BI51</f>
        <v/>
      </c>
      <c r="BJ52" s="84">
        <f>BJ48+BJ51</f>
        <v/>
      </c>
      <c r="BK52" s="84">
        <f>BK48+BK51</f>
        <v/>
      </c>
      <c r="BL52" s="84">
        <f>BL48+BL51</f>
        <v/>
      </c>
      <c r="BM52" s="84">
        <f>BM48+BM51</f>
        <v/>
      </c>
      <c r="BN52" s="84">
        <f>BN48+BN51</f>
        <v/>
      </c>
      <c r="BO52" s="84">
        <f>BO48+BO51</f>
        <v/>
      </c>
      <c r="BP52" s="84">
        <f>BP48+BP51</f>
        <v/>
      </c>
      <c r="BQ52" s="84">
        <f>BQ48+BQ51</f>
        <v/>
      </c>
      <c r="BR52" s="84">
        <f>BR48+BR51</f>
        <v/>
      </c>
      <c r="BS52" s="84">
        <f>BS48+BS51</f>
        <v/>
      </c>
      <c r="BT52" s="84">
        <f>BT48+BT51</f>
        <v/>
      </c>
      <c r="BU52" s="84">
        <f>BU48+BU51</f>
        <v/>
      </c>
      <c r="BV52" s="84">
        <f>BV48+BV51</f>
        <v/>
      </c>
      <c r="BW52" s="84">
        <f>BW48+BW51</f>
        <v/>
      </c>
      <c r="BX52" s="84">
        <f>BX48+BX51</f>
        <v/>
      </c>
      <c r="BY52" s="84">
        <f>BY48+BY51</f>
        <v/>
      </c>
      <c r="BZ52" s="84">
        <f>BZ48+BZ51</f>
        <v/>
      </c>
      <c r="CA52" s="84">
        <f>CA48+CA51</f>
        <v/>
      </c>
      <c r="CB52" s="84">
        <f>CB48+CB51</f>
        <v/>
      </c>
      <c r="CC52" s="84">
        <f>CC48+CC51</f>
        <v/>
      </c>
      <c r="CD52" s="84">
        <f>CD48+CD51</f>
        <v/>
      </c>
    </row>
    <row r="53"/>
    <row r="55">
      <c r="A55" s="56" t="inlineStr">
        <is>
          <t>Checks</t>
        </is>
      </c>
    </row>
    <row r="56">
      <c r="A56" t="inlineStr">
        <is>
          <t># of quarters where BS does not balance</t>
        </is>
      </c>
      <c r="CD56" s="89">
        <f>SUMPRODUCT(--(ROUND(C47:CD47-C52:CD52,2)&lt;&gt;0))</f>
        <v/>
      </c>
    </row>
    <row r="57">
      <c r="A57" t="inlineStr">
        <is>
          <t>Check: Closing cash ties to the Calc_CFADS buffer</t>
        </is>
      </c>
      <c r="CD57" s="89">
        <f>IF(SUMPRODUCT(--(ROUND(C31:CD31-Calc_CFADS!C24:Calc_CFADS!CD24,2)&lt;&gt;0))=0,1,0)</f>
        <v/>
      </c>
    </row>
    <row r="58">
      <c r="A58" t="inlineStr">
        <is>
          <t># of quarters where Direct CFO != Indirect CFO</t>
        </is>
      </c>
      <c r="CD58" s="89">
        <f>SUMPRODUCT(--(C40:CD40=0))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45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63">
        <f>SUM(FS_Quarterly!C6:F6)</f>
        <v/>
      </c>
      <c r="D4" s="63">
        <f>SUM(FS_Quarterly!G6:J6)</f>
        <v/>
      </c>
      <c r="E4" s="63">
        <f>SUM(FS_Quarterly!K6:N6)</f>
        <v/>
      </c>
      <c r="F4" s="63">
        <f>SUM(FS_Quarterly!O6:R6)</f>
        <v/>
      </c>
      <c r="G4" s="63">
        <f>SUM(FS_Quarterly!S6:V6)</f>
        <v/>
      </c>
      <c r="H4" s="63">
        <f>SUM(FS_Quarterly!W6:Z6)</f>
        <v/>
      </c>
      <c r="I4" s="63">
        <f>SUM(FS_Quarterly!AA6:AD6)</f>
        <v/>
      </c>
      <c r="J4" s="63">
        <f>SUM(FS_Quarterly!AE6:AH6)</f>
        <v/>
      </c>
      <c r="K4" s="63">
        <f>SUM(FS_Quarterly!AI6:AL6)</f>
        <v/>
      </c>
      <c r="L4" s="63">
        <f>SUM(FS_Quarterly!AM6:AP6)</f>
        <v/>
      </c>
      <c r="M4" s="63">
        <f>SUM(FS_Quarterly!AQ6:AT6)</f>
        <v/>
      </c>
      <c r="N4" s="63">
        <f>SUM(FS_Quarterly!AU6:AX6)</f>
        <v/>
      </c>
      <c r="O4" s="63">
        <f>SUM(FS_Quarterly!AY6:BB6)</f>
        <v/>
      </c>
      <c r="P4" s="63">
        <f>SUM(FS_Quarterly!BC6:BF6)</f>
        <v/>
      </c>
      <c r="Q4" s="63">
        <f>SUM(FS_Quarterly!BG6:BJ6)</f>
        <v/>
      </c>
      <c r="R4" s="63">
        <f>SUM(FS_Quarterly!BK6:BN6)</f>
        <v/>
      </c>
      <c r="S4" s="63">
        <f>SUM(FS_Quarterly!BO6:BR6)</f>
        <v/>
      </c>
      <c r="T4" s="63">
        <f>SUM(FS_Quarterly!BS6:BV6)</f>
        <v/>
      </c>
      <c r="U4" s="63">
        <f>SUM(FS_Quarterly!BW6:BZ6)</f>
        <v/>
      </c>
      <c r="V4" s="63">
        <f>SUM(FS_Quarterly!CA6:CD6)</f>
        <v/>
      </c>
    </row>
    <row r="5">
      <c r="A5" t="inlineStr">
        <is>
          <t>EBITDA ($) — annual sum</t>
        </is>
      </c>
      <c r="C5" s="63">
        <f>SUM(FS_Quarterly!C8:F8)</f>
        <v/>
      </c>
      <c r="D5" s="63">
        <f>SUM(FS_Quarterly!G8:J8)</f>
        <v/>
      </c>
      <c r="E5" s="63">
        <f>SUM(FS_Quarterly!K8:N8)</f>
        <v/>
      </c>
      <c r="F5" s="63">
        <f>SUM(FS_Quarterly!O8:R8)</f>
        <v/>
      </c>
      <c r="G5" s="63">
        <f>SUM(FS_Quarterly!S8:V8)</f>
        <v/>
      </c>
      <c r="H5" s="63">
        <f>SUM(FS_Quarterly!W8:Z8)</f>
        <v/>
      </c>
      <c r="I5" s="63">
        <f>SUM(FS_Quarterly!AA8:AD8)</f>
        <v/>
      </c>
      <c r="J5" s="63">
        <f>SUM(FS_Quarterly!AE8:AH8)</f>
        <v/>
      </c>
      <c r="K5" s="63">
        <f>SUM(FS_Quarterly!AI8:AL8)</f>
        <v/>
      </c>
      <c r="L5" s="63">
        <f>SUM(FS_Quarterly!AM8:AP8)</f>
        <v/>
      </c>
      <c r="M5" s="63">
        <f>SUM(FS_Quarterly!AQ8:AT8)</f>
        <v/>
      </c>
      <c r="N5" s="63">
        <f>SUM(FS_Quarterly!AU8:AX8)</f>
        <v/>
      </c>
      <c r="O5" s="63">
        <f>SUM(FS_Quarterly!AY8:BB8)</f>
        <v/>
      </c>
      <c r="P5" s="63">
        <f>SUM(FS_Quarterly!BC8:BF8)</f>
        <v/>
      </c>
      <c r="Q5" s="63">
        <f>SUM(FS_Quarterly!BG8:BJ8)</f>
        <v/>
      </c>
      <c r="R5" s="63">
        <f>SUM(FS_Quarterly!BK8:BN8)</f>
        <v/>
      </c>
      <c r="S5" s="63">
        <f>SUM(FS_Quarterly!BO8:BR8)</f>
        <v/>
      </c>
      <c r="T5" s="63">
        <f>SUM(FS_Quarterly!BS8:BV8)</f>
        <v/>
      </c>
      <c r="U5" s="63">
        <f>SUM(FS_Quarterly!BW8:BZ8)</f>
        <v/>
      </c>
      <c r="V5" s="63">
        <f>SUM(FS_Quarterly!CA8:CD8)</f>
        <v/>
      </c>
    </row>
    <row r="6">
      <c r="A6" t="inlineStr">
        <is>
          <t>Net Income ($) — annual sum</t>
        </is>
      </c>
      <c r="C6" s="63">
        <f>SUM(FS_Quarterly!C15:F15)</f>
        <v/>
      </c>
      <c r="D6" s="63">
        <f>SUM(FS_Quarterly!G15:J15)</f>
        <v/>
      </c>
      <c r="E6" s="63">
        <f>SUM(FS_Quarterly!K15:N15)</f>
        <v/>
      </c>
      <c r="F6" s="63">
        <f>SUM(FS_Quarterly!O15:R15)</f>
        <v/>
      </c>
      <c r="G6" s="63">
        <f>SUM(FS_Quarterly!S15:V15)</f>
        <v/>
      </c>
      <c r="H6" s="63">
        <f>SUM(FS_Quarterly!W15:Z15)</f>
        <v/>
      </c>
      <c r="I6" s="63">
        <f>SUM(FS_Quarterly!AA15:AD15)</f>
        <v/>
      </c>
      <c r="J6" s="63">
        <f>SUM(FS_Quarterly!AE15:AH15)</f>
        <v/>
      </c>
      <c r="K6" s="63">
        <f>SUM(FS_Quarterly!AI15:AL15)</f>
        <v/>
      </c>
      <c r="L6" s="63">
        <f>SUM(FS_Quarterly!AM15:AP15)</f>
        <v/>
      </c>
      <c r="M6" s="63">
        <f>SUM(FS_Quarterly!AQ15:AT15)</f>
        <v/>
      </c>
      <c r="N6" s="63">
        <f>SUM(FS_Quarterly!AU15:AX15)</f>
        <v/>
      </c>
      <c r="O6" s="63">
        <f>SUM(FS_Quarterly!AY15:BB15)</f>
        <v/>
      </c>
      <c r="P6" s="63">
        <f>SUM(FS_Quarterly!BC15:BF15)</f>
        <v/>
      </c>
      <c r="Q6" s="63">
        <f>SUM(FS_Quarterly!BG15:BJ15)</f>
        <v/>
      </c>
      <c r="R6" s="63">
        <f>SUM(FS_Quarterly!BK15:BN15)</f>
        <v/>
      </c>
      <c r="S6" s="63">
        <f>SUM(FS_Quarterly!BO15:BR15)</f>
        <v/>
      </c>
      <c r="T6" s="63">
        <f>SUM(FS_Quarterly!BS15:BV15)</f>
        <v/>
      </c>
      <c r="U6" s="63">
        <f>SUM(FS_Quarterly!BW15:BZ15)</f>
        <v/>
      </c>
      <c r="V6" s="63">
        <f>SUM(FS_Quarterly!CA15:CD15)</f>
        <v/>
      </c>
    </row>
    <row r="7">
      <c r="A7" t="inlineStr">
        <is>
          <t>Cash, Closing ($) — year-end</t>
        </is>
      </c>
      <c r="C7" s="63">
        <f>FS_Quarterly!F43</f>
        <v/>
      </c>
      <c r="D7" s="63">
        <f>FS_Quarterly!J43</f>
        <v/>
      </c>
      <c r="E7" s="63">
        <f>FS_Quarterly!N43</f>
        <v/>
      </c>
      <c r="F7" s="63">
        <f>FS_Quarterly!R43</f>
        <v/>
      </c>
      <c r="G7" s="63">
        <f>FS_Quarterly!V43</f>
        <v/>
      </c>
      <c r="H7" s="63">
        <f>FS_Quarterly!Z43</f>
        <v/>
      </c>
      <c r="I7" s="63">
        <f>FS_Quarterly!AD43</f>
        <v/>
      </c>
      <c r="J7" s="63">
        <f>FS_Quarterly!AH43</f>
        <v/>
      </c>
      <c r="K7" s="63">
        <f>FS_Quarterly!AL43</f>
        <v/>
      </c>
      <c r="L7" s="63">
        <f>FS_Quarterly!AP43</f>
        <v/>
      </c>
      <c r="M7" s="63">
        <f>FS_Quarterly!AT43</f>
        <v/>
      </c>
      <c r="N7" s="63">
        <f>FS_Quarterly!AX43</f>
        <v/>
      </c>
      <c r="O7" s="63">
        <f>FS_Quarterly!BB43</f>
        <v/>
      </c>
      <c r="P7" s="63">
        <f>FS_Quarterly!BF43</f>
        <v/>
      </c>
      <c r="Q7" s="63">
        <f>FS_Quarterly!BJ43</f>
        <v/>
      </c>
      <c r="R7" s="63">
        <f>FS_Quarterly!BN43</f>
        <v/>
      </c>
      <c r="S7" s="63">
        <f>FS_Quarterly!BR43</f>
        <v/>
      </c>
      <c r="T7" s="63">
        <f>FS_Quarterly!BV43</f>
        <v/>
      </c>
      <c r="U7" s="63">
        <f>FS_Quarterly!BZ43</f>
        <v/>
      </c>
      <c r="V7" s="63">
        <f>FS_Quarterly!CD43</f>
        <v/>
      </c>
    </row>
    <row r="8">
      <c r="A8" t="inlineStr">
        <is>
          <t>Debt, Closing ($) — year-end</t>
        </is>
      </c>
      <c r="C8" s="63">
        <f>FS_Quarterly!F48</f>
        <v/>
      </c>
      <c r="D8" s="63">
        <f>FS_Quarterly!J48</f>
        <v/>
      </c>
      <c r="E8" s="63">
        <f>FS_Quarterly!N48</f>
        <v/>
      </c>
      <c r="F8" s="63">
        <f>FS_Quarterly!R48</f>
        <v/>
      </c>
      <c r="G8" s="63">
        <f>FS_Quarterly!V48</f>
        <v/>
      </c>
      <c r="H8" s="63">
        <f>FS_Quarterly!Z48</f>
        <v/>
      </c>
      <c r="I8" s="63">
        <f>FS_Quarterly!AD48</f>
        <v/>
      </c>
      <c r="J8" s="63">
        <f>FS_Quarterly!AH48</f>
        <v/>
      </c>
      <c r="K8" s="63">
        <f>FS_Quarterly!AL48</f>
        <v/>
      </c>
      <c r="L8" s="63">
        <f>FS_Quarterly!AP48</f>
        <v/>
      </c>
      <c r="M8" s="63">
        <f>FS_Quarterly!AT48</f>
        <v/>
      </c>
      <c r="N8" s="63">
        <f>FS_Quarterly!AX48</f>
        <v/>
      </c>
      <c r="O8" s="63">
        <f>FS_Quarterly!BB48</f>
        <v/>
      </c>
      <c r="P8" s="63">
        <f>FS_Quarterly!BF48</f>
        <v/>
      </c>
      <c r="Q8" s="63">
        <f>FS_Quarterly!BJ48</f>
        <v/>
      </c>
      <c r="R8" s="63">
        <f>FS_Quarterly!BN48</f>
        <v/>
      </c>
      <c r="S8" s="63">
        <f>FS_Quarterly!BR48</f>
        <v/>
      </c>
      <c r="T8" s="63">
        <f>FS_Quarterly!BV48</f>
        <v/>
      </c>
      <c r="U8" s="63">
        <f>FS_Quarterly!BZ48</f>
        <v/>
      </c>
      <c r="V8" s="63">
        <f>FS_Quarterly!CD48</f>
        <v/>
      </c>
    </row>
    <row r="9">
      <c r="A9" t="inlineStr">
        <is>
          <t>Total Equity, Closing ($) — year-end</t>
        </is>
      </c>
      <c r="C9" s="63">
        <f>FS_Quarterly!F51</f>
        <v/>
      </c>
      <c r="D9" s="63">
        <f>FS_Quarterly!J51</f>
        <v/>
      </c>
      <c r="E9" s="63">
        <f>FS_Quarterly!N51</f>
        <v/>
      </c>
      <c r="F9" s="63">
        <f>FS_Quarterly!R51</f>
        <v/>
      </c>
      <c r="G9" s="63">
        <f>FS_Quarterly!V51</f>
        <v/>
      </c>
      <c r="H9" s="63">
        <f>FS_Quarterly!Z51</f>
        <v/>
      </c>
      <c r="I9" s="63">
        <f>FS_Quarterly!AD51</f>
        <v/>
      </c>
      <c r="J9" s="63">
        <f>FS_Quarterly!AH51</f>
        <v/>
      </c>
      <c r="K9" s="63">
        <f>FS_Quarterly!AL51</f>
        <v/>
      </c>
      <c r="L9" s="63">
        <f>FS_Quarterly!AP51</f>
        <v/>
      </c>
      <c r="M9" s="63">
        <f>FS_Quarterly!AT51</f>
        <v/>
      </c>
      <c r="N9" s="63">
        <f>FS_Quarterly!AX51</f>
        <v/>
      </c>
      <c r="O9" s="63">
        <f>FS_Quarterly!BB51</f>
        <v/>
      </c>
      <c r="P9" s="63">
        <f>FS_Quarterly!BF51</f>
        <v/>
      </c>
      <c r="Q9" s="63">
        <f>FS_Quarterly!BJ51</f>
        <v/>
      </c>
      <c r="R9" s="63">
        <f>FS_Quarterly!BN51</f>
        <v/>
      </c>
      <c r="S9" s="63">
        <f>FS_Quarterly!BR51</f>
        <v/>
      </c>
      <c r="T9" s="63">
        <f>FS_Quarterly!BV51</f>
        <v/>
      </c>
      <c r="U9" s="63">
        <f>FS_Quarterly!BZ51</f>
        <v/>
      </c>
      <c r="V9" s="63">
        <f>FS_Quarterly!CD51</f>
        <v/>
      </c>
    </row>
    <row r="13">
      <c r="A13" t="inlineStr">
        <is>
          <t>XIRR Helper: Period End Date</t>
        </is>
      </c>
      <c r="C13" s="99">
        <f>Calc_Capex!C2</f>
        <v/>
      </c>
      <c r="D13" s="99">
        <f>Calc_Capex!D2</f>
        <v/>
      </c>
      <c r="E13" s="99">
        <f>Calc_Capex!E2</f>
        <v/>
      </c>
      <c r="F13" s="99">
        <f>Calc_Capex!F2</f>
        <v/>
      </c>
      <c r="G13" s="99">
        <f>Calc_Capex!G2</f>
        <v/>
      </c>
      <c r="H13" s="99">
        <f>Calc_Capex!H2</f>
        <v/>
      </c>
      <c r="I13" s="99">
        <f>Calc_Capex!I2</f>
        <v/>
      </c>
      <c r="J13" s="99">
        <f>Calc_Capex!J2</f>
        <v/>
      </c>
      <c r="K13" s="99">
        <f>Calc_Capex!K2</f>
        <v/>
      </c>
      <c r="L13" s="99">
        <f>Calc_Capex!L2</f>
        <v/>
      </c>
      <c r="M13" s="99">
        <f>Calc_Capex!M2</f>
        <v/>
      </c>
      <c r="N13" s="99">
        <f>Calc_Capex!N2</f>
        <v/>
      </c>
      <c r="O13" s="99">
        <f>Calc_Capex!O2</f>
        <v/>
      </c>
      <c r="P13" s="99">
        <f>Calc_Capex!P2</f>
        <v/>
      </c>
      <c r="Q13" s="99">
        <f>Calc_Capex!Q2</f>
        <v/>
      </c>
      <c r="R13" s="99">
        <f>Calc_Capex!R2</f>
        <v/>
      </c>
      <c r="S13" s="99">
        <f>Calc_Capex!S2</f>
        <v/>
      </c>
      <c r="T13" s="99">
        <f>Calc_Capex!T2</f>
        <v/>
      </c>
      <c r="U13" s="99">
        <f>Calc_Capex!U2</f>
        <v/>
      </c>
      <c r="V13" s="99">
        <f>Calc_Capex!V2</f>
        <v/>
      </c>
      <c r="W13" s="99">
        <f>Calc_Capex!W2</f>
        <v/>
      </c>
      <c r="X13" s="99">
        <f>Calc_Capex!X2</f>
        <v/>
      </c>
      <c r="Y13" s="99">
        <f>Calc_Capex!Y2</f>
        <v/>
      </c>
      <c r="Z13" s="99">
        <f>Calc_Capex!Z2</f>
        <v/>
      </c>
      <c r="AA13" s="99">
        <f>Calc_CFADS!C2</f>
        <v/>
      </c>
      <c r="AB13" s="99">
        <f>Calc_CFADS!D2</f>
        <v/>
      </c>
      <c r="AC13" s="99">
        <f>Calc_CFADS!E2</f>
        <v/>
      </c>
      <c r="AD13" s="99">
        <f>Calc_CFADS!F2</f>
        <v/>
      </c>
      <c r="AE13" s="99">
        <f>Calc_CFADS!G2</f>
        <v/>
      </c>
      <c r="AF13" s="99">
        <f>Calc_CFADS!H2</f>
        <v/>
      </c>
      <c r="AG13" s="99">
        <f>Calc_CFADS!I2</f>
        <v/>
      </c>
      <c r="AH13" s="99">
        <f>Calc_CFADS!J2</f>
        <v/>
      </c>
      <c r="AI13" s="99">
        <f>Calc_CFADS!K2</f>
        <v/>
      </c>
      <c r="AJ13" s="99">
        <f>Calc_CFADS!L2</f>
        <v/>
      </c>
      <c r="AK13" s="99">
        <f>Calc_CFADS!M2</f>
        <v/>
      </c>
      <c r="AL13" s="99">
        <f>Calc_CFADS!N2</f>
        <v/>
      </c>
      <c r="AM13" s="99">
        <f>Calc_CFADS!O2</f>
        <v/>
      </c>
      <c r="AN13" s="99">
        <f>Calc_CFADS!P2</f>
        <v/>
      </c>
      <c r="AO13" s="99">
        <f>Calc_CFADS!Q2</f>
        <v/>
      </c>
      <c r="AP13" s="99">
        <f>Calc_CFADS!R2</f>
        <v/>
      </c>
      <c r="AQ13" s="99">
        <f>Calc_CFADS!S2</f>
        <v/>
      </c>
      <c r="AR13" s="99">
        <f>Calc_CFADS!T2</f>
        <v/>
      </c>
      <c r="AS13" s="99">
        <f>Calc_CFADS!U2</f>
        <v/>
      </c>
      <c r="AT13" s="99">
        <f>Calc_CFADS!V2</f>
        <v/>
      </c>
      <c r="AU13" s="99">
        <f>Calc_CFADS!W2</f>
        <v/>
      </c>
      <c r="AV13" s="99">
        <f>Calc_CFADS!X2</f>
        <v/>
      </c>
      <c r="AW13" s="99">
        <f>Calc_CFADS!Y2</f>
        <v/>
      </c>
      <c r="AX13" s="99">
        <f>Calc_CFADS!Z2</f>
        <v/>
      </c>
      <c r="AY13" s="99">
        <f>Calc_CFADS!AA2</f>
        <v/>
      </c>
      <c r="AZ13" s="99">
        <f>Calc_CFADS!AB2</f>
        <v/>
      </c>
      <c r="BA13" s="99">
        <f>Calc_CFADS!AC2</f>
        <v/>
      </c>
      <c r="BB13" s="99">
        <f>Calc_CFADS!AD2</f>
        <v/>
      </c>
      <c r="BC13" s="99">
        <f>Calc_CFADS!AE2</f>
        <v/>
      </c>
      <c r="BD13" s="99">
        <f>Calc_CFADS!AF2</f>
        <v/>
      </c>
      <c r="BE13" s="99">
        <f>Calc_CFADS!AG2</f>
        <v/>
      </c>
      <c r="BF13" s="99">
        <f>Calc_CFADS!AH2</f>
        <v/>
      </c>
      <c r="BG13" s="99">
        <f>Calc_CFADS!AI2</f>
        <v/>
      </c>
      <c r="BH13" s="99">
        <f>Calc_CFADS!AJ2</f>
        <v/>
      </c>
      <c r="BI13" s="99">
        <f>Calc_CFADS!AK2</f>
        <v/>
      </c>
      <c r="BJ13" s="99">
        <f>Calc_CFADS!AL2</f>
        <v/>
      </c>
      <c r="BK13" s="99">
        <f>Calc_CFADS!AM2</f>
        <v/>
      </c>
      <c r="BL13" s="99">
        <f>Calc_CFADS!AN2</f>
        <v/>
      </c>
      <c r="BM13" s="99">
        <f>Calc_CFADS!AO2</f>
        <v/>
      </c>
      <c r="BN13" s="99">
        <f>Calc_CFADS!AP2</f>
        <v/>
      </c>
      <c r="BO13" s="99">
        <f>Calc_CFADS!AQ2</f>
        <v/>
      </c>
      <c r="BP13" s="99">
        <f>Calc_CFADS!AR2</f>
        <v/>
      </c>
      <c r="BQ13" s="99">
        <f>Calc_CFADS!AS2</f>
        <v/>
      </c>
      <c r="BR13" s="99">
        <f>Calc_CFADS!AT2</f>
        <v/>
      </c>
      <c r="BS13" s="99">
        <f>Calc_CFADS!AU2</f>
        <v/>
      </c>
      <c r="BT13" s="99">
        <f>Calc_CFADS!AV2</f>
        <v/>
      </c>
      <c r="BU13" s="99">
        <f>Calc_CFADS!AW2</f>
        <v/>
      </c>
      <c r="BV13" s="99">
        <f>Calc_CFADS!AX2</f>
        <v/>
      </c>
      <c r="BW13" s="99">
        <f>Calc_CFADS!AY2</f>
        <v/>
      </c>
      <c r="BX13" s="99">
        <f>Calc_CFADS!AZ2</f>
        <v/>
      </c>
      <c r="BY13" s="99">
        <f>Calc_CFADS!BA2</f>
        <v/>
      </c>
      <c r="BZ13" s="99">
        <f>Calc_CFADS!BB2</f>
        <v/>
      </c>
      <c r="CA13" s="99">
        <f>Calc_CFADS!BC2</f>
        <v/>
      </c>
      <c r="CB13" s="99">
        <f>Calc_CFADS!BD2</f>
        <v/>
      </c>
      <c r="CC13" s="99">
        <f>Calc_CFADS!BE2</f>
        <v/>
      </c>
      <c r="CD13" s="99">
        <f>Calc_CFADS!BF2</f>
        <v/>
      </c>
      <c r="CE13" s="99">
        <f>Calc_CFADS!BG2</f>
        <v/>
      </c>
      <c r="CF13" s="99">
        <f>Calc_CFADS!BH2</f>
        <v/>
      </c>
      <c r="CG13" s="99">
        <f>Calc_CFADS!BI2</f>
        <v/>
      </c>
      <c r="CH13" s="99">
        <f>Calc_CFADS!BJ2</f>
        <v/>
      </c>
      <c r="CI13" s="99">
        <f>Calc_CFADS!BK2</f>
        <v/>
      </c>
      <c r="CJ13" s="99">
        <f>Calc_CFADS!BL2</f>
        <v/>
      </c>
      <c r="CK13" s="99">
        <f>Calc_CFADS!BM2</f>
        <v/>
      </c>
      <c r="CL13" s="99">
        <f>Calc_CFADS!BN2</f>
        <v/>
      </c>
      <c r="CM13" s="99">
        <f>Calc_CFADS!BO2</f>
        <v/>
      </c>
      <c r="CN13" s="99">
        <f>Calc_CFADS!BP2</f>
        <v/>
      </c>
      <c r="CO13" s="99">
        <f>Calc_CFADS!BQ2</f>
        <v/>
      </c>
      <c r="CP13" s="99">
        <f>Calc_CFADS!BR2</f>
        <v/>
      </c>
      <c r="CQ13" s="99">
        <f>Calc_CFADS!BS2</f>
        <v/>
      </c>
      <c r="CR13" s="99">
        <f>Calc_CFADS!BT2</f>
        <v/>
      </c>
      <c r="CS13" s="99">
        <f>Calc_CFADS!BU2</f>
        <v/>
      </c>
      <c r="CT13" s="99">
        <f>Calc_CFADS!BV2</f>
        <v/>
      </c>
      <c r="CU13" s="99">
        <f>Calc_CFADS!BW2</f>
        <v/>
      </c>
      <c r="CV13" s="99">
        <f>Calc_CFADS!BX2</f>
        <v/>
      </c>
      <c r="CW13" s="99">
        <f>Calc_CFADS!BY2</f>
        <v/>
      </c>
      <c r="CX13" s="99">
        <f>Calc_CFADS!BZ2</f>
        <v/>
      </c>
      <c r="CY13" s="99">
        <f>Calc_CFADS!CA2</f>
        <v/>
      </c>
      <c r="CZ13" s="99">
        <f>Calc_CFADS!CB2</f>
        <v/>
      </c>
      <c r="DA13" s="99">
        <f>Calc_CFADS!CC2</f>
        <v/>
      </c>
      <c r="DB13" s="99">
        <f>Calc_CFADS!CD2</f>
        <v/>
      </c>
    </row>
    <row r="14">
      <c r="A14" t="inlineStr">
        <is>
          <t>XIRR Helper: Project CF (unlevered) — construction outflow, FCFF inflow</t>
        </is>
      </c>
      <c r="C14" s="63">
        <f>-Calc_Capex!C6</f>
        <v/>
      </c>
      <c r="D14" s="63">
        <f>-Calc_Capex!D6</f>
        <v/>
      </c>
      <c r="E14" s="63">
        <f>-Calc_Capex!E6</f>
        <v/>
      </c>
      <c r="F14" s="63">
        <f>-Calc_Capex!F6</f>
        <v/>
      </c>
      <c r="G14" s="63">
        <f>-Calc_Capex!G6</f>
        <v/>
      </c>
      <c r="H14" s="63">
        <f>-Calc_Capex!H6</f>
        <v/>
      </c>
      <c r="I14" s="63">
        <f>-Calc_Capex!I6</f>
        <v/>
      </c>
      <c r="J14" s="63">
        <f>-Calc_Capex!J6</f>
        <v/>
      </c>
      <c r="K14" s="63">
        <f>-Calc_Capex!K6</f>
        <v/>
      </c>
      <c r="L14" s="63">
        <f>-Calc_Capex!L6</f>
        <v/>
      </c>
      <c r="M14" s="63">
        <f>-Calc_Capex!M6</f>
        <v/>
      </c>
      <c r="N14" s="63">
        <f>-Calc_Capex!N6</f>
        <v/>
      </c>
      <c r="O14" s="63">
        <f>-Calc_Capex!O6</f>
        <v/>
      </c>
      <c r="P14" s="63">
        <f>-Calc_Capex!P6</f>
        <v/>
      </c>
      <c r="Q14" s="63">
        <f>-Calc_Capex!Q6</f>
        <v/>
      </c>
      <c r="R14" s="63">
        <f>-Calc_Capex!R6</f>
        <v/>
      </c>
      <c r="S14" s="63">
        <f>-Calc_Capex!S6</f>
        <v/>
      </c>
      <c r="T14" s="63">
        <f>-Calc_Capex!T6</f>
        <v/>
      </c>
      <c r="U14" s="63">
        <f>-Calc_Capex!U6</f>
        <v/>
      </c>
      <c r="V14" s="63">
        <f>-Calc_Capex!V6</f>
        <v/>
      </c>
      <c r="W14" s="63">
        <f>-Calc_Capex!W6</f>
        <v/>
      </c>
      <c r="X14" s="63">
        <f>-Calc_Capex!X6</f>
        <v/>
      </c>
      <c r="Y14" s="63">
        <f>-Calc_Capex!Y6</f>
        <v/>
      </c>
      <c r="Z14" s="63">
        <f>-Calc_Capex!Z6</f>
        <v/>
      </c>
      <c r="AA14" s="63">
        <f>Calc_CFADS!C27</f>
        <v/>
      </c>
      <c r="AB14" s="63">
        <f>Calc_CFADS!D27</f>
        <v/>
      </c>
      <c r="AC14" s="63">
        <f>Calc_CFADS!E27</f>
        <v/>
      </c>
      <c r="AD14" s="63">
        <f>Calc_CFADS!F27</f>
        <v/>
      </c>
      <c r="AE14" s="63">
        <f>Calc_CFADS!G27</f>
        <v/>
      </c>
      <c r="AF14" s="63">
        <f>Calc_CFADS!H27</f>
        <v/>
      </c>
      <c r="AG14" s="63">
        <f>Calc_CFADS!I27</f>
        <v/>
      </c>
      <c r="AH14" s="63">
        <f>Calc_CFADS!J27</f>
        <v/>
      </c>
      <c r="AI14" s="63">
        <f>Calc_CFADS!K27</f>
        <v/>
      </c>
      <c r="AJ14" s="63">
        <f>Calc_CFADS!L27</f>
        <v/>
      </c>
      <c r="AK14" s="63">
        <f>Calc_CFADS!M27</f>
        <v/>
      </c>
      <c r="AL14" s="63">
        <f>Calc_CFADS!N27</f>
        <v/>
      </c>
      <c r="AM14" s="63">
        <f>Calc_CFADS!O27</f>
        <v/>
      </c>
      <c r="AN14" s="63">
        <f>Calc_CFADS!P27</f>
        <v/>
      </c>
      <c r="AO14" s="63">
        <f>Calc_CFADS!Q27</f>
        <v/>
      </c>
      <c r="AP14" s="63">
        <f>Calc_CFADS!R27</f>
        <v/>
      </c>
      <c r="AQ14" s="63">
        <f>Calc_CFADS!S27</f>
        <v/>
      </c>
      <c r="AR14" s="63">
        <f>Calc_CFADS!T27</f>
        <v/>
      </c>
      <c r="AS14" s="63">
        <f>Calc_CFADS!U27</f>
        <v/>
      </c>
      <c r="AT14" s="63">
        <f>Calc_CFADS!V27</f>
        <v/>
      </c>
      <c r="AU14" s="63">
        <f>Calc_CFADS!W27</f>
        <v/>
      </c>
      <c r="AV14" s="63">
        <f>Calc_CFADS!X27</f>
        <v/>
      </c>
      <c r="AW14" s="63">
        <f>Calc_CFADS!Y27</f>
        <v/>
      </c>
      <c r="AX14" s="63">
        <f>Calc_CFADS!Z27</f>
        <v/>
      </c>
      <c r="AY14" s="63">
        <f>Calc_CFADS!AA27</f>
        <v/>
      </c>
      <c r="AZ14" s="63">
        <f>Calc_CFADS!AB27</f>
        <v/>
      </c>
      <c r="BA14" s="63">
        <f>Calc_CFADS!AC27</f>
        <v/>
      </c>
      <c r="BB14" s="63">
        <f>Calc_CFADS!AD27</f>
        <v/>
      </c>
      <c r="BC14" s="63">
        <f>Calc_CFADS!AE27</f>
        <v/>
      </c>
      <c r="BD14" s="63">
        <f>Calc_CFADS!AF27</f>
        <v/>
      </c>
      <c r="BE14" s="63">
        <f>Calc_CFADS!AG27</f>
        <v/>
      </c>
      <c r="BF14" s="63">
        <f>Calc_CFADS!AH27</f>
        <v/>
      </c>
      <c r="BG14" s="63">
        <f>Calc_CFADS!AI27</f>
        <v/>
      </c>
      <c r="BH14" s="63">
        <f>Calc_CFADS!AJ27</f>
        <v/>
      </c>
      <c r="BI14" s="63">
        <f>Calc_CFADS!AK27</f>
        <v/>
      </c>
      <c r="BJ14" s="63">
        <f>Calc_CFADS!AL27</f>
        <v/>
      </c>
      <c r="BK14" s="63">
        <f>Calc_CFADS!AM27</f>
        <v/>
      </c>
      <c r="BL14" s="63">
        <f>Calc_CFADS!AN27</f>
        <v/>
      </c>
      <c r="BM14" s="63">
        <f>Calc_CFADS!AO27</f>
        <v/>
      </c>
      <c r="BN14" s="63">
        <f>Calc_CFADS!AP27</f>
        <v/>
      </c>
      <c r="BO14" s="63">
        <f>Calc_CFADS!AQ27</f>
        <v/>
      </c>
      <c r="BP14" s="63">
        <f>Calc_CFADS!AR27</f>
        <v/>
      </c>
      <c r="BQ14" s="63">
        <f>Calc_CFADS!AS27</f>
        <v/>
      </c>
      <c r="BR14" s="63">
        <f>Calc_CFADS!AT27</f>
        <v/>
      </c>
      <c r="BS14" s="63">
        <f>Calc_CFADS!AU27</f>
        <v/>
      </c>
      <c r="BT14" s="63">
        <f>Calc_CFADS!AV27</f>
        <v/>
      </c>
      <c r="BU14" s="63">
        <f>Calc_CFADS!AW27</f>
        <v/>
      </c>
      <c r="BV14" s="63">
        <f>Calc_CFADS!AX27</f>
        <v/>
      </c>
      <c r="BW14" s="63">
        <f>Calc_CFADS!AY27</f>
        <v/>
      </c>
      <c r="BX14" s="63">
        <f>Calc_CFADS!AZ27</f>
        <v/>
      </c>
      <c r="BY14" s="63">
        <f>Calc_CFADS!BA27</f>
        <v/>
      </c>
      <c r="BZ14" s="63">
        <f>Calc_CFADS!BB27</f>
        <v/>
      </c>
      <c r="CA14" s="63">
        <f>Calc_CFADS!BC27</f>
        <v/>
      </c>
      <c r="CB14" s="63">
        <f>Calc_CFADS!BD27</f>
        <v/>
      </c>
      <c r="CC14" s="63">
        <f>Calc_CFADS!BE27</f>
        <v/>
      </c>
      <c r="CD14" s="63">
        <f>Calc_CFADS!BF27</f>
        <v/>
      </c>
      <c r="CE14" s="63">
        <f>Calc_CFADS!BG27</f>
        <v/>
      </c>
      <c r="CF14" s="63">
        <f>Calc_CFADS!BH27</f>
        <v/>
      </c>
      <c r="CG14" s="63">
        <f>Calc_CFADS!BI27</f>
        <v/>
      </c>
      <c r="CH14" s="63">
        <f>Calc_CFADS!BJ27</f>
        <v/>
      </c>
      <c r="CI14" s="63">
        <f>Calc_CFADS!BK27</f>
        <v/>
      </c>
      <c r="CJ14" s="63">
        <f>Calc_CFADS!BL27</f>
        <v/>
      </c>
      <c r="CK14" s="63">
        <f>Calc_CFADS!BM27</f>
        <v/>
      </c>
      <c r="CL14" s="63">
        <f>Calc_CFADS!BN27</f>
        <v/>
      </c>
      <c r="CM14" s="63">
        <f>Calc_CFADS!BO27</f>
        <v/>
      </c>
      <c r="CN14" s="63">
        <f>Calc_CFADS!BP27</f>
        <v/>
      </c>
      <c r="CO14" s="63">
        <f>Calc_CFADS!BQ27</f>
        <v/>
      </c>
      <c r="CP14" s="63">
        <f>Calc_CFADS!BR27</f>
        <v/>
      </c>
      <c r="CQ14" s="63">
        <f>Calc_CFADS!BS27</f>
        <v/>
      </c>
      <c r="CR14" s="63">
        <f>Calc_CFADS!BT27</f>
        <v/>
      </c>
      <c r="CS14" s="63">
        <f>Calc_CFADS!BU27</f>
        <v/>
      </c>
      <c r="CT14" s="63">
        <f>Calc_CFADS!BV27</f>
        <v/>
      </c>
      <c r="CU14" s="63">
        <f>Calc_CFADS!BW27</f>
        <v/>
      </c>
      <c r="CV14" s="63">
        <f>Calc_CFADS!BX27</f>
        <v/>
      </c>
      <c r="CW14" s="63">
        <f>Calc_CFADS!BY27</f>
        <v/>
      </c>
      <c r="CX14" s="63">
        <f>Calc_CFADS!BZ27</f>
        <v/>
      </c>
      <c r="CY14" s="63">
        <f>Calc_CFADS!CA27</f>
        <v/>
      </c>
      <c r="CZ14" s="63">
        <f>Calc_CFADS!CB27</f>
        <v/>
      </c>
      <c r="DA14" s="63">
        <f>Calc_CFADS!CC27</f>
        <v/>
      </c>
      <c r="DB14" s="63">
        <f>Calc_CFADS!CD27</f>
        <v/>
      </c>
    </row>
    <row r="15">
      <c r="A15" t="inlineStr">
        <is>
          <t>XIRR Helper: Equity CF (levered) — equity draw outflow, FCFE inflow</t>
        </is>
      </c>
      <c r="C15" s="63">
        <f>-Calc_Capex!C11</f>
        <v/>
      </c>
      <c r="D15" s="63">
        <f>-Calc_Capex!D11</f>
        <v/>
      </c>
      <c r="E15" s="63">
        <f>-Calc_Capex!E11</f>
        <v/>
      </c>
      <c r="F15" s="63">
        <f>-Calc_Capex!F11</f>
        <v/>
      </c>
      <c r="G15" s="63">
        <f>-Calc_Capex!G11</f>
        <v/>
      </c>
      <c r="H15" s="63">
        <f>-Calc_Capex!H11</f>
        <v/>
      </c>
      <c r="I15" s="63">
        <f>-Calc_Capex!I11</f>
        <v/>
      </c>
      <c r="J15" s="63">
        <f>-Calc_Capex!J11</f>
        <v/>
      </c>
      <c r="K15" s="63">
        <f>-Calc_Capex!K11</f>
        <v/>
      </c>
      <c r="L15" s="63">
        <f>-Calc_Capex!L11</f>
        <v/>
      </c>
      <c r="M15" s="63">
        <f>-Calc_Capex!M11</f>
        <v/>
      </c>
      <c r="N15" s="63">
        <f>-Calc_Capex!N11</f>
        <v/>
      </c>
      <c r="O15" s="63">
        <f>-Calc_Capex!O11</f>
        <v/>
      </c>
      <c r="P15" s="63">
        <f>-Calc_Capex!P11</f>
        <v/>
      </c>
      <c r="Q15" s="63">
        <f>-Calc_Capex!Q11</f>
        <v/>
      </c>
      <c r="R15" s="63">
        <f>-Calc_Capex!R11</f>
        <v/>
      </c>
      <c r="S15" s="63">
        <f>-Calc_Capex!S11</f>
        <v/>
      </c>
      <c r="T15" s="63">
        <f>-Calc_Capex!T11</f>
        <v/>
      </c>
      <c r="U15" s="63">
        <f>-Calc_Capex!U11</f>
        <v/>
      </c>
      <c r="V15" s="63">
        <f>-Calc_Capex!V11</f>
        <v/>
      </c>
      <c r="W15" s="63">
        <f>-Calc_Capex!W11</f>
        <v/>
      </c>
      <c r="X15" s="63">
        <f>-Calc_Capex!X11</f>
        <v/>
      </c>
      <c r="Y15" s="63">
        <f>-Calc_Capex!Y11</f>
        <v/>
      </c>
      <c r="Z15" s="63">
        <f>-Calc_Capex!Z11</f>
        <v/>
      </c>
      <c r="AA15" s="63">
        <f>Calc_CFADS!C26</f>
        <v/>
      </c>
      <c r="AB15" s="63">
        <f>Calc_CFADS!D26</f>
        <v/>
      </c>
      <c r="AC15" s="63">
        <f>Calc_CFADS!E26</f>
        <v/>
      </c>
      <c r="AD15" s="63">
        <f>Calc_CFADS!F26</f>
        <v/>
      </c>
      <c r="AE15" s="63">
        <f>Calc_CFADS!G26</f>
        <v/>
      </c>
      <c r="AF15" s="63">
        <f>Calc_CFADS!H26</f>
        <v/>
      </c>
      <c r="AG15" s="63">
        <f>Calc_CFADS!I26</f>
        <v/>
      </c>
      <c r="AH15" s="63">
        <f>Calc_CFADS!J26</f>
        <v/>
      </c>
      <c r="AI15" s="63">
        <f>Calc_CFADS!K26</f>
        <v/>
      </c>
      <c r="AJ15" s="63">
        <f>Calc_CFADS!L26</f>
        <v/>
      </c>
      <c r="AK15" s="63">
        <f>Calc_CFADS!M26</f>
        <v/>
      </c>
      <c r="AL15" s="63">
        <f>Calc_CFADS!N26</f>
        <v/>
      </c>
      <c r="AM15" s="63">
        <f>Calc_CFADS!O26</f>
        <v/>
      </c>
      <c r="AN15" s="63">
        <f>Calc_CFADS!P26</f>
        <v/>
      </c>
      <c r="AO15" s="63">
        <f>Calc_CFADS!Q26</f>
        <v/>
      </c>
      <c r="AP15" s="63">
        <f>Calc_CFADS!R26</f>
        <v/>
      </c>
      <c r="AQ15" s="63">
        <f>Calc_CFADS!S26</f>
        <v/>
      </c>
      <c r="AR15" s="63">
        <f>Calc_CFADS!T26</f>
        <v/>
      </c>
      <c r="AS15" s="63">
        <f>Calc_CFADS!U26</f>
        <v/>
      </c>
      <c r="AT15" s="63">
        <f>Calc_CFADS!V26</f>
        <v/>
      </c>
      <c r="AU15" s="63">
        <f>Calc_CFADS!W26</f>
        <v/>
      </c>
      <c r="AV15" s="63">
        <f>Calc_CFADS!X26</f>
        <v/>
      </c>
      <c r="AW15" s="63">
        <f>Calc_CFADS!Y26</f>
        <v/>
      </c>
      <c r="AX15" s="63">
        <f>Calc_CFADS!Z26</f>
        <v/>
      </c>
      <c r="AY15" s="63">
        <f>Calc_CFADS!AA26</f>
        <v/>
      </c>
      <c r="AZ15" s="63">
        <f>Calc_CFADS!AB26</f>
        <v/>
      </c>
      <c r="BA15" s="63">
        <f>Calc_CFADS!AC26</f>
        <v/>
      </c>
      <c r="BB15" s="63">
        <f>Calc_CFADS!AD26</f>
        <v/>
      </c>
      <c r="BC15" s="63">
        <f>Calc_CFADS!AE26</f>
        <v/>
      </c>
      <c r="BD15" s="63">
        <f>Calc_CFADS!AF26</f>
        <v/>
      </c>
      <c r="BE15" s="63">
        <f>Calc_CFADS!AG26</f>
        <v/>
      </c>
      <c r="BF15" s="63">
        <f>Calc_CFADS!AH26</f>
        <v/>
      </c>
      <c r="BG15" s="63">
        <f>Calc_CFADS!AI26</f>
        <v/>
      </c>
      <c r="BH15" s="63">
        <f>Calc_CFADS!AJ26</f>
        <v/>
      </c>
      <c r="BI15" s="63">
        <f>Calc_CFADS!AK26</f>
        <v/>
      </c>
      <c r="BJ15" s="63">
        <f>Calc_CFADS!AL26</f>
        <v/>
      </c>
      <c r="BK15" s="63">
        <f>Calc_CFADS!AM26</f>
        <v/>
      </c>
      <c r="BL15" s="63">
        <f>Calc_CFADS!AN26</f>
        <v/>
      </c>
      <c r="BM15" s="63">
        <f>Calc_CFADS!AO26</f>
        <v/>
      </c>
      <c r="BN15" s="63">
        <f>Calc_CFADS!AP26</f>
        <v/>
      </c>
      <c r="BO15" s="63">
        <f>Calc_CFADS!AQ26</f>
        <v/>
      </c>
      <c r="BP15" s="63">
        <f>Calc_CFADS!AR26</f>
        <v/>
      </c>
      <c r="BQ15" s="63">
        <f>Calc_CFADS!AS26</f>
        <v/>
      </c>
      <c r="BR15" s="63">
        <f>Calc_CFADS!AT26</f>
        <v/>
      </c>
      <c r="BS15" s="63">
        <f>Calc_CFADS!AU26</f>
        <v/>
      </c>
      <c r="BT15" s="63">
        <f>Calc_CFADS!AV26</f>
        <v/>
      </c>
      <c r="BU15" s="63">
        <f>Calc_CFADS!AW26</f>
        <v/>
      </c>
      <c r="BV15" s="63">
        <f>Calc_CFADS!AX26</f>
        <v/>
      </c>
      <c r="BW15" s="63">
        <f>Calc_CFADS!AY26</f>
        <v/>
      </c>
      <c r="BX15" s="63">
        <f>Calc_CFADS!AZ26</f>
        <v/>
      </c>
      <c r="BY15" s="63">
        <f>Calc_CFADS!BA26</f>
        <v/>
      </c>
      <c r="BZ15" s="63">
        <f>Calc_CFADS!BB26</f>
        <v/>
      </c>
      <c r="CA15" s="63">
        <f>Calc_CFADS!BC26</f>
        <v/>
      </c>
      <c r="CB15" s="63">
        <f>Calc_CFADS!BD26</f>
        <v/>
      </c>
      <c r="CC15" s="63">
        <f>Calc_CFADS!BE26</f>
        <v/>
      </c>
      <c r="CD15" s="63">
        <f>Calc_CFADS!BF26</f>
        <v/>
      </c>
      <c r="CE15" s="63">
        <f>Calc_CFADS!BG26</f>
        <v/>
      </c>
      <c r="CF15" s="63">
        <f>Calc_CFADS!BH26</f>
        <v/>
      </c>
      <c r="CG15" s="63">
        <f>Calc_CFADS!BI26</f>
        <v/>
      </c>
      <c r="CH15" s="63">
        <f>Calc_CFADS!BJ26</f>
        <v/>
      </c>
      <c r="CI15" s="63">
        <f>Calc_CFADS!BK26</f>
        <v/>
      </c>
      <c r="CJ15" s="63">
        <f>Calc_CFADS!BL26</f>
        <v/>
      </c>
      <c r="CK15" s="63">
        <f>Calc_CFADS!BM26</f>
        <v/>
      </c>
      <c r="CL15" s="63">
        <f>Calc_CFADS!BN26</f>
        <v/>
      </c>
      <c r="CM15" s="63">
        <f>Calc_CFADS!BO26</f>
        <v/>
      </c>
      <c r="CN15" s="63">
        <f>Calc_CFADS!BP26</f>
        <v/>
      </c>
      <c r="CO15" s="63">
        <f>Calc_CFADS!BQ26</f>
        <v/>
      </c>
      <c r="CP15" s="63">
        <f>Calc_CFADS!BR26</f>
        <v/>
      </c>
      <c r="CQ15" s="63">
        <f>Calc_CFADS!BS26</f>
        <v/>
      </c>
      <c r="CR15" s="63">
        <f>Calc_CFADS!BT26</f>
        <v/>
      </c>
      <c r="CS15" s="63">
        <f>Calc_CFADS!BU26</f>
        <v/>
      </c>
      <c r="CT15" s="63">
        <f>Calc_CFADS!BV26</f>
        <v/>
      </c>
      <c r="CU15" s="63">
        <f>Calc_CFADS!BW26</f>
        <v/>
      </c>
      <c r="CV15" s="63">
        <f>Calc_CFADS!BX26</f>
        <v/>
      </c>
      <c r="CW15" s="63">
        <f>Calc_CFADS!BY26</f>
        <v/>
      </c>
      <c r="CX15" s="63">
        <f>Calc_CFADS!BZ26</f>
        <v/>
      </c>
      <c r="CY15" s="63">
        <f>Calc_CFADS!CA26</f>
        <v/>
      </c>
      <c r="CZ15" s="63">
        <f>Calc_CFADS!CB26</f>
        <v/>
      </c>
      <c r="DA15" s="63">
        <f>Calc_CFADS!CC26</f>
        <v/>
      </c>
      <c r="DB15" s="63">
        <f>Calc_CFADS!CD26</f>
        <v/>
      </c>
    </row>
    <row r="18">
      <c r="A18" t="inlineStr">
        <is>
          <t>Project IRR (PIRR) — unlevered, XIRR</t>
        </is>
      </c>
    </row>
    <row r="19">
      <c r="A19" s="97">
        <f>XIRR(C14:DB14,C13:DB13)</f>
        <v/>
      </c>
    </row>
    <row r="20">
      <c r="A20" t="inlineStr">
        <is>
          <t>Equity IRR (EIRR) — levered, XIRR</t>
        </is>
      </c>
    </row>
    <row r="21">
      <c r="A21" s="97">
        <f>XIRR(C15:DB15,C13:DB13)</f>
        <v/>
      </c>
    </row>
    <row r="24">
      <c r="A24" s="56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63">
        <f>SUM(Calc_Capex!C6:N6)</f>
        <v/>
      </c>
      <c r="D26" s="63">
        <f>SUM(Calc_Capex!O6:Z6)</f>
        <v/>
      </c>
    </row>
    <row r="27">
      <c r="A27" t="inlineStr">
        <is>
          <t>IDC Capitalised ($) — annual sum</t>
        </is>
      </c>
      <c r="C27" s="63">
        <f>SUM(Calc_Financing_Cons!C18:N18)</f>
        <v/>
      </c>
      <c r="D27" s="63">
        <f>SUM(Calc_Financing_Cons!O18:Z18)</f>
        <v/>
      </c>
    </row>
    <row r="28">
      <c r="A28" t="inlineStr">
        <is>
          <t>Debt Drawn ($) — annual sum</t>
        </is>
      </c>
      <c r="C28" s="63">
        <f>SUM(Calc_Financing_Cons!C21:N21)</f>
        <v/>
      </c>
      <c r="D28" s="63">
        <f>SUM(Calc_Financing_Cons!O21:Z21)</f>
        <v/>
      </c>
    </row>
    <row r="29">
      <c r="A29" t="inlineStr">
        <is>
          <t>Equity Drawn ($) — annual sum</t>
        </is>
      </c>
      <c r="C29" s="63">
        <f>SUM(Calc_Financing_Cons!C22:N22)</f>
        <v/>
      </c>
      <c r="D29" s="63">
        <f>SUM(Calc_Financing_Cons!O22:Z22)</f>
        <v/>
      </c>
    </row>
    <row r="30">
      <c r="A30" t="inlineStr">
        <is>
          <t>Cumulative Total Project Cost ($) — year-end</t>
        </is>
      </c>
      <c r="C30" s="63">
        <f>Calc_Capex!N17</f>
        <v/>
      </c>
      <c r="D30" s="63">
        <f>Calc_Capex!Z17</f>
        <v/>
      </c>
    </row>
    <row r="31">
      <c r="A31" t="inlineStr">
        <is>
          <t>Closing Debt Balance ($) — year-end</t>
        </is>
      </c>
      <c r="C31" s="63">
        <f>Calc_Financing_Cons!N25</f>
        <v/>
      </c>
      <c r="D31" s="63">
        <f>Calc_Financing_Cons!Z25</f>
        <v/>
      </c>
    </row>
    <row r="33">
      <c r="A33" s="56" t="inlineStr">
        <is>
          <t>Balance Sheet (year-end) — P&amp;L is empty pre-COD, no revenue</t>
        </is>
      </c>
    </row>
    <row r="34">
      <c r="A34" t="inlineStr">
        <is>
          <t>Cash ($) — unrestricted; funded at Financial Close only</t>
        </is>
      </c>
      <c r="C34" s="84">
        <f>Calc_Financing_Cons!N23+Calc_Financing_Cons!N24-Calc_Capex!N7-Calc_Capex!N16-C35</f>
        <v/>
      </c>
      <c r="D34" s="84">
        <f>Calc_Financing_Cons!Z23+Calc_Financing_Cons!Z24-Calc_Capex!Z7-Calc_Capex!Z16-D35</f>
        <v/>
      </c>
    </row>
    <row r="35">
      <c r="A35" t="inlineStr">
        <is>
          <t>DSRA Balance ($) — funded at Financial Close only</t>
        </is>
      </c>
      <c r="C35" s="84" t="n">
        <v>0</v>
      </c>
      <c r="D35" s="63">
        <f>Calc_Financing_Cons!$B$12</f>
        <v/>
      </c>
    </row>
    <row r="36">
      <c r="A36" t="inlineStr">
        <is>
          <t>PP&amp;E, Net ($) = Cumulative Capex + Cumulative IDC</t>
        </is>
      </c>
      <c r="C36" s="63">
        <f>Calc_Capex!N7+Calc_Capex!N16</f>
        <v/>
      </c>
      <c r="D36" s="63">
        <f>Calc_Capex!Z7+Calc_Capex!Z16</f>
        <v/>
      </c>
    </row>
    <row r="37">
      <c r="A37" t="inlineStr">
        <is>
          <t>Total Assets ($)</t>
        </is>
      </c>
      <c r="C37" s="84">
        <f>C34+C35+C36</f>
        <v/>
      </c>
      <c r="D37" s="84">
        <f>D34+D35+D36</f>
        <v/>
      </c>
    </row>
    <row r="38">
      <c r="A38" t="inlineStr">
        <is>
          <t>Debt ($)</t>
        </is>
      </c>
      <c r="C38" s="84">
        <f>C31</f>
        <v/>
      </c>
      <c r="D38" s="84">
        <f>D31</f>
        <v/>
      </c>
    </row>
    <row r="39">
      <c r="A39" t="inlineStr">
        <is>
          <t>Paid-in Capital ($)</t>
        </is>
      </c>
      <c r="C39" s="63">
        <f>Calc_Financing_Cons!N24</f>
        <v/>
      </c>
      <c r="D39" s="63">
        <f>Calc_Financing_Cons!Z24</f>
        <v/>
      </c>
    </row>
    <row r="40">
      <c r="A40" t="inlineStr">
        <is>
          <t>Retained Earnings ($) — zero pre-COD, no P&amp;L</t>
        </is>
      </c>
      <c r="C40" s="84" t="n">
        <v>0</v>
      </c>
      <c r="D40" s="84" t="n">
        <v>0</v>
      </c>
    </row>
    <row r="41">
      <c r="A41" t="inlineStr">
        <is>
          <t>Total Equity ($)</t>
        </is>
      </c>
      <c r="C41" s="84">
        <f>C39+C40</f>
        <v/>
      </c>
      <c r="D41" s="84">
        <f>D39+D40</f>
        <v/>
      </c>
    </row>
    <row r="42">
      <c r="A42" t="inlineStr">
        <is>
          <t>Total Liabilities + Equity ($)</t>
        </is>
      </c>
      <c r="C42" s="84">
        <f>C38+C41</f>
        <v/>
      </c>
      <c r="D42" s="84">
        <f>D38+D41</f>
        <v/>
      </c>
    </row>
    <row r="44">
      <c r="A44" s="56" t="inlineStr">
        <is>
          <t>Checks</t>
        </is>
      </c>
    </row>
    <row r="45">
      <c r="A45" t="inlineStr">
        <is>
          <t># of construction years where the BS does not balance</t>
        </is>
      </c>
      <c r="D45" s="89">
        <f>SUMPRODUCT(--(ROUND(C37:D37-C42:D42,2)&lt;&gt;0))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9">
        <f>FS_Annual!AD13</f>
        <v/>
      </c>
      <c r="D7" s="99">
        <f>FS_Annual!AH13</f>
        <v/>
      </c>
      <c r="E7" s="99">
        <f>FS_Annual!AL13</f>
        <v/>
      </c>
      <c r="F7" s="99">
        <f>FS_Annual!AP13</f>
        <v/>
      </c>
      <c r="G7" s="99">
        <f>FS_Annual!AT13</f>
        <v/>
      </c>
      <c r="H7" s="99">
        <f>FS_Annual!AX13</f>
        <v/>
      </c>
      <c r="I7" s="99">
        <f>FS_Annual!BB13</f>
        <v/>
      </c>
      <c r="J7" s="99">
        <f>FS_Annual!BF13</f>
        <v/>
      </c>
      <c r="K7" s="99">
        <f>FS_Annual!BJ13</f>
        <v/>
      </c>
      <c r="L7" s="99">
        <f>FS_Annual!BN13</f>
        <v/>
      </c>
      <c r="M7" s="99">
        <f>FS_Annual!BR13</f>
        <v/>
      </c>
      <c r="N7" s="99">
        <f>FS_Annual!BV13</f>
        <v/>
      </c>
      <c r="O7" s="99">
        <f>FS_Annual!BZ13</f>
        <v/>
      </c>
      <c r="P7" s="99">
        <f>FS_Annual!CD13</f>
        <v/>
      </c>
      <c r="Q7" s="99">
        <f>FS_Annual!CH13</f>
        <v/>
      </c>
      <c r="R7" s="99">
        <f>FS_Annual!CL13</f>
        <v/>
      </c>
      <c r="S7" s="99">
        <f>FS_Annual!CP13</f>
        <v/>
      </c>
      <c r="T7" s="99">
        <f>FS_Annual!CT13</f>
        <v/>
      </c>
      <c r="U7" s="99">
        <f>FS_Annual!CX13</f>
        <v/>
      </c>
      <c r="V7" s="99">
        <f>FS_Annual!DB13</f>
        <v/>
      </c>
    </row>
    <row r="8">
      <c r="A8" t="inlineStr">
        <is>
          <t>Implied Sale Price ($) — XNPV of remaining FCFF at Target PIRR</t>
        </is>
      </c>
      <c r="C8" s="84">
        <f>SUMPRODUCT((FS_Annual!C13:DB13&gt;C$7)*FS_Annual!C14:DB14/(1+$B$3)^((FS_Annual!C13:DB13-C$7)/365))</f>
        <v/>
      </c>
      <c r="D8" s="84">
        <f>SUMPRODUCT((FS_Annual!C13:DB13&gt;D$7)*FS_Annual!C14:DB14/(1+$B$3)^((FS_Annual!C13:DB13-D$7)/365))</f>
        <v/>
      </c>
      <c r="E8" s="84">
        <f>SUMPRODUCT((FS_Annual!C13:DB13&gt;E$7)*FS_Annual!C14:DB14/(1+$B$3)^((FS_Annual!C13:DB13-E$7)/365))</f>
        <v/>
      </c>
      <c r="F8" s="84">
        <f>SUMPRODUCT((FS_Annual!C13:DB13&gt;F$7)*FS_Annual!C14:DB14/(1+$B$3)^((FS_Annual!C13:DB13-F$7)/365))</f>
        <v/>
      </c>
      <c r="G8" s="84">
        <f>SUMPRODUCT((FS_Annual!C13:DB13&gt;G$7)*FS_Annual!C14:DB14/(1+$B$3)^((FS_Annual!C13:DB13-G$7)/365))</f>
        <v/>
      </c>
      <c r="H8" s="84">
        <f>SUMPRODUCT((FS_Annual!C13:DB13&gt;H$7)*FS_Annual!C14:DB14/(1+$B$3)^((FS_Annual!C13:DB13-H$7)/365))</f>
        <v/>
      </c>
      <c r="I8" s="84">
        <f>SUMPRODUCT((FS_Annual!C13:DB13&gt;I$7)*FS_Annual!C14:DB14/(1+$B$3)^((FS_Annual!C13:DB13-I$7)/365))</f>
        <v/>
      </c>
      <c r="J8" s="84">
        <f>SUMPRODUCT((FS_Annual!C13:DB13&gt;J$7)*FS_Annual!C14:DB14/(1+$B$3)^((FS_Annual!C13:DB13-J$7)/365))</f>
        <v/>
      </c>
      <c r="K8" s="84">
        <f>SUMPRODUCT((FS_Annual!C13:DB13&gt;K$7)*FS_Annual!C14:DB14/(1+$B$3)^((FS_Annual!C13:DB13-K$7)/365))</f>
        <v/>
      </c>
      <c r="L8" s="84">
        <f>SUMPRODUCT((FS_Annual!C13:DB13&gt;L$7)*FS_Annual!C14:DB14/(1+$B$3)^((FS_Annual!C13:DB13-L$7)/365))</f>
        <v/>
      </c>
      <c r="M8" s="84">
        <f>SUMPRODUCT((FS_Annual!C13:DB13&gt;M$7)*FS_Annual!C14:DB14/(1+$B$3)^((FS_Annual!C13:DB13-M$7)/365))</f>
        <v/>
      </c>
      <c r="N8" s="84">
        <f>SUMPRODUCT((FS_Annual!C13:DB13&gt;N$7)*FS_Annual!C14:DB14/(1+$B$3)^((FS_Annual!C13:DB13-N$7)/365))</f>
        <v/>
      </c>
      <c r="O8" s="84">
        <f>SUMPRODUCT((FS_Annual!C13:DB13&gt;O$7)*FS_Annual!C14:DB14/(1+$B$3)^((FS_Annual!C13:DB13-O$7)/365))</f>
        <v/>
      </c>
      <c r="P8" s="84">
        <f>SUMPRODUCT((FS_Annual!C13:DB13&gt;P$7)*FS_Annual!C14:DB14/(1+$B$3)^((FS_Annual!C13:DB13-P$7)/365))</f>
        <v/>
      </c>
      <c r="Q8" s="84">
        <f>SUMPRODUCT((FS_Annual!C13:DB13&gt;Q$7)*FS_Annual!C14:DB14/(1+$B$3)^((FS_Annual!C13:DB13-Q$7)/365))</f>
        <v/>
      </c>
      <c r="R8" s="84">
        <f>SUMPRODUCT((FS_Annual!C13:DB13&gt;R$7)*FS_Annual!C14:DB14/(1+$B$3)^((FS_Annual!C13:DB13-R$7)/365))</f>
        <v/>
      </c>
      <c r="S8" s="84">
        <f>SUMPRODUCT((FS_Annual!C13:DB13&gt;S$7)*FS_Annual!C14:DB14/(1+$B$3)^((FS_Annual!C13:DB13-S$7)/365))</f>
        <v/>
      </c>
      <c r="T8" s="84">
        <f>SUMPRODUCT((FS_Annual!C13:DB13&gt;T$7)*FS_Annual!C14:DB14/(1+$B$3)^((FS_Annual!C13:DB13-T$7)/365))</f>
        <v/>
      </c>
      <c r="U8" s="84">
        <f>SUMPRODUCT((FS_Annual!C13:DB13&gt;U$7)*FS_Annual!C14:DB14/(1+$B$3)^((FS_Annual!C13:DB13-U$7)/365))</f>
        <v/>
      </c>
      <c r="V8" s="84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63">
        <f>FS_Annual!AD8</f>
        <v/>
      </c>
      <c r="D9" s="63">
        <f>FS_Annual!AH8</f>
        <v/>
      </c>
      <c r="E9" s="63">
        <f>FS_Annual!AL8</f>
        <v/>
      </c>
      <c r="F9" s="63">
        <f>FS_Annual!AP8</f>
        <v/>
      </c>
      <c r="G9" s="63">
        <f>FS_Annual!AT8</f>
        <v/>
      </c>
      <c r="H9" s="63">
        <f>FS_Annual!AX8</f>
        <v/>
      </c>
      <c r="I9" s="63">
        <f>FS_Annual!BB8</f>
        <v/>
      </c>
      <c r="J9" s="63">
        <f>FS_Annual!BF8</f>
        <v/>
      </c>
      <c r="K9" s="63">
        <f>FS_Annual!BJ8</f>
        <v/>
      </c>
      <c r="L9" s="63">
        <f>FS_Annual!BN8</f>
        <v/>
      </c>
      <c r="M9" s="63">
        <f>FS_Annual!BR8</f>
        <v/>
      </c>
      <c r="N9" s="63">
        <f>FS_Annual!BV8</f>
        <v/>
      </c>
      <c r="O9" s="63">
        <f>FS_Annual!BZ8</f>
        <v/>
      </c>
      <c r="P9" s="63">
        <f>FS_Annual!CD8</f>
        <v/>
      </c>
      <c r="Q9" s="63">
        <f>FS_Annual!CH8</f>
        <v/>
      </c>
      <c r="R9" s="63">
        <f>FS_Annual!CL8</f>
        <v/>
      </c>
      <c r="S9" s="63">
        <f>FS_Annual!CP8</f>
        <v/>
      </c>
      <c r="T9" s="63">
        <f>FS_Annual!CT8</f>
        <v/>
      </c>
      <c r="U9" s="63">
        <f>FS_Annual!CX8</f>
        <v/>
      </c>
      <c r="V9" s="63">
        <f>FS_Annual!DB8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XIRR(C19:DB19,FS_Annual!C13:FS_Annual!DB13)</f>
        <v/>
      </c>
      <c r="D11" s="97">
        <f>XIRR(C21:DB21,FS_Annual!C13:FS_Annual!DB13)</f>
        <v/>
      </c>
      <c r="E11" s="97">
        <f>XIRR(C23:DB23,FS_Annual!C13:FS_Annual!DB13)</f>
        <v/>
      </c>
      <c r="F11" s="97">
        <f>XIRR(C25:DB25,FS_Annual!C13:FS_Annual!DB13)</f>
        <v/>
      </c>
      <c r="G11" s="97">
        <f>XIRR(C27:DB27,FS_Annual!C13:FS_Annual!DB13)</f>
        <v/>
      </c>
      <c r="H11" s="97">
        <f>XIRR(C29:DB29,FS_Annual!C13:FS_Annual!DB13)</f>
        <v/>
      </c>
      <c r="I11" s="97">
        <f>XIRR(C31:DB31,FS_Annual!C13:FS_Annual!DB13)</f>
        <v/>
      </c>
      <c r="J11" s="97">
        <f>XIRR(C33:DB33,FS_Annual!C13:FS_Annual!DB13)</f>
        <v/>
      </c>
      <c r="K11" s="97">
        <f>XIRR(C35:DB35,FS_Annual!C13:FS_Annual!DB13)</f>
        <v/>
      </c>
      <c r="L11" s="97">
        <f>XIRR(C37:DB37,FS_Annual!C13:FS_Annual!DB13)</f>
        <v/>
      </c>
      <c r="M11" s="97">
        <f>XIRR(C39:DB39,FS_Annual!C13:FS_Annual!DB13)</f>
        <v/>
      </c>
      <c r="N11" s="97">
        <f>XIRR(C41:DB41,FS_Annual!C13:FS_Annual!DB13)</f>
        <v/>
      </c>
      <c r="O11" s="97">
        <f>XIRR(C43:DB43,FS_Annual!C13:FS_Annual!DB13)</f>
        <v/>
      </c>
      <c r="P11" s="97">
        <f>XIRR(C45:DB45,FS_Annual!C13:FS_Annual!DB13)</f>
        <v/>
      </c>
      <c r="Q11" s="97">
        <f>XIRR(C47:DB47,FS_Annual!C13:FS_Annual!DB13)</f>
        <v/>
      </c>
      <c r="R11" s="97">
        <f>XIRR(C49:DB49,FS_Annual!C13:FS_Annual!DB13)</f>
        <v/>
      </c>
      <c r="S11" s="97">
        <f>XIRR(C51:DB51,FS_Annual!C13:FS_Annual!DB13)</f>
        <v/>
      </c>
      <c r="T11" s="97">
        <f>XIRR(C53:DB53,FS_Annual!C13:FS_Annual!DB13)</f>
        <v/>
      </c>
      <c r="U11" s="97">
        <f>XIRR(C55:DB55,FS_Annual!C13:FS_Annual!DB13)</f>
        <v/>
      </c>
      <c r="V11" s="97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7">
        <f>XIRR(C20:DB20,FS_Annual!C13:FS_Annual!DB13)</f>
        <v/>
      </c>
      <c r="D12" s="97">
        <f>XIRR(C22:DB22,FS_Annual!C13:FS_Annual!DB13)</f>
        <v/>
      </c>
      <c r="E12" s="97">
        <f>XIRR(C24:DB24,FS_Annual!C13:FS_Annual!DB13)</f>
        <v/>
      </c>
      <c r="F12" s="97">
        <f>XIRR(C26:DB26,FS_Annual!C13:FS_Annual!DB13)</f>
        <v/>
      </c>
      <c r="G12" s="97">
        <f>XIRR(C28:DB28,FS_Annual!C13:FS_Annual!DB13)</f>
        <v/>
      </c>
      <c r="H12" s="97">
        <f>XIRR(C30:DB30,FS_Annual!C13:FS_Annual!DB13)</f>
        <v/>
      </c>
      <c r="I12" s="97">
        <f>XIRR(C32:DB32,FS_Annual!C13:FS_Annual!DB13)</f>
        <v/>
      </c>
      <c r="J12" s="97">
        <f>XIRR(C34:DB34,FS_Annual!C13:FS_Annual!DB13)</f>
        <v/>
      </c>
      <c r="K12" s="97">
        <f>XIRR(C36:DB36,FS_Annual!C13:FS_Annual!DB13)</f>
        <v/>
      </c>
      <c r="L12" s="97">
        <f>XIRR(C38:DB38,FS_Annual!C13:FS_Annual!DB13)</f>
        <v/>
      </c>
      <c r="M12" s="97">
        <f>XIRR(C40:DB40,FS_Annual!C13:FS_Annual!DB13)</f>
        <v/>
      </c>
      <c r="N12" s="97">
        <f>XIRR(C42:DB42,FS_Annual!C13:FS_Annual!DB13)</f>
        <v/>
      </c>
      <c r="O12" s="97">
        <f>XIRR(C44:DB44,FS_Annual!C13:FS_Annual!DB13)</f>
        <v/>
      </c>
      <c r="P12" s="97">
        <f>XIRR(C46:DB46,FS_Annual!C13:FS_Annual!DB13)</f>
        <v/>
      </c>
      <c r="Q12" s="97">
        <f>XIRR(C48:DB48,FS_Annual!C13:FS_Annual!DB13)</f>
        <v/>
      </c>
      <c r="R12" s="97">
        <f>XIRR(C50:DB50,FS_Annual!C13:FS_Annual!DB13)</f>
        <v/>
      </c>
      <c r="S12" s="97">
        <f>XIRR(C52:DB52,FS_Annual!C13:FS_Annual!DB13)</f>
        <v/>
      </c>
      <c r="T12" s="97">
        <f>XIRR(C54:DB54,FS_Annual!C13:FS_Annual!DB13)</f>
        <v/>
      </c>
      <c r="U12" s="97">
        <f>XIRR(C56:DB56,FS_Annual!C13:FS_Annual!DB13)</f>
        <v/>
      </c>
      <c r="V12" s="97">
        <f>XIRR(C58:DB58,FS_Annual!C13:FS_Annual!DB13)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00">
        <f>FS_Annual!C15</f>
        <v/>
      </c>
      <c r="D19" s="100">
        <f>FS_Annual!D15</f>
        <v/>
      </c>
      <c r="E19" s="100">
        <f>FS_Annual!E15</f>
        <v/>
      </c>
      <c r="F19" s="100">
        <f>FS_Annual!F15</f>
        <v/>
      </c>
      <c r="G19" s="100">
        <f>FS_Annual!G15</f>
        <v/>
      </c>
      <c r="H19" s="100">
        <f>FS_Annual!H15</f>
        <v/>
      </c>
      <c r="I19" s="100">
        <f>FS_Annual!I15</f>
        <v/>
      </c>
      <c r="J19" s="100">
        <f>FS_Annual!J15</f>
        <v/>
      </c>
      <c r="K19" s="100">
        <f>FS_Annual!K15</f>
        <v/>
      </c>
      <c r="L19" s="100">
        <f>FS_Annual!L15</f>
        <v/>
      </c>
      <c r="M19" s="100">
        <f>FS_Annual!M15</f>
        <v/>
      </c>
      <c r="N19" s="100">
        <f>FS_Annual!N15</f>
        <v/>
      </c>
      <c r="O19" s="100">
        <f>FS_Annual!O15</f>
        <v/>
      </c>
      <c r="P19" s="100">
        <f>FS_Annual!P15</f>
        <v/>
      </c>
      <c r="Q19" s="100">
        <f>FS_Annual!Q15</f>
        <v/>
      </c>
      <c r="R19" s="100">
        <f>FS_Annual!R15</f>
        <v/>
      </c>
      <c r="S19" s="100">
        <f>FS_Annual!S15</f>
        <v/>
      </c>
      <c r="T19" s="100">
        <f>FS_Annual!T15</f>
        <v/>
      </c>
      <c r="U19" s="100">
        <f>FS_Annual!U15</f>
        <v/>
      </c>
      <c r="V19" s="100">
        <f>FS_Annual!V15</f>
        <v/>
      </c>
      <c r="W19" s="100">
        <f>FS_Annual!W15</f>
        <v/>
      </c>
      <c r="X19" s="100">
        <f>FS_Annual!X15</f>
        <v/>
      </c>
      <c r="Y19" s="100">
        <f>FS_Annual!Y15</f>
        <v/>
      </c>
      <c r="Z19" s="100">
        <f>FS_Annual!Z15</f>
        <v/>
      </c>
      <c r="AA19" s="100">
        <f>FS_Annual!AA15</f>
        <v/>
      </c>
      <c r="AB19" s="100">
        <f>FS_Annual!AB15</f>
        <v/>
      </c>
      <c r="AC19" s="100">
        <f>FS_Annual!AC15</f>
        <v/>
      </c>
      <c r="AD19" s="100">
        <f>FS_Annual!AD15+C8</f>
        <v/>
      </c>
      <c r="AE19" s="100" t="n">
        <v>0</v>
      </c>
      <c r="AF19" s="100" t="n">
        <v>0</v>
      </c>
      <c r="AG19" s="100" t="n">
        <v>0</v>
      </c>
      <c r="AH19" s="100" t="n">
        <v>0</v>
      </c>
      <c r="AI19" s="100" t="n">
        <v>0</v>
      </c>
      <c r="AJ19" s="100" t="n">
        <v>0</v>
      </c>
      <c r="AK19" s="100" t="n">
        <v>0</v>
      </c>
      <c r="AL19" s="100" t="n">
        <v>0</v>
      </c>
      <c r="AM19" s="100" t="n">
        <v>0</v>
      </c>
      <c r="AN19" s="100" t="n">
        <v>0</v>
      </c>
      <c r="AO19" s="100" t="n">
        <v>0</v>
      </c>
      <c r="AP19" s="100" t="n">
        <v>0</v>
      </c>
      <c r="AQ19" s="100" t="n">
        <v>0</v>
      </c>
      <c r="AR19" s="100" t="n">
        <v>0</v>
      </c>
      <c r="AS19" s="100" t="n">
        <v>0</v>
      </c>
      <c r="AT19" s="100" t="n">
        <v>0</v>
      </c>
      <c r="AU19" s="100" t="n">
        <v>0</v>
      </c>
      <c r="AV19" s="100" t="n">
        <v>0</v>
      </c>
      <c r="AW19" s="100" t="n">
        <v>0</v>
      </c>
      <c r="AX19" s="100" t="n">
        <v>0</v>
      </c>
      <c r="AY19" s="100" t="n">
        <v>0</v>
      </c>
      <c r="AZ19" s="100" t="n">
        <v>0</v>
      </c>
      <c r="BA19" s="100" t="n">
        <v>0</v>
      </c>
      <c r="BB19" s="100" t="n">
        <v>0</v>
      </c>
      <c r="BC19" s="100" t="n">
        <v>0</v>
      </c>
      <c r="BD19" s="100" t="n">
        <v>0</v>
      </c>
      <c r="BE19" s="100" t="n">
        <v>0</v>
      </c>
      <c r="BF19" s="100" t="n">
        <v>0</v>
      </c>
      <c r="BG19" s="100" t="n">
        <v>0</v>
      </c>
      <c r="BH19" s="100" t="n">
        <v>0</v>
      </c>
      <c r="BI19" s="100" t="n">
        <v>0</v>
      </c>
      <c r="BJ19" s="100" t="n">
        <v>0</v>
      </c>
      <c r="BK19" s="100" t="n">
        <v>0</v>
      </c>
      <c r="BL19" s="100" t="n">
        <v>0</v>
      </c>
      <c r="BM19" s="100" t="n">
        <v>0</v>
      </c>
      <c r="BN19" s="100" t="n">
        <v>0</v>
      </c>
      <c r="BO19" s="100" t="n">
        <v>0</v>
      </c>
      <c r="BP19" s="100" t="n">
        <v>0</v>
      </c>
      <c r="BQ19" s="100" t="n">
        <v>0</v>
      </c>
      <c r="BR19" s="100" t="n">
        <v>0</v>
      </c>
      <c r="BS19" s="100" t="n">
        <v>0</v>
      </c>
      <c r="BT19" s="100" t="n">
        <v>0</v>
      </c>
      <c r="BU19" s="100" t="n">
        <v>0</v>
      </c>
      <c r="BV19" s="100" t="n">
        <v>0</v>
      </c>
      <c r="BW19" s="100" t="n">
        <v>0</v>
      </c>
      <c r="BX19" s="100" t="n">
        <v>0</v>
      </c>
      <c r="BY19" s="100" t="n">
        <v>0</v>
      </c>
      <c r="BZ19" s="100" t="n">
        <v>0</v>
      </c>
      <c r="CA19" s="100" t="n">
        <v>0</v>
      </c>
      <c r="CB19" s="100" t="n">
        <v>0</v>
      </c>
      <c r="CC19" s="100" t="n">
        <v>0</v>
      </c>
      <c r="CD19" s="100" t="n">
        <v>0</v>
      </c>
      <c r="CE19" s="100" t="n">
        <v>0</v>
      </c>
      <c r="CF19" s="100" t="n">
        <v>0</v>
      </c>
      <c r="CG19" s="100" t="n">
        <v>0</v>
      </c>
      <c r="CH19" s="100" t="n">
        <v>0</v>
      </c>
      <c r="CI19" s="100" t="n">
        <v>0</v>
      </c>
      <c r="CJ19" s="100" t="n">
        <v>0</v>
      </c>
      <c r="CK19" s="100" t="n">
        <v>0</v>
      </c>
      <c r="CL19" s="100" t="n">
        <v>0</v>
      </c>
      <c r="CM19" s="100" t="n">
        <v>0</v>
      </c>
      <c r="CN19" s="100" t="n">
        <v>0</v>
      </c>
      <c r="CO19" s="100" t="n">
        <v>0</v>
      </c>
      <c r="CP19" s="100" t="n">
        <v>0</v>
      </c>
      <c r="CQ19" s="100" t="n">
        <v>0</v>
      </c>
      <c r="CR19" s="100" t="n">
        <v>0</v>
      </c>
      <c r="CS19" s="100" t="n">
        <v>0</v>
      </c>
      <c r="CT19" s="100" t="n">
        <v>0</v>
      </c>
      <c r="CU19" s="100" t="n">
        <v>0</v>
      </c>
      <c r="CV19" s="100" t="n">
        <v>0</v>
      </c>
      <c r="CW19" s="100" t="n">
        <v>0</v>
      </c>
      <c r="CX19" s="100" t="n">
        <v>0</v>
      </c>
      <c r="CY19" s="100" t="n">
        <v>0</v>
      </c>
      <c r="CZ19" s="100" t="n">
        <v>0</v>
      </c>
      <c r="DA19" s="100" t="n">
        <v>0</v>
      </c>
      <c r="DB19" s="100" t="n">
        <v>0</v>
      </c>
    </row>
    <row r="20">
      <c r="A20" t="inlineStr">
        <is>
          <t>Yr 1 exit — Buyer Project CF</t>
        </is>
      </c>
      <c r="C20" s="100" t="n">
        <v>0</v>
      </c>
      <c r="D20" s="100" t="n">
        <v>0</v>
      </c>
      <c r="E20" s="100" t="n">
        <v>0</v>
      </c>
      <c r="F20" s="100" t="n">
        <v>0</v>
      </c>
      <c r="G20" s="100" t="n">
        <v>0</v>
      </c>
      <c r="H20" s="100" t="n">
        <v>0</v>
      </c>
      <c r="I20" s="100" t="n">
        <v>0</v>
      </c>
      <c r="J20" s="100" t="n">
        <v>0</v>
      </c>
      <c r="K20" s="100" t="n">
        <v>0</v>
      </c>
      <c r="L20" s="100" t="n">
        <v>0</v>
      </c>
      <c r="M20" s="100" t="n">
        <v>0</v>
      </c>
      <c r="N20" s="100" t="n">
        <v>0</v>
      </c>
      <c r="O20" s="100" t="n">
        <v>0</v>
      </c>
      <c r="P20" s="100" t="n">
        <v>0</v>
      </c>
      <c r="Q20" s="100" t="n">
        <v>0</v>
      </c>
      <c r="R20" s="100" t="n">
        <v>0</v>
      </c>
      <c r="S20" s="100" t="n">
        <v>0</v>
      </c>
      <c r="T20" s="100" t="n">
        <v>0</v>
      </c>
      <c r="U20" s="100" t="n">
        <v>0</v>
      </c>
      <c r="V20" s="100" t="n">
        <v>0</v>
      </c>
      <c r="W20" s="100" t="n">
        <v>0</v>
      </c>
      <c r="X20" s="100" t="n">
        <v>0</v>
      </c>
      <c r="Y20" s="100" t="n">
        <v>0</v>
      </c>
      <c r="Z20" s="100" t="n">
        <v>0</v>
      </c>
      <c r="AA20" s="100" t="n">
        <v>0</v>
      </c>
      <c r="AB20" s="100" t="n">
        <v>0</v>
      </c>
      <c r="AC20" s="100" t="n">
        <v>0</v>
      </c>
      <c r="AD20" s="100">
        <f>-C10</f>
        <v/>
      </c>
      <c r="AE20" s="100">
        <f>FS_Annual!AE14</f>
        <v/>
      </c>
      <c r="AF20" s="100">
        <f>FS_Annual!AF14</f>
        <v/>
      </c>
      <c r="AG20" s="100">
        <f>FS_Annual!AG14</f>
        <v/>
      </c>
      <c r="AH20" s="100">
        <f>FS_Annual!AH14</f>
        <v/>
      </c>
      <c r="AI20" s="100">
        <f>FS_Annual!AI14</f>
        <v/>
      </c>
      <c r="AJ20" s="100">
        <f>FS_Annual!AJ14</f>
        <v/>
      </c>
      <c r="AK20" s="100">
        <f>FS_Annual!AK14</f>
        <v/>
      </c>
      <c r="AL20" s="100">
        <f>FS_Annual!AL14</f>
        <v/>
      </c>
      <c r="AM20" s="100">
        <f>FS_Annual!AM14</f>
        <v/>
      </c>
      <c r="AN20" s="100">
        <f>FS_Annual!AN14</f>
        <v/>
      </c>
      <c r="AO20" s="100">
        <f>FS_Annual!AO14</f>
        <v/>
      </c>
      <c r="AP20" s="100">
        <f>FS_Annual!AP14</f>
        <v/>
      </c>
      <c r="AQ20" s="100">
        <f>FS_Annual!AQ14</f>
        <v/>
      </c>
      <c r="AR20" s="100">
        <f>FS_Annual!AR14</f>
        <v/>
      </c>
      <c r="AS20" s="100">
        <f>FS_Annual!AS14</f>
        <v/>
      </c>
      <c r="AT20" s="100">
        <f>FS_Annual!AT14</f>
        <v/>
      </c>
      <c r="AU20" s="100">
        <f>FS_Annual!AU14</f>
        <v/>
      </c>
      <c r="AV20" s="100">
        <f>FS_Annual!AV14</f>
        <v/>
      </c>
      <c r="AW20" s="100">
        <f>FS_Annual!AW14</f>
        <v/>
      </c>
      <c r="AX20" s="100">
        <f>FS_Annual!AX14</f>
        <v/>
      </c>
      <c r="AY20" s="100">
        <f>FS_Annual!AY14</f>
        <v/>
      </c>
      <c r="AZ20" s="100">
        <f>FS_Annual!AZ14</f>
        <v/>
      </c>
      <c r="BA20" s="100">
        <f>FS_Annual!BA14</f>
        <v/>
      </c>
      <c r="BB20" s="100">
        <f>FS_Annual!BB14</f>
        <v/>
      </c>
      <c r="BC20" s="100">
        <f>FS_Annual!BC14</f>
        <v/>
      </c>
      <c r="BD20" s="100">
        <f>FS_Annual!BD14</f>
        <v/>
      </c>
      <c r="BE20" s="100">
        <f>FS_Annual!BE14</f>
        <v/>
      </c>
      <c r="BF20" s="100">
        <f>FS_Annual!BF14</f>
        <v/>
      </c>
      <c r="BG20" s="100">
        <f>FS_Annual!BG14</f>
        <v/>
      </c>
      <c r="BH20" s="100">
        <f>FS_Annual!BH14</f>
        <v/>
      </c>
      <c r="BI20" s="100">
        <f>FS_Annual!BI14</f>
        <v/>
      </c>
      <c r="BJ20" s="100">
        <f>FS_Annual!BJ14</f>
        <v/>
      </c>
      <c r="BK20" s="100">
        <f>FS_Annual!BK14</f>
        <v/>
      </c>
      <c r="BL20" s="100">
        <f>FS_Annual!BL14</f>
        <v/>
      </c>
      <c r="BM20" s="100">
        <f>FS_Annual!BM14</f>
        <v/>
      </c>
      <c r="BN20" s="100">
        <f>FS_Annual!BN14</f>
        <v/>
      </c>
      <c r="BO20" s="100">
        <f>FS_Annual!BO14</f>
        <v/>
      </c>
      <c r="BP20" s="100">
        <f>FS_Annual!BP14</f>
        <v/>
      </c>
      <c r="BQ20" s="100">
        <f>FS_Annual!BQ14</f>
        <v/>
      </c>
      <c r="BR20" s="100">
        <f>FS_Annual!BR14</f>
        <v/>
      </c>
      <c r="BS20" s="100">
        <f>FS_Annual!BS14</f>
        <v/>
      </c>
      <c r="BT20" s="100">
        <f>FS_Annual!BT14</f>
        <v/>
      </c>
      <c r="BU20" s="100">
        <f>FS_Annual!BU14</f>
        <v/>
      </c>
      <c r="BV20" s="100">
        <f>FS_Annual!BV14</f>
        <v/>
      </c>
      <c r="BW20" s="100">
        <f>FS_Annual!BW14</f>
        <v/>
      </c>
      <c r="BX20" s="100">
        <f>FS_Annual!BX14</f>
        <v/>
      </c>
      <c r="BY20" s="100">
        <f>FS_Annual!BY14</f>
        <v/>
      </c>
      <c r="BZ20" s="100">
        <f>FS_Annual!BZ14</f>
        <v/>
      </c>
      <c r="CA20" s="100">
        <f>FS_Annual!CA14</f>
        <v/>
      </c>
      <c r="CB20" s="100">
        <f>FS_Annual!CB14</f>
        <v/>
      </c>
      <c r="CC20" s="100">
        <f>FS_Annual!CC14</f>
        <v/>
      </c>
      <c r="CD20" s="100">
        <f>FS_Annual!CD14</f>
        <v/>
      </c>
      <c r="CE20" s="100">
        <f>FS_Annual!CE14</f>
        <v/>
      </c>
      <c r="CF20" s="100">
        <f>FS_Annual!CF14</f>
        <v/>
      </c>
      <c r="CG20" s="100">
        <f>FS_Annual!CG14</f>
        <v/>
      </c>
      <c r="CH20" s="100">
        <f>FS_Annual!CH14</f>
        <v/>
      </c>
      <c r="CI20" s="100">
        <f>FS_Annual!CI14</f>
        <v/>
      </c>
      <c r="CJ20" s="100">
        <f>FS_Annual!CJ14</f>
        <v/>
      </c>
      <c r="CK20" s="100">
        <f>FS_Annual!CK14</f>
        <v/>
      </c>
      <c r="CL20" s="100">
        <f>FS_Annual!CL14</f>
        <v/>
      </c>
      <c r="CM20" s="100">
        <f>FS_Annual!CM14</f>
        <v/>
      </c>
      <c r="CN20" s="100">
        <f>FS_Annual!CN14</f>
        <v/>
      </c>
      <c r="CO20" s="100">
        <f>FS_Annual!CO14</f>
        <v/>
      </c>
      <c r="CP20" s="100">
        <f>FS_Annual!CP14</f>
        <v/>
      </c>
      <c r="CQ20" s="100">
        <f>FS_Annual!CQ14</f>
        <v/>
      </c>
      <c r="CR20" s="100">
        <f>FS_Annual!CR14</f>
        <v/>
      </c>
      <c r="CS20" s="100">
        <f>FS_Annual!CS14</f>
        <v/>
      </c>
      <c r="CT20" s="100">
        <f>FS_Annual!CT14</f>
        <v/>
      </c>
      <c r="CU20" s="100">
        <f>FS_Annual!CU14</f>
        <v/>
      </c>
      <c r="CV20" s="100">
        <f>FS_Annual!CV14</f>
        <v/>
      </c>
      <c r="CW20" s="100">
        <f>FS_Annual!CW14</f>
        <v/>
      </c>
      <c r="CX20" s="100">
        <f>FS_Annual!CX14</f>
        <v/>
      </c>
      <c r="CY20" s="100">
        <f>FS_Annual!CY14</f>
        <v/>
      </c>
      <c r="CZ20" s="100">
        <f>FS_Annual!CZ14</f>
        <v/>
      </c>
      <c r="DA20" s="100">
        <f>FS_Annual!DA14</f>
        <v/>
      </c>
      <c r="DB20" s="100">
        <f>FS_Annual!DB14</f>
        <v/>
      </c>
    </row>
    <row r="21">
      <c r="A21" t="inlineStr">
        <is>
          <t>Yr 2 exit — Seller Equity CF</t>
        </is>
      </c>
      <c r="C21" s="100">
        <f>FS_Annual!C15</f>
        <v/>
      </c>
      <c r="D21" s="100">
        <f>FS_Annual!D15</f>
        <v/>
      </c>
      <c r="E21" s="100">
        <f>FS_Annual!E15</f>
        <v/>
      </c>
      <c r="F21" s="100">
        <f>FS_Annual!F15</f>
        <v/>
      </c>
      <c r="G21" s="100">
        <f>FS_Annual!G15</f>
        <v/>
      </c>
      <c r="H21" s="100">
        <f>FS_Annual!H15</f>
        <v/>
      </c>
      <c r="I21" s="100">
        <f>FS_Annual!I15</f>
        <v/>
      </c>
      <c r="J21" s="100">
        <f>FS_Annual!J15</f>
        <v/>
      </c>
      <c r="K21" s="100">
        <f>FS_Annual!K15</f>
        <v/>
      </c>
      <c r="L21" s="100">
        <f>FS_Annual!L15</f>
        <v/>
      </c>
      <c r="M21" s="100">
        <f>FS_Annual!M15</f>
        <v/>
      </c>
      <c r="N21" s="100">
        <f>FS_Annual!N15</f>
        <v/>
      </c>
      <c r="O21" s="100">
        <f>FS_Annual!O15</f>
        <v/>
      </c>
      <c r="P21" s="100">
        <f>FS_Annual!P15</f>
        <v/>
      </c>
      <c r="Q21" s="100">
        <f>FS_Annual!Q15</f>
        <v/>
      </c>
      <c r="R21" s="100">
        <f>FS_Annual!R15</f>
        <v/>
      </c>
      <c r="S21" s="100">
        <f>FS_Annual!S15</f>
        <v/>
      </c>
      <c r="T21" s="100">
        <f>FS_Annual!T15</f>
        <v/>
      </c>
      <c r="U21" s="100">
        <f>FS_Annual!U15</f>
        <v/>
      </c>
      <c r="V21" s="100">
        <f>FS_Annual!V15</f>
        <v/>
      </c>
      <c r="W21" s="100">
        <f>FS_Annual!W15</f>
        <v/>
      </c>
      <c r="X21" s="100">
        <f>FS_Annual!X15</f>
        <v/>
      </c>
      <c r="Y21" s="100">
        <f>FS_Annual!Y15</f>
        <v/>
      </c>
      <c r="Z21" s="100">
        <f>FS_Annual!Z15</f>
        <v/>
      </c>
      <c r="AA21" s="100">
        <f>FS_Annual!AA15</f>
        <v/>
      </c>
      <c r="AB21" s="100">
        <f>FS_Annual!AB15</f>
        <v/>
      </c>
      <c r="AC21" s="100">
        <f>FS_Annual!AC15</f>
        <v/>
      </c>
      <c r="AD21" s="100">
        <f>FS_Annual!AD15</f>
        <v/>
      </c>
      <c r="AE21" s="100">
        <f>FS_Annual!AE15</f>
        <v/>
      </c>
      <c r="AF21" s="100">
        <f>FS_Annual!AF15</f>
        <v/>
      </c>
      <c r="AG21" s="100">
        <f>FS_Annual!AG15</f>
        <v/>
      </c>
      <c r="AH21" s="100">
        <f>FS_Annual!AH15+D8</f>
        <v/>
      </c>
      <c r="AI21" s="100" t="n">
        <v>0</v>
      </c>
      <c r="AJ21" s="100" t="n">
        <v>0</v>
      </c>
      <c r="AK21" s="100" t="n">
        <v>0</v>
      </c>
      <c r="AL21" s="100" t="n">
        <v>0</v>
      </c>
      <c r="AM21" s="100" t="n">
        <v>0</v>
      </c>
      <c r="AN21" s="100" t="n">
        <v>0</v>
      </c>
      <c r="AO21" s="100" t="n">
        <v>0</v>
      </c>
      <c r="AP21" s="100" t="n">
        <v>0</v>
      </c>
      <c r="AQ21" s="100" t="n">
        <v>0</v>
      </c>
      <c r="AR21" s="100" t="n">
        <v>0</v>
      </c>
      <c r="AS21" s="100" t="n">
        <v>0</v>
      </c>
      <c r="AT21" s="100" t="n">
        <v>0</v>
      </c>
      <c r="AU21" s="100" t="n">
        <v>0</v>
      </c>
      <c r="AV21" s="100" t="n">
        <v>0</v>
      </c>
      <c r="AW21" s="100" t="n">
        <v>0</v>
      </c>
      <c r="AX21" s="100" t="n">
        <v>0</v>
      </c>
      <c r="AY21" s="100" t="n">
        <v>0</v>
      </c>
      <c r="AZ21" s="100" t="n">
        <v>0</v>
      </c>
      <c r="BA21" s="100" t="n">
        <v>0</v>
      </c>
      <c r="BB21" s="100" t="n">
        <v>0</v>
      </c>
      <c r="BC21" s="100" t="n">
        <v>0</v>
      </c>
      <c r="BD21" s="100" t="n">
        <v>0</v>
      </c>
      <c r="BE21" s="100" t="n">
        <v>0</v>
      </c>
      <c r="BF21" s="100" t="n">
        <v>0</v>
      </c>
      <c r="BG21" s="100" t="n">
        <v>0</v>
      </c>
      <c r="BH21" s="100" t="n">
        <v>0</v>
      </c>
      <c r="BI21" s="100" t="n">
        <v>0</v>
      </c>
      <c r="BJ21" s="100" t="n">
        <v>0</v>
      </c>
      <c r="BK21" s="100" t="n">
        <v>0</v>
      </c>
      <c r="BL21" s="100" t="n">
        <v>0</v>
      </c>
      <c r="BM21" s="100" t="n">
        <v>0</v>
      </c>
      <c r="BN21" s="100" t="n">
        <v>0</v>
      </c>
      <c r="BO21" s="100" t="n">
        <v>0</v>
      </c>
      <c r="BP21" s="100" t="n">
        <v>0</v>
      </c>
      <c r="BQ21" s="100" t="n">
        <v>0</v>
      </c>
      <c r="BR21" s="100" t="n">
        <v>0</v>
      </c>
      <c r="BS21" s="100" t="n">
        <v>0</v>
      </c>
      <c r="BT21" s="100" t="n">
        <v>0</v>
      </c>
      <c r="BU21" s="100" t="n">
        <v>0</v>
      </c>
      <c r="BV21" s="100" t="n">
        <v>0</v>
      </c>
      <c r="BW21" s="100" t="n">
        <v>0</v>
      </c>
      <c r="BX21" s="100" t="n">
        <v>0</v>
      </c>
      <c r="BY21" s="100" t="n">
        <v>0</v>
      </c>
      <c r="BZ21" s="100" t="n">
        <v>0</v>
      </c>
      <c r="CA21" s="100" t="n">
        <v>0</v>
      </c>
      <c r="CB21" s="100" t="n">
        <v>0</v>
      </c>
      <c r="CC21" s="100" t="n">
        <v>0</v>
      </c>
      <c r="CD21" s="100" t="n">
        <v>0</v>
      </c>
      <c r="CE21" s="100" t="n">
        <v>0</v>
      </c>
      <c r="CF21" s="100" t="n">
        <v>0</v>
      </c>
      <c r="CG21" s="100" t="n">
        <v>0</v>
      </c>
      <c r="CH21" s="100" t="n">
        <v>0</v>
      </c>
      <c r="CI21" s="100" t="n">
        <v>0</v>
      </c>
      <c r="CJ21" s="100" t="n">
        <v>0</v>
      </c>
      <c r="CK21" s="100" t="n">
        <v>0</v>
      </c>
      <c r="CL21" s="100" t="n">
        <v>0</v>
      </c>
      <c r="CM21" s="100" t="n">
        <v>0</v>
      </c>
      <c r="CN21" s="100" t="n">
        <v>0</v>
      </c>
      <c r="CO21" s="100" t="n">
        <v>0</v>
      </c>
      <c r="CP21" s="100" t="n">
        <v>0</v>
      </c>
      <c r="CQ21" s="100" t="n">
        <v>0</v>
      </c>
      <c r="CR21" s="100" t="n">
        <v>0</v>
      </c>
      <c r="CS21" s="100" t="n">
        <v>0</v>
      </c>
      <c r="CT21" s="100" t="n">
        <v>0</v>
      </c>
      <c r="CU21" s="100" t="n">
        <v>0</v>
      </c>
      <c r="CV21" s="100" t="n">
        <v>0</v>
      </c>
      <c r="CW21" s="100" t="n">
        <v>0</v>
      </c>
      <c r="CX21" s="100" t="n">
        <v>0</v>
      </c>
      <c r="CY21" s="100" t="n">
        <v>0</v>
      </c>
      <c r="CZ21" s="100" t="n">
        <v>0</v>
      </c>
      <c r="DA21" s="100" t="n">
        <v>0</v>
      </c>
      <c r="DB21" s="100" t="n">
        <v>0</v>
      </c>
    </row>
    <row r="22">
      <c r="A22" t="inlineStr">
        <is>
          <t>Yr 2 exit — Buyer Project CF</t>
        </is>
      </c>
      <c r="C22" s="100" t="n">
        <v>0</v>
      </c>
      <c r="D22" s="100" t="n">
        <v>0</v>
      </c>
      <c r="E22" s="100" t="n">
        <v>0</v>
      </c>
      <c r="F22" s="100" t="n">
        <v>0</v>
      </c>
      <c r="G22" s="100" t="n">
        <v>0</v>
      </c>
      <c r="H22" s="100" t="n">
        <v>0</v>
      </c>
      <c r="I22" s="100" t="n">
        <v>0</v>
      </c>
      <c r="J22" s="100" t="n">
        <v>0</v>
      </c>
      <c r="K22" s="100" t="n">
        <v>0</v>
      </c>
      <c r="L22" s="100" t="n">
        <v>0</v>
      </c>
      <c r="M22" s="100" t="n">
        <v>0</v>
      </c>
      <c r="N22" s="100" t="n">
        <v>0</v>
      </c>
      <c r="O22" s="100" t="n">
        <v>0</v>
      </c>
      <c r="P22" s="100" t="n">
        <v>0</v>
      </c>
      <c r="Q22" s="100" t="n">
        <v>0</v>
      </c>
      <c r="R22" s="100" t="n">
        <v>0</v>
      </c>
      <c r="S22" s="100" t="n">
        <v>0</v>
      </c>
      <c r="T22" s="100" t="n">
        <v>0</v>
      </c>
      <c r="U22" s="100" t="n">
        <v>0</v>
      </c>
      <c r="V22" s="100" t="n">
        <v>0</v>
      </c>
      <c r="W22" s="100" t="n">
        <v>0</v>
      </c>
      <c r="X22" s="100" t="n">
        <v>0</v>
      </c>
      <c r="Y22" s="100" t="n">
        <v>0</v>
      </c>
      <c r="Z22" s="100" t="n">
        <v>0</v>
      </c>
      <c r="AA22" s="100" t="n">
        <v>0</v>
      </c>
      <c r="AB22" s="100" t="n">
        <v>0</v>
      </c>
      <c r="AC22" s="100" t="n">
        <v>0</v>
      </c>
      <c r="AD22" s="100" t="n">
        <v>0</v>
      </c>
      <c r="AE22" s="100" t="n">
        <v>0</v>
      </c>
      <c r="AF22" s="100" t="n">
        <v>0</v>
      </c>
      <c r="AG22" s="100" t="n">
        <v>0</v>
      </c>
      <c r="AH22" s="100">
        <f>-D10</f>
        <v/>
      </c>
      <c r="AI22" s="100">
        <f>FS_Annual!AI14</f>
        <v/>
      </c>
      <c r="AJ22" s="100">
        <f>FS_Annual!AJ14</f>
        <v/>
      </c>
      <c r="AK22" s="100">
        <f>FS_Annual!AK14</f>
        <v/>
      </c>
      <c r="AL22" s="100">
        <f>FS_Annual!AL14</f>
        <v/>
      </c>
      <c r="AM22" s="100">
        <f>FS_Annual!AM14</f>
        <v/>
      </c>
      <c r="AN22" s="100">
        <f>FS_Annual!AN14</f>
        <v/>
      </c>
      <c r="AO22" s="100">
        <f>FS_Annual!AO14</f>
        <v/>
      </c>
      <c r="AP22" s="100">
        <f>FS_Annual!AP14</f>
        <v/>
      </c>
      <c r="AQ22" s="100">
        <f>FS_Annual!AQ14</f>
        <v/>
      </c>
      <c r="AR22" s="100">
        <f>FS_Annual!AR14</f>
        <v/>
      </c>
      <c r="AS22" s="100">
        <f>FS_Annual!AS14</f>
        <v/>
      </c>
      <c r="AT22" s="100">
        <f>FS_Annual!AT14</f>
        <v/>
      </c>
      <c r="AU22" s="100">
        <f>FS_Annual!AU14</f>
        <v/>
      </c>
      <c r="AV22" s="100">
        <f>FS_Annual!AV14</f>
        <v/>
      </c>
      <c r="AW22" s="100">
        <f>FS_Annual!AW14</f>
        <v/>
      </c>
      <c r="AX22" s="100">
        <f>FS_Annual!AX14</f>
        <v/>
      </c>
      <c r="AY22" s="100">
        <f>FS_Annual!AY14</f>
        <v/>
      </c>
      <c r="AZ22" s="100">
        <f>FS_Annual!AZ14</f>
        <v/>
      </c>
      <c r="BA22" s="100">
        <f>FS_Annual!BA14</f>
        <v/>
      </c>
      <c r="BB22" s="100">
        <f>FS_Annual!BB14</f>
        <v/>
      </c>
      <c r="BC22" s="100">
        <f>FS_Annual!BC14</f>
        <v/>
      </c>
      <c r="BD22" s="100">
        <f>FS_Annual!BD14</f>
        <v/>
      </c>
      <c r="BE22" s="100">
        <f>FS_Annual!BE14</f>
        <v/>
      </c>
      <c r="BF22" s="100">
        <f>FS_Annual!BF14</f>
        <v/>
      </c>
      <c r="BG22" s="100">
        <f>FS_Annual!BG14</f>
        <v/>
      </c>
      <c r="BH22" s="100">
        <f>FS_Annual!BH14</f>
        <v/>
      </c>
      <c r="BI22" s="100">
        <f>FS_Annual!BI14</f>
        <v/>
      </c>
      <c r="BJ22" s="100">
        <f>FS_Annual!BJ14</f>
        <v/>
      </c>
      <c r="BK22" s="100">
        <f>FS_Annual!BK14</f>
        <v/>
      </c>
      <c r="BL22" s="100">
        <f>FS_Annual!BL14</f>
        <v/>
      </c>
      <c r="BM22" s="100">
        <f>FS_Annual!BM14</f>
        <v/>
      </c>
      <c r="BN22" s="100">
        <f>FS_Annual!BN14</f>
        <v/>
      </c>
      <c r="BO22" s="100">
        <f>FS_Annual!BO14</f>
        <v/>
      </c>
      <c r="BP22" s="100">
        <f>FS_Annual!BP14</f>
        <v/>
      </c>
      <c r="BQ22" s="100">
        <f>FS_Annual!BQ14</f>
        <v/>
      </c>
      <c r="BR22" s="100">
        <f>FS_Annual!BR14</f>
        <v/>
      </c>
      <c r="BS22" s="100">
        <f>FS_Annual!BS14</f>
        <v/>
      </c>
      <c r="BT22" s="100">
        <f>FS_Annual!BT14</f>
        <v/>
      </c>
      <c r="BU22" s="100">
        <f>FS_Annual!BU14</f>
        <v/>
      </c>
      <c r="BV22" s="100">
        <f>FS_Annual!BV14</f>
        <v/>
      </c>
      <c r="BW22" s="100">
        <f>FS_Annual!BW14</f>
        <v/>
      </c>
      <c r="BX22" s="100">
        <f>FS_Annual!BX14</f>
        <v/>
      </c>
      <c r="BY22" s="100">
        <f>FS_Annual!BY14</f>
        <v/>
      </c>
      <c r="BZ22" s="100">
        <f>FS_Annual!BZ14</f>
        <v/>
      </c>
      <c r="CA22" s="100">
        <f>FS_Annual!CA14</f>
        <v/>
      </c>
      <c r="CB22" s="100">
        <f>FS_Annual!CB14</f>
        <v/>
      </c>
      <c r="CC22" s="100">
        <f>FS_Annual!CC14</f>
        <v/>
      </c>
      <c r="CD22" s="100">
        <f>FS_Annual!CD14</f>
        <v/>
      </c>
      <c r="CE22" s="100">
        <f>FS_Annual!CE14</f>
        <v/>
      </c>
      <c r="CF22" s="100">
        <f>FS_Annual!CF14</f>
        <v/>
      </c>
      <c r="CG22" s="100">
        <f>FS_Annual!CG14</f>
        <v/>
      </c>
      <c r="CH22" s="100">
        <f>FS_Annual!CH14</f>
        <v/>
      </c>
      <c r="CI22" s="100">
        <f>FS_Annual!CI14</f>
        <v/>
      </c>
      <c r="CJ22" s="100">
        <f>FS_Annual!CJ14</f>
        <v/>
      </c>
      <c r="CK22" s="100">
        <f>FS_Annual!CK14</f>
        <v/>
      </c>
      <c r="CL22" s="100">
        <f>FS_Annual!CL14</f>
        <v/>
      </c>
      <c r="CM22" s="100">
        <f>FS_Annual!CM14</f>
        <v/>
      </c>
      <c r="CN22" s="100">
        <f>FS_Annual!CN14</f>
        <v/>
      </c>
      <c r="CO22" s="100">
        <f>FS_Annual!CO14</f>
        <v/>
      </c>
      <c r="CP22" s="100">
        <f>FS_Annual!CP14</f>
        <v/>
      </c>
      <c r="CQ22" s="100">
        <f>FS_Annual!CQ14</f>
        <v/>
      </c>
      <c r="CR22" s="100">
        <f>FS_Annual!CR14</f>
        <v/>
      </c>
      <c r="CS22" s="100">
        <f>FS_Annual!CS14</f>
        <v/>
      </c>
      <c r="CT22" s="100">
        <f>FS_Annual!CT14</f>
        <v/>
      </c>
      <c r="CU22" s="100">
        <f>FS_Annual!CU14</f>
        <v/>
      </c>
      <c r="CV22" s="100">
        <f>FS_Annual!CV14</f>
        <v/>
      </c>
      <c r="CW22" s="100">
        <f>FS_Annual!CW14</f>
        <v/>
      </c>
      <c r="CX22" s="100">
        <f>FS_Annual!CX14</f>
        <v/>
      </c>
      <c r="CY22" s="100">
        <f>FS_Annual!CY14</f>
        <v/>
      </c>
      <c r="CZ22" s="100">
        <f>FS_Annual!CZ14</f>
        <v/>
      </c>
      <c r="DA22" s="100">
        <f>FS_Annual!DA14</f>
        <v/>
      </c>
      <c r="DB22" s="100">
        <f>FS_Annual!DB14</f>
        <v/>
      </c>
    </row>
    <row r="23">
      <c r="A23" t="inlineStr">
        <is>
          <t>Yr 3 exit — Seller Equity CF</t>
        </is>
      </c>
      <c r="C23" s="100">
        <f>FS_Annual!C15</f>
        <v/>
      </c>
      <c r="D23" s="100">
        <f>FS_Annual!D15</f>
        <v/>
      </c>
      <c r="E23" s="100">
        <f>FS_Annual!E15</f>
        <v/>
      </c>
      <c r="F23" s="100">
        <f>FS_Annual!F15</f>
        <v/>
      </c>
      <c r="G23" s="100">
        <f>FS_Annual!G15</f>
        <v/>
      </c>
      <c r="H23" s="100">
        <f>FS_Annual!H15</f>
        <v/>
      </c>
      <c r="I23" s="100">
        <f>FS_Annual!I15</f>
        <v/>
      </c>
      <c r="J23" s="100">
        <f>FS_Annual!J15</f>
        <v/>
      </c>
      <c r="K23" s="100">
        <f>FS_Annual!K15</f>
        <v/>
      </c>
      <c r="L23" s="100">
        <f>FS_Annual!L15</f>
        <v/>
      </c>
      <c r="M23" s="100">
        <f>FS_Annual!M15</f>
        <v/>
      </c>
      <c r="N23" s="100">
        <f>FS_Annual!N15</f>
        <v/>
      </c>
      <c r="O23" s="100">
        <f>FS_Annual!O15</f>
        <v/>
      </c>
      <c r="P23" s="100">
        <f>FS_Annual!P15</f>
        <v/>
      </c>
      <c r="Q23" s="100">
        <f>FS_Annual!Q15</f>
        <v/>
      </c>
      <c r="R23" s="100">
        <f>FS_Annual!R15</f>
        <v/>
      </c>
      <c r="S23" s="100">
        <f>FS_Annual!S15</f>
        <v/>
      </c>
      <c r="T23" s="100">
        <f>FS_Annual!T15</f>
        <v/>
      </c>
      <c r="U23" s="100">
        <f>FS_Annual!U15</f>
        <v/>
      </c>
      <c r="V23" s="100">
        <f>FS_Annual!V15</f>
        <v/>
      </c>
      <c r="W23" s="100">
        <f>FS_Annual!W15</f>
        <v/>
      </c>
      <c r="X23" s="100">
        <f>FS_Annual!X15</f>
        <v/>
      </c>
      <c r="Y23" s="100">
        <f>FS_Annual!Y15</f>
        <v/>
      </c>
      <c r="Z23" s="100">
        <f>FS_Annual!Z15</f>
        <v/>
      </c>
      <c r="AA23" s="100">
        <f>FS_Annual!AA15</f>
        <v/>
      </c>
      <c r="AB23" s="100">
        <f>FS_Annual!AB15</f>
        <v/>
      </c>
      <c r="AC23" s="100">
        <f>FS_Annual!AC15</f>
        <v/>
      </c>
      <c r="AD23" s="100">
        <f>FS_Annual!AD15</f>
        <v/>
      </c>
      <c r="AE23" s="100">
        <f>FS_Annual!AE15</f>
        <v/>
      </c>
      <c r="AF23" s="100">
        <f>FS_Annual!AF15</f>
        <v/>
      </c>
      <c r="AG23" s="100">
        <f>FS_Annual!AG15</f>
        <v/>
      </c>
      <c r="AH23" s="100">
        <f>FS_Annual!AH15</f>
        <v/>
      </c>
      <c r="AI23" s="100">
        <f>FS_Annual!AI15</f>
        <v/>
      </c>
      <c r="AJ23" s="100">
        <f>FS_Annual!AJ15</f>
        <v/>
      </c>
      <c r="AK23" s="100">
        <f>FS_Annual!AK15</f>
        <v/>
      </c>
      <c r="AL23" s="100">
        <f>FS_Annual!AL15+E8</f>
        <v/>
      </c>
      <c r="AM23" s="100" t="n">
        <v>0</v>
      </c>
      <c r="AN23" s="100" t="n">
        <v>0</v>
      </c>
      <c r="AO23" s="100" t="n">
        <v>0</v>
      </c>
      <c r="AP23" s="100" t="n">
        <v>0</v>
      </c>
      <c r="AQ23" s="100" t="n">
        <v>0</v>
      </c>
      <c r="AR23" s="100" t="n">
        <v>0</v>
      </c>
      <c r="AS23" s="100" t="n">
        <v>0</v>
      </c>
      <c r="AT23" s="100" t="n">
        <v>0</v>
      </c>
      <c r="AU23" s="100" t="n">
        <v>0</v>
      </c>
      <c r="AV23" s="100" t="n">
        <v>0</v>
      </c>
      <c r="AW23" s="100" t="n">
        <v>0</v>
      </c>
      <c r="AX23" s="100" t="n">
        <v>0</v>
      </c>
      <c r="AY23" s="100" t="n">
        <v>0</v>
      </c>
      <c r="AZ23" s="100" t="n">
        <v>0</v>
      </c>
      <c r="BA23" s="100" t="n">
        <v>0</v>
      </c>
      <c r="BB23" s="100" t="n">
        <v>0</v>
      </c>
      <c r="BC23" s="100" t="n">
        <v>0</v>
      </c>
      <c r="BD23" s="100" t="n">
        <v>0</v>
      </c>
      <c r="BE23" s="100" t="n">
        <v>0</v>
      </c>
      <c r="BF23" s="100" t="n">
        <v>0</v>
      </c>
      <c r="BG23" s="100" t="n">
        <v>0</v>
      </c>
      <c r="BH23" s="100" t="n">
        <v>0</v>
      </c>
      <c r="BI23" s="100" t="n">
        <v>0</v>
      </c>
      <c r="BJ23" s="100" t="n">
        <v>0</v>
      </c>
      <c r="BK23" s="100" t="n">
        <v>0</v>
      </c>
      <c r="BL23" s="100" t="n">
        <v>0</v>
      </c>
      <c r="BM23" s="100" t="n">
        <v>0</v>
      </c>
      <c r="BN23" s="100" t="n">
        <v>0</v>
      </c>
      <c r="BO23" s="100" t="n">
        <v>0</v>
      </c>
      <c r="BP23" s="100" t="n">
        <v>0</v>
      </c>
      <c r="BQ23" s="100" t="n">
        <v>0</v>
      </c>
      <c r="BR23" s="100" t="n">
        <v>0</v>
      </c>
      <c r="BS23" s="100" t="n">
        <v>0</v>
      </c>
      <c r="BT23" s="100" t="n">
        <v>0</v>
      </c>
      <c r="BU23" s="100" t="n">
        <v>0</v>
      </c>
      <c r="BV23" s="100" t="n">
        <v>0</v>
      </c>
      <c r="BW23" s="100" t="n">
        <v>0</v>
      </c>
      <c r="BX23" s="100" t="n">
        <v>0</v>
      </c>
      <c r="BY23" s="100" t="n">
        <v>0</v>
      </c>
      <c r="BZ23" s="100" t="n">
        <v>0</v>
      </c>
      <c r="CA23" s="100" t="n">
        <v>0</v>
      </c>
      <c r="CB23" s="100" t="n">
        <v>0</v>
      </c>
      <c r="CC23" s="100" t="n">
        <v>0</v>
      </c>
      <c r="CD23" s="100" t="n">
        <v>0</v>
      </c>
      <c r="CE23" s="100" t="n">
        <v>0</v>
      </c>
      <c r="CF23" s="100" t="n">
        <v>0</v>
      </c>
      <c r="CG23" s="100" t="n">
        <v>0</v>
      </c>
      <c r="CH23" s="100" t="n">
        <v>0</v>
      </c>
      <c r="CI23" s="100" t="n">
        <v>0</v>
      </c>
      <c r="CJ23" s="100" t="n">
        <v>0</v>
      </c>
      <c r="CK23" s="100" t="n">
        <v>0</v>
      </c>
      <c r="CL23" s="100" t="n">
        <v>0</v>
      </c>
      <c r="CM23" s="100" t="n">
        <v>0</v>
      </c>
      <c r="CN23" s="100" t="n">
        <v>0</v>
      </c>
      <c r="CO23" s="100" t="n">
        <v>0</v>
      </c>
      <c r="CP23" s="100" t="n">
        <v>0</v>
      </c>
      <c r="CQ23" s="100" t="n">
        <v>0</v>
      </c>
      <c r="CR23" s="100" t="n">
        <v>0</v>
      </c>
      <c r="CS23" s="100" t="n">
        <v>0</v>
      </c>
      <c r="CT23" s="100" t="n">
        <v>0</v>
      </c>
      <c r="CU23" s="100" t="n">
        <v>0</v>
      </c>
      <c r="CV23" s="100" t="n">
        <v>0</v>
      </c>
      <c r="CW23" s="100" t="n">
        <v>0</v>
      </c>
      <c r="CX23" s="100" t="n">
        <v>0</v>
      </c>
      <c r="CY23" s="100" t="n">
        <v>0</v>
      </c>
      <c r="CZ23" s="100" t="n">
        <v>0</v>
      </c>
      <c r="DA23" s="100" t="n">
        <v>0</v>
      </c>
      <c r="DB23" s="100" t="n">
        <v>0</v>
      </c>
    </row>
    <row r="24">
      <c r="A24" t="inlineStr">
        <is>
          <t>Yr 3 exit — Buyer Project CF</t>
        </is>
      </c>
      <c r="C24" s="100" t="n">
        <v>0</v>
      </c>
      <c r="D24" s="100" t="n">
        <v>0</v>
      </c>
      <c r="E24" s="100" t="n">
        <v>0</v>
      </c>
      <c r="F24" s="100" t="n">
        <v>0</v>
      </c>
      <c r="G24" s="100" t="n">
        <v>0</v>
      </c>
      <c r="H24" s="100" t="n">
        <v>0</v>
      </c>
      <c r="I24" s="100" t="n">
        <v>0</v>
      </c>
      <c r="J24" s="100" t="n">
        <v>0</v>
      </c>
      <c r="K24" s="100" t="n">
        <v>0</v>
      </c>
      <c r="L24" s="100" t="n">
        <v>0</v>
      </c>
      <c r="M24" s="100" t="n">
        <v>0</v>
      </c>
      <c r="N24" s="100" t="n">
        <v>0</v>
      </c>
      <c r="O24" s="100" t="n">
        <v>0</v>
      </c>
      <c r="P24" s="100" t="n">
        <v>0</v>
      </c>
      <c r="Q24" s="100" t="n">
        <v>0</v>
      </c>
      <c r="R24" s="100" t="n">
        <v>0</v>
      </c>
      <c r="S24" s="100" t="n">
        <v>0</v>
      </c>
      <c r="T24" s="100" t="n">
        <v>0</v>
      </c>
      <c r="U24" s="100" t="n">
        <v>0</v>
      </c>
      <c r="V24" s="100" t="n">
        <v>0</v>
      </c>
      <c r="W24" s="100" t="n">
        <v>0</v>
      </c>
      <c r="X24" s="100" t="n">
        <v>0</v>
      </c>
      <c r="Y24" s="100" t="n">
        <v>0</v>
      </c>
      <c r="Z24" s="100" t="n">
        <v>0</v>
      </c>
      <c r="AA24" s="100" t="n">
        <v>0</v>
      </c>
      <c r="AB24" s="100" t="n">
        <v>0</v>
      </c>
      <c r="AC24" s="100" t="n">
        <v>0</v>
      </c>
      <c r="AD24" s="100" t="n">
        <v>0</v>
      </c>
      <c r="AE24" s="100" t="n">
        <v>0</v>
      </c>
      <c r="AF24" s="100" t="n">
        <v>0</v>
      </c>
      <c r="AG24" s="100" t="n">
        <v>0</v>
      </c>
      <c r="AH24" s="100" t="n">
        <v>0</v>
      </c>
      <c r="AI24" s="100" t="n">
        <v>0</v>
      </c>
      <c r="AJ24" s="100" t="n">
        <v>0</v>
      </c>
      <c r="AK24" s="100" t="n">
        <v>0</v>
      </c>
      <c r="AL24" s="100">
        <f>-E10</f>
        <v/>
      </c>
      <c r="AM24" s="100">
        <f>FS_Annual!AM14</f>
        <v/>
      </c>
      <c r="AN24" s="100">
        <f>FS_Annual!AN14</f>
        <v/>
      </c>
      <c r="AO24" s="100">
        <f>FS_Annual!AO14</f>
        <v/>
      </c>
      <c r="AP24" s="100">
        <f>FS_Annual!AP14</f>
        <v/>
      </c>
      <c r="AQ24" s="100">
        <f>FS_Annual!AQ14</f>
        <v/>
      </c>
      <c r="AR24" s="100">
        <f>FS_Annual!AR14</f>
        <v/>
      </c>
      <c r="AS24" s="100">
        <f>FS_Annual!AS14</f>
        <v/>
      </c>
      <c r="AT24" s="100">
        <f>FS_Annual!AT14</f>
        <v/>
      </c>
      <c r="AU24" s="100">
        <f>FS_Annual!AU14</f>
        <v/>
      </c>
      <c r="AV24" s="100">
        <f>FS_Annual!AV14</f>
        <v/>
      </c>
      <c r="AW24" s="100">
        <f>FS_Annual!AW14</f>
        <v/>
      </c>
      <c r="AX24" s="100">
        <f>FS_Annual!AX14</f>
        <v/>
      </c>
      <c r="AY24" s="100">
        <f>FS_Annual!AY14</f>
        <v/>
      </c>
      <c r="AZ24" s="100">
        <f>FS_Annual!AZ14</f>
        <v/>
      </c>
      <c r="BA24" s="100">
        <f>FS_Annual!BA14</f>
        <v/>
      </c>
      <c r="BB24" s="100">
        <f>FS_Annual!BB14</f>
        <v/>
      </c>
      <c r="BC24" s="100">
        <f>FS_Annual!BC14</f>
        <v/>
      </c>
      <c r="BD24" s="100">
        <f>FS_Annual!BD14</f>
        <v/>
      </c>
      <c r="BE24" s="100">
        <f>FS_Annual!BE14</f>
        <v/>
      </c>
      <c r="BF24" s="100">
        <f>FS_Annual!BF14</f>
        <v/>
      </c>
      <c r="BG24" s="100">
        <f>FS_Annual!BG14</f>
        <v/>
      </c>
      <c r="BH24" s="100">
        <f>FS_Annual!BH14</f>
        <v/>
      </c>
      <c r="BI24" s="100">
        <f>FS_Annual!BI14</f>
        <v/>
      </c>
      <c r="BJ24" s="100">
        <f>FS_Annual!BJ14</f>
        <v/>
      </c>
      <c r="BK24" s="100">
        <f>FS_Annual!BK14</f>
        <v/>
      </c>
      <c r="BL24" s="100">
        <f>FS_Annual!BL14</f>
        <v/>
      </c>
      <c r="BM24" s="100">
        <f>FS_Annual!BM14</f>
        <v/>
      </c>
      <c r="BN24" s="100">
        <f>FS_Annual!BN14</f>
        <v/>
      </c>
      <c r="BO24" s="100">
        <f>FS_Annual!BO14</f>
        <v/>
      </c>
      <c r="BP24" s="100">
        <f>FS_Annual!BP14</f>
        <v/>
      </c>
      <c r="BQ24" s="100">
        <f>FS_Annual!BQ14</f>
        <v/>
      </c>
      <c r="BR24" s="100">
        <f>FS_Annual!BR14</f>
        <v/>
      </c>
      <c r="BS24" s="100">
        <f>FS_Annual!BS14</f>
        <v/>
      </c>
      <c r="BT24" s="100">
        <f>FS_Annual!BT14</f>
        <v/>
      </c>
      <c r="BU24" s="100">
        <f>FS_Annual!BU14</f>
        <v/>
      </c>
      <c r="BV24" s="100">
        <f>FS_Annual!BV14</f>
        <v/>
      </c>
      <c r="BW24" s="100">
        <f>FS_Annual!BW14</f>
        <v/>
      </c>
      <c r="BX24" s="100">
        <f>FS_Annual!BX14</f>
        <v/>
      </c>
      <c r="BY24" s="100">
        <f>FS_Annual!BY14</f>
        <v/>
      </c>
      <c r="BZ24" s="100">
        <f>FS_Annual!BZ14</f>
        <v/>
      </c>
      <c r="CA24" s="100">
        <f>FS_Annual!CA14</f>
        <v/>
      </c>
      <c r="CB24" s="100">
        <f>FS_Annual!CB14</f>
        <v/>
      </c>
      <c r="CC24" s="100">
        <f>FS_Annual!CC14</f>
        <v/>
      </c>
      <c r="CD24" s="100">
        <f>FS_Annual!CD14</f>
        <v/>
      </c>
      <c r="CE24" s="100">
        <f>FS_Annual!CE14</f>
        <v/>
      </c>
      <c r="CF24" s="100">
        <f>FS_Annual!CF14</f>
        <v/>
      </c>
      <c r="CG24" s="100">
        <f>FS_Annual!CG14</f>
        <v/>
      </c>
      <c r="CH24" s="100">
        <f>FS_Annual!CH14</f>
        <v/>
      </c>
      <c r="CI24" s="100">
        <f>FS_Annual!CI14</f>
        <v/>
      </c>
      <c r="CJ24" s="100">
        <f>FS_Annual!CJ14</f>
        <v/>
      </c>
      <c r="CK24" s="100">
        <f>FS_Annual!CK14</f>
        <v/>
      </c>
      <c r="CL24" s="100">
        <f>FS_Annual!CL14</f>
        <v/>
      </c>
      <c r="CM24" s="100">
        <f>FS_Annual!CM14</f>
        <v/>
      </c>
      <c r="CN24" s="100">
        <f>FS_Annual!CN14</f>
        <v/>
      </c>
      <c r="CO24" s="100">
        <f>FS_Annual!CO14</f>
        <v/>
      </c>
      <c r="CP24" s="100">
        <f>FS_Annual!CP14</f>
        <v/>
      </c>
      <c r="CQ24" s="100">
        <f>FS_Annual!CQ14</f>
        <v/>
      </c>
      <c r="CR24" s="100">
        <f>FS_Annual!CR14</f>
        <v/>
      </c>
      <c r="CS24" s="100">
        <f>FS_Annual!CS14</f>
        <v/>
      </c>
      <c r="CT24" s="100">
        <f>FS_Annual!CT14</f>
        <v/>
      </c>
      <c r="CU24" s="100">
        <f>FS_Annual!CU14</f>
        <v/>
      </c>
      <c r="CV24" s="100">
        <f>FS_Annual!CV14</f>
        <v/>
      </c>
      <c r="CW24" s="100">
        <f>FS_Annual!CW14</f>
        <v/>
      </c>
      <c r="CX24" s="100">
        <f>FS_Annual!CX14</f>
        <v/>
      </c>
      <c r="CY24" s="100">
        <f>FS_Annual!CY14</f>
        <v/>
      </c>
      <c r="CZ24" s="100">
        <f>FS_Annual!CZ14</f>
        <v/>
      </c>
      <c r="DA24" s="100">
        <f>FS_Annual!DA14</f>
        <v/>
      </c>
      <c r="DB24" s="100">
        <f>FS_Annual!DB14</f>
        <v/>
      </c>
    </row>
    <row r="25">
      <c r="A25" t="inlineStr">
        <is>
          <t>Yr 4 exit — Seller Equity CF</t>
        </is>
      </c>
      <c r="C25" s="100">
        <f>FS_Annual!C15</f>
        <v/>
      </c>
      <c r="D25" s="100">
        <f>FS_Annual!D15</f>
        <v/>
      </c>
      <c r="E25" s="100">
        <f>FS_Annual!E15</f>
        <v/>
      </c>
      <c r="F25" s="100">
        <f>FS_Annual!F15</f>
        <v/>
      </c>
      <c r="G25" s="100">
        <f>FS_Annual!G15</f>
        <v/>
      </c>
      <c r="H25" s="100">
        <f>FS_Annual!H15</f>
        <v/>
      </c>
      <c r="I25" s="100">
        <f>FS_Annual!I15</f>
        <v/>
      </c>
      <c r="J25" s="100">
        <f>FS_Annual!J15</f>
        <v/>
      </c>
      <c r="K25" s="100">
        <f>FS_Annual!K15</f>
        <v/>
      </c>
      <c r="L25" s="100">
        <f>FS_Annual!L15</f>
        <v/>
      </c>
      <c r="M25" s="100">
        <f>FS_Annual!M15</f>
        <v/>
      </c>
      <c r="N25" s="100">
        <f>FS_Annual!N15</f>
        <v/>
      </c>
      <c r="O25" s="100">
        <f>FS_Annual!O15</f>
        <v/>
      </c>
      <c r="P25" s="100">
        <f>FS_Annual!P15</f>
        <v/>
      </c>
      <c r="Q25" s="100">
        <f>FS_Annual!Q15</f>
        <v/>
      </c>
      <c r="R25" s="100">
        <f>FS_Annual!R15</f>
        <v/>
      </c>
      <c r="S25" s="100">
        <f>FS_Annual!S15</f>
        <v/>
      </c>
      <c r="T25" s="100">
        <f>FS_Annual!T15</f>
        <v/>
      </c>
      <c r="U25" s="100">
        <f>FS_Annual!U15</f>
        <v/>
      </c>
      <c r="V25" s="100">
        <f>FS_Annual!V15</f>
        <v/>
      </c>
      <c r="W25" s="100">
        <f>FS_Annual!W15</f>
        <v/>
      </c>
      <c r="X25" s="100">
        <f>FS_Annual!X15</f>
        <v/>
      </c>
      <c r="Y25" s="100">
        <f>FS_Annual!Y15</f>
        <v/>
      </c>
      <c r="Z25" s="100">
        <f>FS_Annual!Z15</f>
        <v/>
      </c>
      <c r="AA25" s="100">
        <f>FS_Annual!AA15</f>
        <v/>
      </c>
      <c r="AB25" s="100">
        <f>FS_Annual!AB15</f>
        <v/>
      </c>
      <c r="AC25" s="100">
        <f>FS_Annual!AC15</f>
        <v/>
      </c>
      <c r="AD25" s="100">
        <f>FS_Annual!AD15</f>
        <v/>
      </c>
      <c r="AE25" s="100">
        <f>FS_Annual!AE15</f>
        <v/>
      </c>
      <c r="AF25" s="100">
        <f>FS_Annual!AF15</f>
        <v/>
      </c>
      <c r="AG25" s="100">
        <f>FS_Annual!AG15</f>
        <v/>
      </c>
      <c r="AH25" s="100">
        <f>FS_Annual!AH15</f>
        <v/>
      </c>
      <c r="AI25" s="100">
        <f>FS_Annual!AI15</f>
        <v/>
      </c>
      <c r="AJ25" s="100">
        <f>FS_Annual!AJ15</f>
        <v/>
      </c>
      <c r="AK25" s="100">
        <f>FS_Annual!AK15</f>
        <v/>
      </c>
      <c r="AL25" s="100">
        <f>FS_Annual!AL15</f>
        <v/>
      </c>
      <c r="AM25" s="100">
        <f>FS_Annual!AM15</f>
        <v/>
      </c>
      <c r="AN25" s="100">
        <f>FS_Annual!AN15</f>
        <v/>
      </c>
      <c r="AO25" s="100">
        <f>FS_Annual!AO15</f>
        <v/>
      </c>
      <c r="AP25" s="100">
        <f>FS_Annual!AP15+F8</f>
        <v/>
      </c>
      <c r="AQ25" s="100" t="n">
        <v>0</v>
      </c>
      <c r="AR25" s="100" t="n">
        <v>0</v>
      </c>
      <c r="AS25" s="100" t="n">
        <v>0</v>
      </c>
      <c r="AT25" s="100" t="n">
        <v>0</v>
      </c>
      <c r="AU25" s="100" t="n">
        <v>0</v>
      </c>
      <c r="AV25" s="100" t="n">
        <v>0</v>
      </c>
      <c r="AW25" s="100" t="n">
        <v>0</v>
      </c>
      <c r="AX25" s="100" t="n">
        <v>0</v>
      </c>
      <c r="AY25" s="100" t="n">
        <v>0</v>
      </c>
      <c r="AZ25" s="100" t="n">
        <v>0</v>
      </c>
      <c r="BA25" s="100" t="n">
        <v>0</v>
      </c>
      <c r="BB25" s="100" t="n">
        <v>0</v>
      </c>
      <c r="BC25" s="100" t="n">
        <v>0</v>
      </c>
      <c r="BD25" s="100" t="n">
        <v>0</v>
      </c>
      <c r="BE25" s="100" t="n">
        <v>0</v>
      </c>
      <c r="BF25" s="100" t="n">
        <v>0</v>
      </c>
      <c r="BG25" s="100" t="n">
        <v>0</v>
      </c>
      <c r="BH25" s="100" t="n">
        <v>0</v>
      </c>
      <c r="BI25" s="100" t="n">
        <v>0</v>
      </c>
      <c r="BJ25" s="100" t="n">
        <v>0</v>
      </c>
      <c r="BK25" s="100" t="n">
        <v>0</v>
      </c>
      <c r="BL25" s="100" t="n">
        <v>0</v>
      </c>
      <c r="BM25" s="100" t="n">
        <v>0</v>
      </c>
      <c r="BN25" s="100" t="n">
        <v>0</v>
      </c>
      <c r="BO25" s="100" t="n">
        <v>0</v>
      </c>
      <c r="BP25" s="100" t="n">
        <v>0</v>
      </c>
      <c r="BQ25" s="100" t="n">
        <v>0</v>
      </c>
      <c r="BR25" s="100" t="n">
        <v>0</v>
      </c>
      <c r="BS25" s="100" t="n">
        <v>0</v>
      </c>
      <c r="BT25" s="100" t="n">
        <v>0</v>
      </c>
      <c r="BU25" s="100" t="n">
        <v>0</v>
      </c>
      <c r="BV25" s="100" t="n">
        <v>0</v>
      </c>
      <c r="BW25" s="100" t="n">
        <v>0</v>
      </c>
      <c r="BX25" s="100" t="n">
        <v>0</v>
      </c>
      <c r="BY25" s="100" t="n">
        <v>0</v>
      </c>
      <c r="BZ25" s="100" t="n">
        <v>0</v>
      </c>
      <c r="CA25" s="100" t="n">
        <v>0</v>
      </c>
      <c r="CB25" s="100" t="n">
        <v>0</v>
      </c>
      <c r="CC25" s="100" t="n">
        <v>0</v>
      </c>
      <c r="CD25" s="100" t="n">
        <v>0</v>
      </c>
      <c r="CE25" s="100" t="n">
        <v>0</v>
      </c>
      <c r="CF25" s="100" t="n">
        <v>0</v>
      </c>
      <c r="CG25" s="100" t="n">
        <v>0</v>
      </c>
      <c r="CH25" s="100" t="n">
        <v>0</v>
      </c>
      <c r="CI25" s="100" t="n">
        <v>0</v>
      </c>
      <c r="CJ25" s="100" t="n">
        <v>0</v>
      </c>
      <c r="CK25" s="100" t="n">
        <v>0</v>
      </c>
      <c r="CL25" s="100" t="n">
        <v>0</v>
      </c>
      <c r="CM25" s="100" t="n">
        <v>0</v>
      </c>
      <c r="CN25" s="100" t="n">
        <v>0</v>
      </c>
      <c r="CO25" s="100" t="n">
        <v>0</v>
      </c>
      <c r="CP25" s="100" t="n">
        <v>0</v>
      </c>
      <c r="CQ25" s="100" t="n">
        <v>0</v>
      </c>
      <c r="CR25" s="100" t="n">
        <v>0</v>
      </c>
      <c r="CS25" s="100" t="n">
        <v>0</v>
      </c>
      <c r="CT25" s="100" t="n">
        <v>0</v>
      </c>
      <c r="CU25" s="100" t="n">
        <v>0</v>
      </c>
      <c r="CV25" s="100" t="n">
        <v>0</v>
      </c>
      <c r="CW25" s="100" t="n">
        <v>0</v>
      </c>
      <c r="CX25" s="100" t="n">
        <v>0</v>
      </c>
      <c r="CY25" s="100" t="n">
        <v>0</v>
      </c>
      <c r="CZ25" s="100" t="n">
        <v>0</v>
      </c>
      <c r="DA25" s="100" t="n">
        <v>0</v>
      </c>
      <c r="DB25" s="100" t="n">
        <v>0</v>
      </c>
    </row>
    <row r="26">
      <c r="A26" t="inlineStr">
        <is>
          <t>Yr 4 exit — Buyer Project CF</t>
        </is>
      </c>
      <c r="C26" s="100" t="n">
        <v>0</v>
      </c>
      <c r="D26" s="100" t="n">
        <v>0</v>
      </c>
      <c r="E26" s="100" t="n">
        <v>0</v>
      </c>
      <c r="F26" s="100" t="n">
        <v>0</v>
      </c>
      <c r="G26" s="100" t="n">
        <v>0</v>
      </c>
      <c r="H26" s="100" t="n">
        <v>0</v>
      </c>
      <c r="I26" s="100" t="n">
        <v>0</v>
      </c>
      <c r="J26" s="100" t="n">
        <v>0</v>
      </c>
      <c r="K26" s="100" t="n">
        <v>0</v>
      </c>
      <c r="L26" s="100" t="n">
        <v>0</v>
      </c>
      <c r="M26" s="100" t="n">
        <v>0</v>
      </c>
      <c r="N26" s="100" t="n">
        <v>0</v>
      </c>
      <c r="O26" s="100" t="n">
        <v>0</v>
      </c>
      <c r="P26" s="100" t="n">
        <v>0</v>
      </c>
      <c r="Q26" s="100" t="n">
        <v>0</v>
      </c>
      <c r="R26" s="100" t="n">
        <v>0</v>
      </c>
      <c r="S26" s="100" t="n">
        <v>0</v>
      </c>
      <c r="T26" s="100" t="n">
        <v>0</v>
      </c>
      <c r="U26" s="100" t="n">
        <v>0</v>
      </c>
      <c r="V26" s="100" t="n">
        <v>0</v>
      </c>
      <c r="W26" s="100" t="n">
        <v>0</v>
      </c>
      <c r="X26" s="100" t="n">
        <v>0</v>
      </c>
      <c r="Y26" s="100" t="n">
        <v>0</v>
      </c>
      <c r="Z26" s="100" t="n">
        <v>0</v>
      </c>
      <c r="AA26" s="100" t="n">
        <v>0</v>
      </c>
      <c r="AB26" s="100" t="n">
        <v>0</v>
      </c>
      <c r="AC26" s="100" t="n">
        <v>0</v>
      </c>
      <c r="AD26" s="100" t="n">
        <v>0</v>
      </c>
      <c r="AE26" s="100" t="n">
        <v>0</v>
      </c>
      <c r="AF26" s="100" t="n">
        <v>0</v>
      </c>
      <c r="AG26" s="100" t="n">
        <v>0</v>
      </c>
      <c r="AH26" s="100" t="n">
        <v>0</v>
      </c>
      <c r="AI26" s="100" t="n">
        <v>0</v>
      </c>
      <c r="AJ26" s="100" t="n">
        <v>0</v>
      </c>
      <c r="AK26" s="100" t="n">
        <v>0</v>
      </c>
      <c r="AL26" s="100" t="n">
        <v>0</v>
      </c>
      <c r="AM26" s="100" t="n">
        <v>0</v>
      </c>
      <c r="AN26" s="100" t="n">
        <v>0</v>
      </c>
      <c r="AO26" s="100" t="n">
        <v>0</v>
      </c>
      <c r="AP26" s="100">
        <f>-F10</f>
        <v/>
      </c>
      <c r="AQ26" s="100">
        <f>FS_Annual!AQ14</f>
        <v/>
      </c>
      <c r="AR26" s="100">
        <f>FS_Annual!AR14</f>
        <v/>
      </c>
      <c r="AS26" s="100">
        <f>FS_Annual!AS14</f>
        <v/>
      </c>
      <c r="AT26" s="100">
        <f>FS_Annual!AT14</f>
        <v/>
      </c>
      <c r="AU26" s="100">
        <f>FS_Annual!AU14</f>
        <v/>
      </c>
      <c r="AV26" s="100">
        <f>FS_Annual!AV14</f>
        <v/>
      </c>
      <c r="AW26" s="100">
        <f>FS_Annual!AW14</f>
        <v/>
      </c>
      <c r="AX26" s="100">
        <f>FS_Annual!AX14</f>
        <v/>
      </c>
      <c r="AY26" s="100">
        <f>FS_Annual!AY14</f>
        <v/>
      </c>
      <c r="AZ26" s="100">
        <f>FS_Annual!AZ14</f>
        <v/>
      </c>
      <c r="BA26" s="100">
        <f>FS_Annual!BA14</f>
        <v/>
      </c>
      <c r="BB26" s="100">
        <f>FS_Annual!BB14</f>
        <v/>
      </c>
      <c r="BC26" s="100">
        <f>FS_Annual!BC14</f>
        <v/>
      </c>
      <c r="BD26" s="100">
        <f>FS_Annual!BD14</f>
        <v/>
      </c>
      <c r="BE26" s="100">
        <f>FS_Annual!BE14</f>
        <v/>
      </c>
      <c r="BF26" s="100">
        <f>FS_Annual!BF14</f>
        <v/>
      </c>
      <c r="BG26" s="100">
        <f>FS_Annual!BG14</f>
        <v/>
      </c>
      <c r="BH26" s="100">
        <f>FS_Annual!BH14</f>
        <v/>
      </c>
      <c r="BI26" s="100">
        <f>FS_Annual!BI14</f>
        <v/>
      </c>
      <c r="BJ26" s="100">
        <f>FS_Annual!BJ14</f>
        <v/>
      </c>
      <c r="BK26" s="100">
        <f>FS_Annual!BK14</f>
        <v/>
      </c>
      <c r="BL26" s="100">
        <f>FS_Annual!BL14</f>
        <v/>
      </c>
      <c r="BM26" s="100">
        <f>FS_Annual!BM14</f>
        <v/>
      </c>
      <c r="BN26" s="100">
        <f>FS_Annual!BN14</f>
        <v/>
      </c>
      <c r="BO26" s="100">
        <f>FS_Annual!BO14</f>
        <v/>
      </c>
      <c r="BP26" s="100">
        <f>FS_Annual!BP14</f>
        <v/>
      </c>
      <c r="BQ26" s="100">
        <f>FS_Annual!BQ14</f>
        <v/>
      </c>
      <c r="BR26" s="100">
        <f>FS_Annual!BR14</f>
        <v/>
      </c>
      <c r="BS26" s="100">
        <f>FS_Annual!BS14</f>
        <v/>
      </c>
      <c r="BT26" s="100">
        <f>FS_Annual!BT14</f>
        <v/>
      </c>
      <c r="BU26" s="100">
        <f>FS_Annual!BU14</f>
        <v/>
      </c>
      <c r="BV26" s="100">
        <f>FS_Annual!BV14</f>
        <v/>
      </c>
      <c r="BW26" s="100">
        <f>FS_Annual!BW14</f>
        <v/>
      </c>
      <c r="BX26" s="100">
        <f>FS_Annual!BX14</f>
        <v/>
      </c>
      <c r="BY26" s="100">
        <f>FS_Annual!BY14</f>
        <v/>
      </c>
      <c r="BZ26" s="100">
        <f>FS_Annual!BZ14</f>
        <v/>
      </c>
      <c r="CA26" s="100">
        <f>FS_Annual!CA14</f>
        <v/>
      </c>
      <c r="CB26" s="100">
        <f>FS_Annual!CB14</f>
        <v/>
      </c>
      <c r="CC26" s="100">
        <f>FS_Annual!CC14</f>
        <v/>
      </c>
      <c r="CD26" s="100">
        <f>FS_Annual!CD14</f>
        <v/>
      </c>
      <c r="CE26" s="100">
        <f>FS_Annual!CE14</f>
        <v/>
      </c>
      <c r="CF26" s="100">
        <f>FS_Annual!CF14</f>
        <v/>
      </c>
      <c r="CG26" s="100">
        <f>FS_Annual!CG14</f>
        <v/>
      </c>
      <c r="CH26" s="100">
        <f>FS_Annual!CH14</f>
        <v/>
      </c>
      <c r="CI26" s="100">
        <f>FS_Annual!CI14</f>
        <v/>
      </c>
      <c r="CJ26" s="100">
        <f>FS_Annual!CJ14</f>
        <v/>
      </c>
      <c r="CK26" s="100">
        <f>FS_Annual!CK14</f>
        <v/>
      </c>
      <c r="CL26" s="100">
        <f>FS_Annual!CL14</f>
        <v/>
      </c>
      <c r="CM26" s="100">
        <f>FS_Annual!CM14</f>
        <v/>
      </c>
      <c r="CN26" s="100">
        <f>FS_Annual!CN14</f>
        <v/>
      </c>
      <c r="CO26" s="100">
        <f>FS_Annual!CO14</f>
        <v/>
      </c>
      <c r="CP26" s="100">
        <f>FS_Annual!CP14</f>
        <v/>
      </c>
      <c r="CQ26" s="100">
        <f>FS_Annual!CQ14</f>
        <v/>
      </c>
      <c r="CR26" s="100">
        <f>FS_Annual!CR14</f>
        <v/>
      </c>
      <c r="CS26" s="100">
        <f>FS_Annual!CS14</f>
        <v/>
      </c>
      <c r="CT26" s="100">
        <f>FS_Annual!CT14</f>
        <v/>
      </c>
      <c r="CU26" s="100">
        <f>FS_Annual!CU14</f>
        <v/>
      </c>
      <c r="CV26" s="100">
        <f>FS_Annual!CV14</f>
        <v/>
      </c>
      <c r="CW26" s="100">
        <f>FS_Annual!CW14</f>
        <v/>
      </c>
      <c r="CX26" s="100">
        <f>FS_Annual!CX14</f>
        <v/>
      </c>
      <c r="CY26" s="100">
        <f>FS_Annual!CY14</f>
        <v/>
      </c>
      <c r="CZ26" s="100">
        <f>FS_Annual!CZ14</f>
        <v/>
      </c>
      <c r="DA26" s="100">
        <f>FS_Annual!DA14</f>
        <v/>
      </c>
      <c r="DB26" s="100">
        <f>FS_Annual!DB14</f>
        <v/>
      </c>
    </row>
    <row r="27">
      <c r="A27" t="inlineStr">
        <is>
          <t>Yr 5 exit — Seller Equity CF</t>
        </is>
      </c>
      <c r="C27" s="100">
        <f>FS_Annual!C15</f>
        <v/>
      </c>
      <c r="D27" s="100">
        <f>FS_Annual!D15</f>
        <v/>
      </c>
      <c r="E27" s="100">
        <f>FS_Annual!E15</f>
        <v/>
      </c>
      <c r="F27" s="100">
        <f>FS_Annual!F15</f>
        <v/>
      </c>
      <c r="G27" s="100">
        <f>FS_Annual!G15</f>
        <v/>
      </c>
      <c r="H27" s="100">
        <f>FS_Annual!H15</f>
        <v/>
      </c>
      <c r="I27" s="100">
        <f>FS_Annual!I15</f>
        <v/>
      </c>
      <c r="J27" s="100">
        <f>FS_Annual!J15</f>
        <v/>
      </c>
      <c r="K27" s="100">
        <f>FS_Annual!K15</f>
        <v/>
      </c>
      <c r="L27" s="100">
        <f>FS_Annual!L15</f>
        <v/>
      </c>
      <c r="M27" s="100">
        <f>FS_Annual!M15</f>
        <v/>
      </c>
      <c r="N27" s="100">
        <f>FS_Annual!N15</f>
        <v/>
      </c>
      <c r="O27" s="100">
        <f>FS_Annual!O15</f>
        <v/>
      </c>
      <c r="P27" s="100">
        <f>FS_Annual!P15</f>
        <v/>
      </c>
      <c r="Q27" s="100">
        <f>FS_Annual!Q15</f>
        <v/>
      </c>
      <c r="R27" s="100">
        <f>FS_Annual!R15</f>
        <v/>
      </c>
      <c r="S27" s="100">
        <f>FS_Annual!S15</f>
        <v/>
      </c>
      <c r="T27" s="100">
        <f>FS_Annual!T15</f>
        <v/>
      </c>
      <c r="U27" s="100">
        <f>FS_Annual!U15</f>
        <v/>
      </c>
      <c r="V27" s="100">
        <f>FS_Annual!V15</f>
        <v/>
      </c>
      <c r="W27" s="100">
        <f>FS_Annual!W15</f>
        <v/>
      </c>
      <c r="X27" s="100">
        <f>FS_Annual!X15</f>
        <v/>
      </c>
      <c r="Y27" s="100">
        <f>FS_Annual!Y15</f>
        <v/>
      </c>
      <c r="Z27" s="100">
        <f>FS_Annual!Z15</f>
        <v/>
      </c>
      <c r="AA27" s="100">
        <f>FS_Annual!AA15</f>
        <v/>
      </c>
      <c r="AB27" s="100">
        <f>FS_Annual!AB15</f>
        <v/>
      </c>
      <c r="AC27" s="100">
        <f>FS_Annual!AC15</f>
        <v/>
      </c>
      <c r="AD27" s="100">
        <f>FS_Annual!AD15</f>
        <v/>
      </c>
      <c r="AE27" s="100">
        <f>FS_Annual!AE15</f>
        <v/>
      </c>
      <c r="AF27" s="100">
        <f>FS_Annual!AF15</f>
        <v/>
      </c>
      <c r="AG27" s="100">
        <f>FS_Annual!AG15</f>
        <v/>
      </c>
      <c r="AH27" s="100">
        <f>FS_Annual!AH15</f>
        <v/>
      </c>
      <c r="AI27" s="100">
        <f>FS_Annual!AI15</f>
        <v/>
      </c>
      <c r="AJ27" s="100">
        <f>FS_Annual!AJ15</f>
        <v/>
      </c>
      <c r="AK27" s="100">
        <f>FS_Annual!AK15</f>
        <v/>
      </c>
      <c r="AL27" s="100">
        <f>FS_Annual!AL15</f>
        <v/>
      </c>
      <c r="AM27" s="100">
        <f>FS_Annual!AM15</f>
        <v/>
      </c>
      <c r="AN27" s="100">
        <f>FS_Annual!AN15</f>
        <v/>
      </c>
      <c r="AO27" s="100">
        <f>FS_Annual!AO15</f>
        <v/>
      </c>
      <c r="AP27" s="100">
        <f>FS_Annual!AP15</f>
        <v/>
      </c>
      <c r="AQ27" s="100">
        <f>FS_Annual!AQ15</f>
        <v/>
      </c>
      <c r="AR27" s="100">
        <f>FS_Annual!AR15</f>
        <v/>
      </c>
      <c r="AS27" s="100">
        <f>FS_Annual!AS15</f>
        <v/>
      </c>
      <c r="AT27" s="100">
        <f>FS_Annual!AT15+G8</f>
        <v/>
      </c>
      <c r="AU27" s="100" t="n">
        <v>0</v>
      </c>
      <c r="AV27" s="100" t="n">
        <v>0</v>
      </c>
      <c r="AW27" s="100" t="n">
        <v>0</v>
      </c>
      <c r="AX27" s="100" t="n">
        <v>0</v>
      </c>
      <c r="AY27" s="100" t="n">
        <v>0</v>
      </c>
      <c r="AZ27" s="100" t="n">
        <v>0</v>
      </c>
      <c r="BA27" s="100" t="n">
        <v>0</v>
      </c>
      <c r="BB27" s="100" t="n">
        <v>0</v>
      </c>
      <c r="BC27" s="100" t="n">
        <v>0</v>
      </c>
      <c r="BD27" s="100" t="n">
        <v>0</v>
      </c>
      <c r="BE27" s="100" t="n">
        <v>0</v>
      </c>
      <c r="BF27" s="100" t="n">
        <v>0</v>
      </c>
      <c r="BG27" s="100" t="n">
        <v>0</v>
      </c>
      <c r="BH27" s="100" t="n">
        <v>0</v>
      </c>
      <c r="BI27" s="100" t="n">
        <v>0</v>
      </c>
      <c r="BJ27" s="100" t="n">
        <v>0</v>
      </c>
      <c r="BK27" s="100" t="n">
        <v>0</v>
      </c>
      <c r="BL27" s="100" t="n">
        <v>0</v>
      </c>
      <c r="BM27" s="100" t="n">
        <v>0</v>
      </c>
      <c r="BN27" s="100" t="n">
        <v>0</v>
      </c>
      <c r="BO27" s="100" t="n">
        <v>0</v>
      </c>
      <c r="BP27" s="100" t="n">
        <v>0</v>
      </c>
      <c r="BQ27" s="100" t="n">
        <v>0</v>
      </c>
      <c r="BR27" s="100" t="n">
        <v>0</v>
      </c>
      <c r="BS27" s="100" t="n">
        <v>0</v>
      </c>
      <c r="BT27" s="100" t="n">
        <v>0</v>
      </c>
      <c r="BU27" s="100" t="n">
        <v>0</v>
      </c>
      <c r="BV27" s="100" t="n">
        <v>0</v>
      </c>
      <c r="BW27" s="100" t="n">
        <v>0</v>
      </c>
      <c r="BX27" s="100" t="n">
        <v>0</v>
      </c>
      <c r="BY27" s="100" t="n">
        <v>0</v>
      </c>
      <c r="BZ27" s="100" t="n">
        <v>0</v>
      </c>
      <c r="CA27" s="100" t="n">
        <v>0</v>
      </c>
      <c r="CB27" s="100" t="n">
        <v>0</v>
      </c>
      <c r="CC27" s="100" t="n">
        <v>0</v>
      </c>
      <c r="CD27" s="100" t="n">
        <v>0</v>
      </c>
      <c r="CE27" s="100" t="n">
        <v>0</v>
      </c>
      <c r="CF27" s="100" t="n">
        <v>0</v>
      </c>
      <c r="CG27" s="100" t="n">
        <v>0</v>
      </c>
      <c r="CH27" s="100" t="n">
        <v>0</v>
      </c>
      <c r="CI27" s="100" t="n">
        <v>0</v>
      </c>
      <c r="CJ27" s="100" t="n">
        <v>0</v>
      </c>
      <c r="CK27" s="100" t="n">
        <v>0</v>
      </c>
      <c r="CL27" s="100" t="n">
        <v>0</v>
      </c>
      <c r="CM27" s="100" t="n">
        <v>0</v>
      </c>
      <c r="CN27" s="100" t="n">
        <v>0</v>
      </c>
      <c r="CO27" s="100" t="n">
        <v>0</v>
      </c>
      <c r="CP27" s="100" t="n">
        <v>0</v>
      </c>
      <c r="CQ27" s="100" t="n">
        <v>0</v>
      </c>
      <c r="CR27" s="100" t="n">
        <v>0</v>
      </c>
      <c r="CS27" s="100" t="n">
        <v>0</v>
      </c>
      <c r="CT27" s="100" t="n">
        <v>0</v>
      </c>
      <c r="CU27" s="100" t="n">
        <v>0</v>
      </c>
      <c r="CV27" s="100" t="n">
        <v>0</v>
      </c>
      <c r="CW27" s="100" t="n">
        <v>0</v>
      </c>
      <c r="CX27" s="100" t="n">
        <v>0</v>
      </c>
      <c r="CY27" s="100" t="n">
        <v>0</v>
      </c>
      <c r="CZ27" s="100" t="n">
        <v>0</v>
      </c>
      <c r="DA27" s="100" t="n">
        <v>0</v>
      </c>
      <c r="DB27" s="100" t="n">
        <v>0</v>
      </c>
    </row>
    <row r="28">
      <c r="A28" t="inlineStr">
        <is>
          <t>Yr 5 exit — Buyer Project CF</t>
        </is>
      </c>
      <c r="C28" s="100" t="n">
        <v>0</v>
      </c>
      <c r="D28" s="100" t="n">
        <v>0</v>
      </c>
      <c r="E28" s="100" t="n">
        <v>0</v>
      </c>
      <c r="F28" s="100" t="n">
        <v>0</v>
      </c>
      <c r="G28" s="100" t="n">
        <v>0</v>
      </c>
      <c r="H28" s="100" t="n">
        <v>0</v>
      </c>
      <c r="I28" s="100" t="n">
        <v>0</v>
      </c>
      <c r="J28" s="100" t="n">
        <v>0</v>
      </c>
      <c r="K28" s="100" t="n">
        <v>0</v>
      </c>
      <c r="L28" s="100" t="n">
        <v>0</v>
      </c>
      <c r="M28" s="100" t="n">
        <v>0</v>
      </c>
      <c r="N28" s="100" t="n">
        <v>0</v>
      </c>
      <c r="O28" s="100" t="n">
        <v>0</v>
      </c>
      <c r="P28" s="100" t="n">
        <v>0</v>
      </c>
      <c r="Q28" s="100" t="n">
        <v>0</v>
      </c>
      <c r="R28" s="100" t="n">
        <v>0</v>
      </c>
      <c r="S28" s="100" t="n">
        <v>0</v>
      </c>
      <c r="T28" s="100" t="n">
        <v>0</v>
      </c>
      <c r="U28" s="100" t="n">
        <v>0</v>
      </c>
      <c r="V28" s="100" t="n">
        <v>0</v>
      </c>
      <c r="W28" s="100" t="n">
        <v>0</v>
      </c>
      <c r="X28" s="100" t="n">
        <v>0</v>
      </c>
      <c r="Y28" s="100" t="n">
        <v>0</v>
      </c>
      <c r="Z28" s="100" t="n">
        <v>0</v>
      </c>
      <c r="AA28" s="100" t="n">
        <v>0</v>
      </c>
      <c r="AB28" s="100" t="n">
        <v>0</v>
      </c>
      <c r="AC28" s="100" t="n">
        <v>0</v>
      </c>
      <c r="AD28" s="100" t="n">
        <v>0</v>
      </c>
      <c r="AE28" s="100" t="n">
        <v>0</v>
      </c>
      <c r="AF28" s="100" t="n">
        <v>0</v>
      </c>
      <c r="AG28" s="100" t="n">
        <v>0</v>
      </c>
      <c r="AH28" s="100" t="n">
        <v>0</v>
      </c>
      <c r="AI28" s="100" t="n">
        <v>0</v>
      </c>
      <c r="AJ28" s="100" t="n">
        <v>0</v>
      </c>
      <c r="AK28" s="100" t="n">
        <v>0</v>
      </c>
      <c r="AL28" s="100" t="n">
        <v>0</v>
      </c>
      <c r="AM28" s="100" t="n">
        <v>0</v>
      </c>
      <c r="AN28" s="100" t="n">
        <v>0</v>
      </c>
      <c r="AO28" s="100" t="n">
        <v>0</v>
      </c>
      <c r="AP28" s="100" t="n">
        <v>0</v>
      </c>
      <c r="AQ28" s="100" t="n">
        <v>0</v>
      </c>
      <c r="AR28" s="100" t="n">
        <v>0</v>
      </c>
      <c r="AS28" s="100" t="n">
        <v>0</v>
      </c>
      <c r="AT28" s="100">
        <f>-G10</f>
        <v/>
      </c>
      <c r="AU28" s="100">
        <f>FS_Annual!AU14</f>
        <v/>
      </c>
      <c r="AV28" s="100">
        <f>FS_Annual!AV14</f>
        <v/>
      </c>
      <c r="AW28" s="100">
        <f>FS_Annual!AW14</f>
        <v/>
      </c>
      <c r="AX28" s="100">
        <f>FS_Annual!AX14</f>
        <v/>
      </c>
      <c r="AY28" s="100">
        <f>FS_Annual!AY14</f>
        <v/>
      </c>
      <c r="AZ28" s="100">
        <f>FS_Annual!AZ14</f>
        <v/>
      </c>
      <c r="BA28" s="100">
        <f>FS_Annual!BA14</f>
        <v/>
      </c>
      <c r="BB28" s="100">
        <f>FS_Annual!BB14</f>
        <v/>
      </c>
      <c r="BC28" s="100">
        <f>FS_Annual!BC14</f>
        <v/>
      </c>
      <c r="BD28" s="100">
        <f>FS_Annual!BD14</f>
        <v/>
      </c>
      <c r="BE28" s="100">
        <f>FS_Annual!BE14</f>
        <v/>
      </c>
      <c r="BF28" s="100">
        <f>FS_Annual!BF14</f>
        <v/>
      </c>
      <c r="BG28" s="100">
        <f>FS_Annual!BG14</f>
        <v/>
      </c>
      <c r="BH28" s="100">
        <f>FS_Annual!BH14</f>
        <v/>
      </c>
      <c r="BI28" s="100">
        <f>FS_Annual!BI14</f>
        <v/>
      </c>
      <c r="BJ28" s="100">
        <f>FS_Annual!BJ14</f>
        <v/>
      </c>
      <c r="BK28" s="100">
        <f>FS_Annual!BK14</f>
        <v/>
      </c>
      <c r="BL28" s="100">
        <f>FS_Annual!BL14</f>
        <v/>
      </c>
      <c r="BM28" s="100">
        <f>FS_Annual!BM14</f>
        <v/>
      </c>
      <c r="BN28" s="100">
        <f>FS_Annual!BN14</f>
        <v/>
      </c>
      <c r="BO28" s="100">
        <f>FS_Annual!BO14</f>
        <v/>
      </c>
      <c r="BP28" s="100">
        <f>FS_Annual!BP14</f>
        <v/>
      </c>
      <c r="BQ28" s="100">
        <f>FS_Annual!BQ14</f>
        <v/>
      </c>
      <c r="BR28" s="100">
        <f>FS_Annual!BR14</f>
        <v/>
      </c>
      <c r="BS28" s="100">
        <f>FS_Annual!BS14</f>
        <v/>
      </c>
      <c r="BT28" s="100">
        <f>FS_Annual!BT14</f>
        <v/>
      </c>
      <c r="BU28" s="100">
        <f>FS_Annual!BU14</f>
        <v/>
      </c>
      <c r="BV28" s="100">
        <f>FS_Annual!BV14</f>
        <v/>
      </c>
      <c r="BW28" s="100">
        <f>FS_Annual!BW14</f>
        <v/>
      </c>
      <c r="BX28" s="100">
        <f>FS_Annual!BX14</f>
        <v/>
      </c>
      <c r="BY28" s="100">
        <f>FS_Annual!BY14</f>
        <v/>
      </c>
      <c r="BZ28" s="100">
        <f>FS_Annual!BZ14</f>
        <v/>
      </c>
      <c r="CA28" s="100">
        <f>FS_Annual!CA14</f>
        <v/>
      </c>
      <c r="CB28" s="100">
        <f>FS_Annual!CB14</f>
        <v/>
      </c>
      <c r="CC28" s="100">
        <f>FS_Annual!CC14</f>
        <v/>
      </c>
      <c r="CD28" s="100">
        <f>FS_Annual!CD14</f>
        <v/>
      </c>
      <c r="CE28" s="100">
        <f>FS_Annual!CE14</f>
        <v/>
      </c>
      <c r="CF28" s="100">
        <f>FS_Annual!CF14</f>
        <v/>
      </c>
      <c r="CG28" s="100">
        <f>FS_Annual!CG14</f>
        <v/>
      </c>
      <c r="CH28" s="100">
        <f>FS_Annual!CH14</f>
        <v/>
      </c>
      <c r="CI28" s="100">
        <f>FS_Annual!CI14</f>
        <v/>
      </c>
      <c r="CJ28" s="100">
        <f>FS_Annual!CJ14</f>
        <v/>
      </c>
      <c r="CK28" s="100">
        <f>FS_Annual!CK14</f>
        <v/>
      </c>
      <c r="CL28" s="100">
        <f>FS_Annual!CL14</f>
        <v/>
      </c>
      <c r="CM28" s="100">
        <f>FS_Annual!CM14</f>
        <v/>
      </c>
      <c r="CN28" s="100">
        <f>FS_Annual!CN14</f>
        <v/>
      </c>
      <c r="CO28" s="100">
        <f>FS_Annual!CO14</f>
        <v/>
      </c>
      <c r="CP28" s="100">
        <f>FS_Annual!CP14</f>
        <v/>
      </c>
      <c r="CQ28" s="100">
        <f>FS_Annual!CQ14</f>
        <v/>
      </c>
      <c r="CR28" s="100">
        <f>FS_Annual!CR14</f>
        <v/>
      </c>
      <c r="CS28" s="100">
        <f>FS_Annual!CS14</f>
        <v/>
      </c>
      <c r="CT28" s="100">
        <f>FS_Annual!CT14</f>
        <v/>
      </c>
      <c r="CU28" s="100">
        <f>FS_Annual!CU14</f>
        <v/>
      </c>
      <c r="CV28" s="100">
        <f>FS_Annual!CV14</f>
        <v/>
      </c>
      <c r="CW28" s="100">
        <f>FS_Annual!CW14</f>
        <v/>
      </c>
      <c r="CX28" s="100">
        <f>FS_Annual!CX14</f>
        <v/>
      </c>
      <c r="CY28" s="100">
        <f>FS_Annual!CY14</f>
        <v/>
      </c>
      <c r="CZ28" s="100">
        <f>FS_Annual!CZ14</f>
        <v/>
      </c>
      <c r="DA28" s="100">
        <f>FS_Annual!DA14</f>
        <v/>
      </c>
      <c r="DB28" s="100">
        <f>FS_Annual!DB14</f>
        <v/>
      </c>
    </row>
    <row r="29">
      <c r="A29" t="inlineStr">
        <is>
          <t>Yr 6 exit — Seller Equity CF</t>
        </is>
      </c>
      <c r="C29" s="100">
        <f>FS_Annual!C15</f>
        <v/>
      </c>
      <c r="D29" s="100">
        <f>FS_Annual!D15</f>
        <v/>
      </c>
      <c r="E29" s="100">
        <f>FS_Annual!E15</f>
        <v/>
      </c>
      <c r="F29" s="100">
        <f>FS_Annual!F15</f>
        <v/>
      </c>
      <c r="G29" s="100">
        <f>FS_Annual!G15</f>
        <v/>
      </c>
      <c r="H29" s="100">
        <f>FS_Annual!H15</f>
        <v/>
      </c>
      <c r="I29" s="100">
        <f>FS_Annual!I15</f>
        <v/>
      </c>
      <c r="J29" s="100">
        <f>FS_Annual!J15</f>
        <v/>
      </c>
      <c r="K29" s="100">
        <f>FS_Annual!K15</f>
        <v/>
      </c>
      <c r="L29" s="100">
        <f>FS_Annual!L15</f>
        <v/>
      </c>
      <c r="M29" s="100">
        <f>FS_Annual!M15</f>
        <v/>
      </c>
      <c r="N29" s="100">
        <f>FS_Annual!N15</f>
        <v/>
      </c>
      <c r="O29" s="100">
        <f>FS_Annual!O15</f>
        <v/>
      </c>
      <c r="P29" s="100">
        <f>FS_Annual!P15</f>
        <v/>
      </c>
      <c r="Q29" s="100">
        <f>FS_Annual!Q15</f>
        <v/>
      </c>
      <c r="R29" s="100">
        <f>FS_Annual!R15</f>
        <v/>
      </c>
      <c r="S29" s="100">
        <f>FS_Annual!S15</f>
        <v/>
      </c>
      <c r="T29" s="100">
        <f>FS_Annual!T15</f>
        <v/>
      </c>
      <c r="U29" s="100">
        <f>FS_Annual!U15</f>
        <v/>
      </c>
      <c r="V29" s="100">
        <f>FS_Annual!V15</f>
        <v/>
      </c>
      <c r="W29" s="100">
        <f>FS_Annual!W15</f>
        <v/>
      </c>
      <c r="X29" s="100">
        <f>FS_Annual!X15</f>
        <v/>
      </c>
      <c r="Y29" s="100">
        <f>FS_Annual!Y15</f>
        <v/>
      </c>
      <c r="Z29" s="100">
        <f>FS_Annual!Z15</f>
        <v/>
      </c>
      <c r="AA29" s="100">
        <f>FS_Annual!AA15</f>
        <v/>
      </c>
      <c r="AB29" s="100">
        <f>FS_Annual!AB15</f>
        <v/>
      </c>
      <c r="AC29" s="100">
        <f>FS_Annual!AC15</f>
        <v/>
      </c>
      <c r="AD29" s="100">
        <f>FS_Annual!AD15</f>
        <v/>
      </c>
      <c r="AE29" s="100">
        <f>FS_Annual!AE15</f>
        <v/>
      </c>
      <c r="AF29" s="100">
        <f>FS_Annual!AF15</f>
        <v/>
      </c>
      <c r="AG29" s="100">
        <f>FS_Annual!AG15</f>
        <v/>
      </c>
      <c r="AH29" s="100">
        <f>FS_Annual!AH15</f>
        <v/>
      </c>
      <c r="AI29" s="100">
        <f>FS_Annual!AI15</f>
        <v/>
      </c>
      <c r="AJ29" s="100">
        <f>FS_Annual!AJ15</f>
        <v/>
      </c>
      <c r="AK29" s="100">
        <f>FS_Annual!AK15</f>
        <v/>
      </c>
      <c r="AL29" s="100">
        <f>FS_Annual!AL15</f>
        <v/>
      </c>
      <c r="AM29" s="100">
        <f>FS_Annual!AM15</f>
        <v/>
      </c>
      <c r="AN29" s="100">
        <f>FS_Annual!AN15</f>
        <v/>
      </c>
      <c r="AO29" s="100">
        <f>FS_Annual!AO15</f>
        <v/>
      </c>
      <c r="AP29" s="100">
        <f>FS_Annual!AP15</f>
        <v/>
      </c>
      <c r="AQ29" s="100">
        <f>FS_Annual!AQ15</f>
        <v/>
      </c>
      <c r="AR29" s="100">
        <f>FS_Annual!AR15</f>
        <v/>
      </c>
      <c r="AS29" s="100">
        <f>FS_Annual!AS15</f>
        <v/>
      </c>
      <c r="AT29" s="100">
        <f>FS_Annual!AT15</f>
        <v/>
      </c>
      <c r="AU29" s="100">
        <f>FS_Annual!AU15</f>
        <v/>
      </c>
      <c r="AV29" s="100">
        <f>FS_Annual!AV15</f>
        <v/>
      </c>
      <c r="AW29" s="100">
        <f>FS_Annual!AW15</f>
        <v/>
      </c>
      <c r="AX29" s="100">
        <f>FS_Annual!AX15+H8</f>
        <v/>
      </c>
      <c r="AY29" s="100" t="n">
        <v>0</v>
      </c>
      <c r="AZ29" s="100" t="n">
        <v>0</v>
      </c>
      <c r="BA29" s="100" t="n">
        <v>0</v>
      </c>
      <c r="BB29" s="100" t="n">
        <v>0</v>
      </c>
      <c r="BC29" s="100" t="n">
        <v>0</v>
      </c>
      <c r="BD29" s="100" t="n">
        <v>0</v>
      </c>
      <c r="BE29" s="100" t="n">
        <v>0</v>
      </c>
      <c r="BF29" s="100" t="n">
        <v>0</v>
      </c>
      <c r="BG29" s="100" t="n">
        <v>0</v>
      </c>
      <c r="BH29" s="100" t="n">
        <v>0</v>
      </c>
      <c r="BI29" s="100" t="n">
        <v>0</v>
      </c>
      <c r="BJ29" s="100" t="n">
        <v>0</v>
      </c>
      <c r="BK29" s="100" t="n">
        <v>0</v>
      </c>
      <c r="BL29" s="100" t="n">
        <v>0</v>
      </c>
      <c r="BM29" s="100" t="n">
        <v>0</v>
      </c>
      <c r="BN29" s="100" t="n">
        <v>0</v>
      </c>
      <c r="BO29" s="100" t="n">
        <v>0</v>
      </c>
      <c r="BP29" s="100" t="n">
        <v>0</v>
      </c>
      <c r="BQ29" s="100" t="n">
        <v>0</v>
      </c>
      <c r="BR29" s="100" t="n">
        <v>0</v>
      </c>
      <c r="BS29" s="100" t="n">
        <v>0</v>
      </c>
      <c r="BT29" s="100" t="n">
        <v>0</v>
      </c>
      <c r="BU29" s="100" t="n">
        <v>0</v>
      </c>
      <c r="BV29" s="100" t="n">
        <v>0</v>
      </c>
      <c r="BW29" s="100" t="n">
        <v>0</v>
      </c>
      <c r="BX29" s="100" t="n">
        <v>0</v>
      </c>
      <c r="BY29" s="100" t="n">
        <v>0</v>
      </c>
      <c r="BZ29" s="100" t="n">
        <v>0</v>
      </c>
      <c r="CA29" s="100" t="n">
        <v>0</v>
      </c>
      <c r="CB29" s="100" t="n">
        <v>0</v>
      </c>
      <c r="CC29" s="100" t="n">
        <v>0</v>
      </c>
      <c r="CD29" s="100" t="n">
        <v>0</v>
      </c>
      <c r="CE29" s="100" t="n">
        <v>0</v>
      </c>
      <c r="CF29" s="100" t="n">
        <v>0</v>
      </c>
      <c r="CG29" s="100" t="n">
        <v>0</v>
      </c>
      <c r="CH29" s="100" t="n">
        <v>0</v>
      </c>
      <c r="CI29" s="100" t="n">
        <v>0</v>
      </c>
      <c r="CJ29" s="100" t="n">
        <v>0</v>
      </c>
      <c r="CK29" s="100" t="n">
        <v>0</v>
      </c>
      <c r="CL29" s="100" t="n">
        <v>0</v>
      </c>
      <c r="CM29" s="100" t="n">
        <v>0</v>
      </c>
      <c r="CN29" s="100" t="n">
        <v>0</v>
      </c>
      <c r="CO29" s="100" t="n">
        <v>0</v>
      </c>
      <c r="CP29" s="100" t="n">
        <v>0</v>
      </c>
      <c r="CQ29" s="100" t="n">
        <v>0</v>
      </c>
      <c r="CR29" s="100" t="n">
        <v>0</v>
      </c>
      <c r="CS29" s="100" t="n">
        <v>0</v>
      </c>
      <c r="CT29" s="100" t="n">
        <v>0</v>
      </c>
      <c r="CU29" s="100" t="n">
        <v>0</v>
      </c>
      <c r="CV29" s="100" t="n">
        <v>0</v>
      </c>
      <c r="CW29" s="100" t="n">
        <v>0</v>
      </c>
      <c r="CX29" s="100" t="n">
        <v>0</v>
      </c>
      <c r="CY29" s="100" t="n">
        <v>0</v>
      </c>
      <c r="CZ29" s="100" t="n">
        <v>0</v>
      </c>
      <c r="DA29" s="100" t="n">
        <v>0</v>
      </c>
      <c r="DB29" s="100" t="n">
        <v>0</v>
      </c>
    </row>
    <row r="30">
      <c r="A30" t="inlineStr">
        <is>
          <t>Yr 6 exit — Buyer Project CF</t>
        </is>
      </c>
      <c r="C30" s="100" t="n">
        <v>0</v>
      </c>
      <c r="D30" s="100" t="n">
        <v>0</v>
      </c>
      <c r="E30" s="100" t="n">
        <v>0</v>
      </c>
      <c r="F30" s="100" t="n">
        <v>0</v>
      </c>
      <c r="G30" s="100" t="n">
        <v>0</v>
      </c>
      <c r="H30" s="100" t="n">
        <v>0</v>
      </c>
      <c r="I30" s="100" t="n">
        <v>0</v>
      </c>
      <c r="J30" s="100" t="n">
        <v>0</v>
      </c>
      <c r="K30" s="100" t="n">
        <v>0</v>
      </c>
      <c r="L30" s="100" t="n">
        <v>0</v>
      </c>
      <c r="M30" s="100" t="n">
        <v>0</v>
      </c>
      <c r="N30" s="100" t="n">
        <v>0</v>
      </c>
      <c r="O30" s="100" t="n">
        <v>0</v>
      </c>
      <c r="P30" s="100" t="n">
        <v>0</v>
      </c>
      <c r="Q30" s="100" t="n">
        <v>0</v>
      </c>
      <c r="R30" s="100" t="n">
        <v>0</v>
      </c>
      <c r="S30" s="100" t="n">
        <v>0</v>
      </c>
      <c r="T30" s="100" t="n">
        <v>0</v>
      </c>
      <c r="U30" s="100" t="n">
        <v>0</v>
      </c>
      <c r="V30" s="100" t="n">
        <v>0</v>
      </c>
      <c r="W30" s="100" t="n">
        <v>0</v>
      </c>
      <c r="X30" s="100" t="n">
        <v>0</v>
      </c>
      <c r="Y30" s="100" t="n">
        <v>0</v>
      </c>
      <c r="Z30" s="100" t="n">
        <v>0</v>
      </c>
      <c r="AA30" s="100" t="n">
        <v>0</v>
      </c>
      <c r="AB30" s="100" t="n">
        <v>0</v>
      </c>
      <c r="AC30" s="100" t="n">
        <v>0</v>
      </c>
      <c r="AD30" s="100" t="n">
        <v>0</v>
      </c>
      <c r="AE30" s="100" t="n">
        <v>0</v>
      </c>
      <c r="AF30" s="100" t="n">
        <v>0</v>
      </c>
      <c r="AG30" s="100" t="n">
        <v>0</v>
      </c>
      <c r="AH30" s="100" t="n">
        <v>0</v>
      </c>
      <c r="AI30" s="100" t="n">
        <v>0</v>
      </c>
      <c r="AJ30" s="100" t="n">
        <v>0</v>
      </c>
      <c r="AK30" s="100" t="n">
        <v>0</v>
      </c>
      <c r="AL30" s="100" t="n">
        <v>0</v>
      </c>
      <c r="AM30" s="100" t="n">
        <v>0</v>
      </c>
      <c r="AN30" s="100" t="n">
        <v>0</v>
      </c>
      <c r="AO30" s="100" t="n">
        <v>0</v>
      </c>
      <c r="AP30" s="100" t="n">
        <v>0</v>
      </c>
      <c r="AQ30" s="100" t="n">
        <v>0</v>
      </c>
      <c r="AR30" s="100" t="n">
        <v>0</v>
      </c>
      <c r="AS30" s="100" t="n">
        <v>0</v>
      </c>
      <c r="AT30" s="100" t="n">
        <v>0</v>
      </c>
      <c r="AU30" s="100" t="n">
        <v>0</v>
      </c>
      <c r="AV30" s="100" t="n">
        <v>0</v>
      </c>
      <c r="AW30" s="100" t="n">
        <v>0</v>
      </c>
      <c r="AX30" s="100">
        <f>-H10</f>
        <v/>
      </c>
      <c r="AY30" s="100">
        <f>FS_Annual!AY14</f>
        <v/>
      </c>
      <c r="AZ30" s="100">
        <f>FS_Annual!AZ14</f>
        <v/>
      </c>
      <c r="BA30" s="100">
        <f>FS_Annual!BA14</f>
        <v/>
      </c>
      <c r="BB30" s="100">
        <f>FS_Annual!BB14</f>
        <v/>
      </c>
      <c r="BC30" s="100">
        <f>FS_Annual!BC14</f>
        <v/>
      </c>
      <c r="BD30" s="100">
        <f>FS_Annual!BD14</f>
        <v/>
      </c>
      <c r="BE30" s="100">
        <f>FS_Annual!BE14</f>
        <v/>
      </c>
      <c r="BF30" s="100">
        <f>FS_Annual!BF14</f>
        <v/>
      </c>
      <c r="BG30" s="100">
        <f>FS_Annual!BG14</f>
        <v/>
      </c>
      <c r="BH30" s="100">
        <f>FS_Annual!BH14</f>
        <v/>
      </c>
      <c r="BI30" s="100">
        <f>FS_Annual!BI14</f>
        <v/>
      </c>
      <c r="BJ30" s="100">
        <f>FS_Annual!BJ14</f>
        <v/>
      </c>
      <c r="BK30" s="100">
        <f>FS_Annual!BK14</f>
        <v/>
      </c>
      <c r="BL30" s="100">
        <f>FS_Annual!BL14</f>
        <v/>
      </c>
      <c r="BM30" s="100">
        <f>FS_Annual!BM14</f>
        <v/>
      </c>
      <c r="BN30" s="100">
        <f>FS_Annual!BN14</f>
        <v/>
      </c>
      <c r="BO30" s="100">
        <f>FS_Annual!BO14</f>
        <v/>
      </c>
      <c r="BP30" s="100">
        <f>FS_Annual!BP14</f>
        <v/>
      </c>
      <c r="BQ30" s="100">
        <f>FS_Annual!BQ14</f>
        <v/>
      </c>
      <c r="BR30" s="100">
        <f>FS_Annual!BR14</f>
        <v/>
      </c>
      <c r="BS30" s="100">
        <f>FS_Annual!BS14</f>
        <v/>
      </c>
      <c r="BT30" s="100">
        <f>FS_Annual!BT14</f>
        <v/>
      </c>
      <c r="BU30" s="100">
        <f>FS_Annual!BU14</f>
        <v/>
      </c>
      <c r="BV30" s="100">
        <f>FS_Annual!BV14</f>
        <v/>
      </c>
      <c r="BW30" s="100">
        <f>FS_Annual!BW14</f>
        <v/>
      </c>
      <c r="BX30" s="100">
        <f>FS_Annual!BX14</f>
        <v/>
      </c>
      <c r="BY30" s="100">
        <f>FS_Annual!BY14</f>
        <v/>
      </c>
      <c r="BZ30" s="100">
        <f>FS_Annual!BZ14</f>
        <v/>
      </c>
      <c r="CA30" s="100">
        <f>FS_Annual!CA14</f>
        <v/>
      </c>
      <c r="CB30" s="100">
        <f>FS_Annual!CB14</f>
        <v/>
      </c>
      <c r="CC30" s="100">
        <f>FS_Annual!CC14</f>
        <v/>
      </c>
      <c r="CD30" s="100">
        <f>FS_Annual!CD14</f>
        <v/>
      </c>
      <c r="CE30" s="100">
        <f>FS_Annual!CE14</f>
        <v/>
      </c>
      <c r="CF30" s="100">
        <f>FS_Annual!CF14</f>
        <v/>
      </c>
      <c r="CG30" s="100">
        <f>FS_Annual!CG14</f>
        <v/>
      </c>
      <c r="CH30" s="100">
        <f>FS_Annual!CH14</f>
        <v/>
      </c>
      <c r="CI30" s="100">
        <f>FS_Annual!CI14</f>
        <v/>
      </c>
      <c r="CJ30" s="100">
        <f>FS_Annual!CJ14</f>
        <v/>
      </c>
      <c r="CK30" s="100">
        <f>FS_Annual!CK14</f>
        <v/>
      </c>
      <c r="CL30" s="100">
        <f>FS_Annual!CL14</f>
        <v/>
      </c>
      <c r="CM30" s="100">
        <f>FS_Annual!CM14</f>
        <v/>
      </c>
      <c r="CN30" s="100">
        <f>FS_Annual!CN14</f>
        <v/>
      </c>
      <c r="CO30" s="100">
        <f>FS_Annual!CO14</f>
        <v/>
      </c>
      <c r="CP30" s="100">
        <f>FS_Annual!CP14</f>
        <v/>
      </c>
      <c r="CQ30" s="100">
        <f>FS_Annual!CQ14</f>
        <v/>
      </c>
      <c r="CR30" s="100">
        <f>FS_Annual!CR14</f>
        <v/>
      </c>
      <c r="CS30" s="100">
        <f>FS_Annual!CS14</f>
        <v/>
      </c>
      <c r="CT30" s="100">
        <f>FS_Annual!CT14</f>
        <v/>
      </c>
      <c r="CU30" s="100">
        <f>FS_Annual!CU14</f>
        <v/>
      </c>
      <c r="CV30" s="100">
        <f>FS_Annual!CV14</f>
        <v/>
      </c>
      <c r="CW30" s="100">
        <f>FS_Annual!CW14</f>
        <v/>
      </c>
      <c r="CX30" s="100">
        <f>FS_Annual!CX14</f>
        <v/>
      </c>
      <c r="CY30" s="100">
        <f>FS_Annual!CY14</f>
        <v/>
      </c>
      <c r="CZ30" s="100">
        <f>FS_Annual!CZ14</f>
        <v/>
      </c>
      <c r="DA30" s="100">
        <f>FS_Annual!DA14</f>
        <v/>
      </c>
      <c r="DB30" s="100">
        <f>FS_Annual!DB14</f>
        <v/>
      </c>
    </row>
    <row r="31">
      <c r="A31" t="inlineStr">
        <is>
          <t>Yr 7 exit — Seller Equity CF</t>
        </is>
      </c>
      <c r="C31" s="100">
        <f>FS_Annual!C15</f>
        <v/>
      </c>
      <c r="D31" s="100">
        <f>FS_Annual!D15</f>
        <v/>
      </c>
      <c r="E31" s="100">
        <f>FS_Annual!E15</f>
        <v/>
      </c>
      <c r="F31" s="100">
        <f>FS_Annual!F15</f>
        <v/>
      </c>
      <c r="G31" s="100">
        <f>FS_Annual!G15</f>
        <v/>
      </c>
      <c r="H31" s="100">
        <f>FS_Annual!H15</f>
        <v/>
      </c>
      <c r="I31" s="100">
        <f>FS_Annual!I15</f>
        <v/>
      </c>
      <c r="J31" s="100">
        <f>FS_Annual!J15</f>
        <v/>
      </c>
      <c r="K31" s="100">
        <f>FS_Annual!K15</f>
        <v/>
      </c>
      <c r="L31" s="100">
        <f>FS_Annual!L15</f>
        <v/>
      </c>
      <c r="M31" s="100">
        <f>FS_Annual!M15</f>
        <v/>
      </c>
      <c r="N31" s="100">
        <f>FS_Annual!N15</f>
        <v/>
      </c>
      <c r="O31" s="100">
        <f>FS_Annual!O15</f>
        <v/>
      </c>
      <c r="P31" s="100">
        <f>FS_Annual!P15</f>
        <v/>
      </c>
      <c r="Q31" s="100">
        <f>FS_Annual!Q15</f>
        <v/>
      </c>
      <c r="R31" s="100">
        <f>FS_Annual!R15</f>
        <v/>
      </c>
      <c r="S31" s="100">
        <f>FS_Annual!S15</f>
        <v/>
      </c>
      <c r="T31" s="100">
        <f>FS_Annual!T15</f>
        <v/>
      </c>
      <c r="U31" s="100">
        <f>FS_Annual!U15</f>
        <v/>
      </c>
      <c r="V31" s="100">
        <f>FS_Annual!V15</f>
        <v/>
      </c>
      <c r="W31" s="100">
        <f>FS_Annual!W15</f>
        <v/>
      </c>
      <c r="X31" s="100">
        <f>FS_Annual!X15</f>
        <v/>
      </c>
      <c r="Y31" s="100">
        <f>FS_Annual!Y15</f>
        <v/>
      </c>
      <c r="Z31" s="100">
        <f>FS_Annual!Z15</f>
        <v/>
      </c>
      <c r="AA31" s="100">
        <f>FS_Annual!AA15</f>
        <v/>
      </c>
      <c r="AB31" s="100">
        <f>FS_Annual!AB15</f>
        <v/>
      </c>
      <c r="AC31" s="100">
        <f>FS_Annual!AC15</f>
        <v/>
      </c>
      <c r="AD31" s="100">
        <f>FS_Annual!AD15</f>
        <v/>
      </c>
      <c r="AE31" s="100">
        <f>FS_Annual!AE15</f>
        <v/>
      </c>
      <c r="AF31" s="100">
        <f>FS_Annual!AF15</f>
        <v/>
      </c>
      <c r="AG31" s="100">
        <f>FS_Annual!AG15</f>
        <v/>
      </c>
      <c r="AH31" s="100">
        <f>FS_Annual!AH15</f>
        <v/>
      </c>
      <c r="AI31" s="100">
        <f>FS_Annual!AI15</f>
        <v/>
      </c>
      <c r="AJ31" s="100">
        <f>FS_Annual!AJ15</f>
        <v/>
      </c>
      <c r="AK31" s="100">
        <f>FS_Annual!AK15</f>
        <v/>
      </c>
      <c r="AL31" s="100">
        <f>FS_Annual!AL15</f>
        <v/>
      </c>
      <c r="AM31" s="100">
        <f>FS_Annual!AM15</f>
        <v/>
      </c>
      <c r="AN31" s="100">
        <f>FS_Annual!AN15</f>
        <v/>
      </c>
      <c r="AO31" s="100">
        <f>FS_Annual!AO15</f>
        <v/>
      </c>
      <c r="AP31" s="100">
        <f>FS_Annual!AP15</f>
        <v/>
      </c>
      <c r="AQ31" s="100">
        <f>FS_Annual!AQ15</f>
        <v/>
      </c>
      <c r="AR31" s="100">
        <f>FS_Annual!AR15</f>
        <v/>
      </c>
      <c r="AS31" s="100">
        <f>FS_Annual!AS15</f>
        <v/>
      </c>
      <c r="AT31" s="100">
        <f>FS_Annual!AT15</f>
        <v/>
      </c>
      <c r="AU31" s="100">
        <f>FS_Annual!AU15</f>
        <v/>
      </c>
      <c r="AV31" s="100">
        <f>FS_Annual!AV15</f>
        <v/>
      </c>
      <c r="AW31" s="100">
        <f>FS_Annual!AW15</f>
        <v/>
      </c>
      <c r="AX31" s="100">
        <f>FS_Annual!AX15</f>
        <v/>
      </c>
      <c r="AY31" s="100">
        <f>FS_Annual!AY15</f>
        <v/>
      </c>
      <c r="AZ31" s="100">
        <f>FS_Annual!AZ15</f>
        <v/>
      </c>
      <c r="BA31" s="100">
        <f>FS_Annual!BA15</f>
        <v/>
      </c>
      <c r="BB31" s="100">
        <f>FS_Annual!BB15+I8</f>
        <v/>
      </c>
      <c r="BC31" s="100" t="n">
        <v>0</v>
      </c>
      <c r="BD31" s="100" t="n">
        <v>0</v>
      </c>
      <c r="BE31" s="100" t="n">
        <v>0</v>
      </c>
      <c r="BF31" s="100" t="n">
        <v>0</v>
      </c>
      <c r="BG31" s="100" t="n">
        <v>0</v>
      </c>
      <c r="BH31" s="100" t="n">
        <v>0</v>
      </c>
      <c r="BI31" s="100" t="n">
        <v>0</v>
      </c>
      <c r="BJ31" s="100" t="n">
        <v>0</v>
      </c>
      <c r="BK31" s="100" t="n">
        <v>0</v>
      </c>
      <c r="BL31" s="100" t="n">
        <v>0</v>
      </c>
      <c r="BM31" s="100" t="n">
        <v>0</v>
      </c>
      <c r="BN31" s="100" t="n">
        <v>0</v>
      </c>
      <c r="BO31" s="100" t="n">
        <v>0</v>
      </c>
      <c r="BP31" s="100" t="n">
        <v>0</v>
      </c>
      <c r="BQ31" s="100" t="n">
        <v>0</v>
      </c>
      <c r="BR31" s="100" t="n">
        <v>0</v>
      </c>
      <c r="BS31" s="100" t="n">
        <v>0</v>
      </c>
      <c r="BT31" s="100" t="n">
        <v>0</v>
      </c>
      <c r="BU31" s="100" t="n">
        <v>0</v>
      </c>
      <c r="BV31" s="100" t="n">
        <v>0</v>
      </c>
      <c r="BW31" s="100" t="n">
        <v>0</v>
      </c>
      <c r="BX31" s="100" t="n">
        <v>0</v>
      </c>
      <c r="BY31" s="100" t="n">
        <v>0</v>
      </c>
      <c r="BZ31" s="100" t="n">
        <v>0</v>
      </c>
      <c r="CA31" s="100" t="n">
        <v>0</v>
      </c>
      <c r="CB31" s="100" t="n">
        <v>0</v>
      </c>
      <c r="CC31" s="100" t="n">
        <v>0</v>
      </c>
      <c r="CD31" s="100" t="n">
        <v>0</v>
      </c>
      <c r="CE31" s="100" t="n">
        <v>0</v>
      </c>
      <c r="CF31" s="100" t="n">
        <v>0</v>
      </c>
      <c r="CG31" s="100" t="n">
        <v>0</v>
      </c>
      <c r="CH31" s="100" t="n">
        <v>0</v>
      </c>
      <c r="CI31" s="100" t="n">
        <v>0</v>
      </c>
      <c r="CJ31" s="100" t="n">
        <v>0</v>
      </c>
      <c r="CK31" s="100" t="n">
        <v>0</v>
      </c>
      <c r="CL31" s="100" t="n">
        <v>0</v>
      </c>
      <c r="CM31" s="100" t="n">
        <v>0</v>
      </c>
      <c r="CN31" s="100" t="n">
        <v>0</v>
      </c>
      <c r="CO31" s="100" t="n">
        <v>0</v>
      </c>
      <c r="CP31" s="100" t="n">
        <v>0</v>
      </c>
      <c r="CQ31" s="100" t="n">
        <v>0</v>
      </c>
      <c r="CR31" s="100" t="n">
        <v>0</v>
      </c>
      <c r="CS31" s="100" t="n">
        <v>0</v>
      </c>
      <c r="CT31" s="100" t="n">
        <v>0</v>
      </c>
      <c r="CU31" s="100" t="n">
        <v>0</v>
      </c>
      <c r="CV31" s="100" t="n">
        <v>0</v>
      </c>
      <c r="CW31" s="100" t="n">
        <v>0</v>
      </c>
      <c r="CX31" s="100" t="n">
        <v>0</v>
      </c>
      <c r="CY31" s="100" t="n">
        <v>0</v>
      </c>
      <c r="CZ31" s="100" t="n">
        <v>0</v>
      </c>
      <c r="DA31" s="100" t="n">
        <v>0</v>
      </c>
      <c r="DB31" s="100" t="n">
        <v>0</v>
      </c>
    </row>
    <row r="32">
      <c r="A32" t="inlineStr">
        <is>
          <t>Yr 7 exit — Buyer Project CF</t>
        </is>
      </c>
      <c r="C32" s="100" t="n">
        <v>0</v>
      </c>
      <c r="D32" s="100" t="n">
        <v>0</v>
      </c>
      <c r="E32" s="100" t="n">
        <v>0</v>
      </c>
      <c r="F32" s="100" t="n">
        <v>0</v>
      </c>
      <c r="G32" s="100" t="n">
        <v>0</v>
      </c>
      <c r="H32" s="100" t="n">
        <v>0</v>
      </c>
      <c r="I32" s="100" t="n">
        <v>0</v>
      </c>
      <c r="J32" s="100" t="n">
        <v>0</v>
      </c>
      <c r="K32" s="100" t="n">
        <v>0</v>
      </c>
      <c r="L32" s="100" t="n">
        <v>0</v>
      </c>
      <c r="M32" s="100" t="n">
        <v>0</v>
      </c>
      <c r="N32" s="100" t="n">
        <v>0</v>
      </c>
      <c r="O32" s="100" t="n">
        <v>0</v>
      </c>
      <c r="P32" s="100" t="n">
        <v>0</v>
      </c>
      <c r="Q32" s="100" t="n">
        <v>0</v>
      </c>
      <c r="R32" s="100" t="n">
        <v>0</v>
      </c>
      <c r="S32" s="100" t="n">
        <v>0</v>
      </c>
      <c r="T32" s="100" t="n">
        <v>0</v>
      </c>
      <c r="U32" s="100" t="n">
        <v>0</v>
      </c>
      <c r="V32" s="100" t="n">
        <v>0</v>
      </c>
      <c r="W32" s="100" t="n">
        <v>0</v>
      </c>
      <c r="X32" s="100" t="n">
        <v>0</v>
      </c>
      <c r="Y32" s="100" t="n">
        <v>0</v>
      </c>
      <c r="Z32" s="100" t="n">
        <v>0</v>
      </c>
      <c r="AA32" s="100" t="n">
        <v>0</v>
      </c>
      <c r="AB32" s="100" t="n">
        <v>0</v>
      </c>
      <c r="AC32" s="100" t="n">
        <v>0</v>
      </c>
      <c r="AD32" s="100" t="n">
        <v>0</v>
      </c>
      <c r="AE32" s="100" t="n">
        <v>0</v>
      </c>
      <c r="AF32" s="100" t="n">
        <v>0</v>
      </c>
      <c r="AG32" s="100" t="n">
        <v>0</v>
      </c>
      <c r="AH32" s="100" t="n">
        <v>0</v>
      </c>
      <c r="AI32" s="100" t="n">
        <v>0</v>
      </c>
      <c r="AJ32" s="100" t="n">
        <v>0</v>
      </c>
      <c r="AK32" s="100" t="n">
        <v>0</v>
      </c>
      <c r="AL32" s="100" t="n">
        <v>0</v>
      </c>
      <c r="AM32" s="100" t="n">
        <v>0</v>
      </c>
      <c r="AN32" s="100" t="n">
        <v>0</v>
      </c>
      <c r="AO32" s="100" t="n">
        <v>0</v>
      </c>
      <c r="AP32" s="100" t="n">
        <v>0</v>
      </c>
      <c r="AQ32" s="100" t="n">
        <v>0</v>
      </c>
      <c r="AR32" s="100" t="n">
        <v>0</v>
      </c>
      <c r="AS32" s="100" t="n">
        <v>0</v>
      </c>
      <c r="AT32" s="100" t="n">
        <v>0</v>
      </c>
      <c r="AU32" s="100" t="n">
        <v>0</v>
      </c>
      <c r="AV32" s="100" t="n">
        <v>0</v>
      </c>
      <c r="AW32" s="100" t="n">
        <v>0</v>
      </c>
      <c r="AX32" s="100" t="n">
        <v>0</v>
      </c>
      <c r="AY32" s="100" t="n">
        <v>0</v>
      </c>
      <c r="AZ32" s="100" t="n">
        <v>0</v>
      </c>
      <c r="BA32" s="100" t="n">
        <v>0</v>
      </c>
      <c r="BB32" s="100">
        <f>-I10</f>
        <v/>
      </c>
      <c r="BC32" s="100">
        <f>FS_Annual!BC14</f>
        <v/>
      </c>
      <c r="BD32" s="100">
        <f>FS_Annual!BD14</f>
        <v/>
      </c>
      <c r="BE32" s="100">
        <f>FS_Annual!BE14</f>
        <v/>
      </c>
      <c r="BF32" s="100">
        <f>FS_Annual!BF14</f>
        <v/>
      </c>
      <c r="BG32" s="100">
        <f>FS_Annual!BG14</f>
        <v/>
      </c>
      <c r="BH32" s="100">
        <f>FS_Annual!BH14</f>
        <v/>
      </c>
      <c r="BI32" s="100">
        <f>FS_Annual!BI14</f>
        <v/>
      </c>
      <c r="BJ32" s="100">
        <f>FS_Annual!BJ14</f>
        <v/>
      </c>
      <c r="BK32" s="100">
        <f>FS_Annual!BK14</f>
        <v/>
      </c>
      <c r="BL32" s="100">
        <f>FS_Annual!BL14</f>
        <v/>
      </c>
      <c r="BM32" s="100">
        <f>FS_Annual!BM14</f>
        <v/>
      </c>
      <c r="BN32" s="100">
        <f>FS_Annual!BN14</f>
        <v/>
      </c>
      <c r="BO32" s="100">
        <f>FS_Annual!BO14</f>
        <v/>
      </c>
      <c r="BP32" s="100">
        <f>FS_Annual!BP14</f>
        <v/>
      </c>
      <c r="BQ32" s="100">
        <f>FS_Annual!BQ14</f>
        <v/>
      </c>
      <c r="BR32" s="100">
        <f>FS_Annual!BR14</f>
        <v/>
      </c>
      <c r="BS32" s="100">
        <f>FS_Annual!BS14</f>
        <v/>
      </c>
      <c r="BT32" s="100">
        <f>FS_Annual!BT14</f>
        <v/>
      </c>
      <c r="BU32" s="100">
        <f>FS_Annual!BU14</f>
        <v/>
      </c>
      <c r="BV32" s="100">
        <f>FS_Annual!BV14</f>
        <v/>
      </c>
      <c r="BW32" s="100">
        <f>FS_Annual!BW14</f>
        <v/>
      </c>
      <c r="BX32" s="100">
        <f>FS_Annual!BX14</f>
        <v/>
      </c>
      <c r="BY32" s="100">
        <f>FS_Annual!BY14</f>
        <v/>
      </c>
      <c r="BZ32" s="100">
        <f>FS_Annual!BZ14</f>
        <v/>
      </c>
      <c r="CA32" s="100">
        <f>FS_Annual!CA14</f>
        <v/>
      </c>
      <c r="CB32" s="100">
        <f>FS_Annual!CB14</f>
        <v/>
      </c>
      <c r="CC32" s="100">
        <f>FS_Annual!CC14</f>
        <v/>
      </c>
      <c r="CD32" s="100">
        <f>FS_Annual!CD14</f>
        <v/>
      </c>
      <c r="CE32" s="100">
        <f>FS_Annual!CE14</f>
        <v/>
      </c>
      <c r="CF32" s="100">
        <f>FS_Annual!CF14</f>
        <v/>
      </c>
      <c r="CG32" s="100">
        <f>FS_Annual!CG14</f>
        <v/>
      </c>
      <c r="CH32" s="100">
        <f>FS_Annual!CH14</f>
        <v/>
      </c>
      <c r="CI32" s="100">
        <f>FS_Annual!CI14</f>
        <v/>
      </c>
      <c r="CJ32" s="100">
        <f>FS_Annual!CJ14</f>
        <v/>
      </c>
      <c r="CK32" s="100">
        <f>FS_Annual!CK14</f>
        <v/>
      </c>
      <c r="CL32" s="100">
        <f>FS_Annual!CL14</f>
        <v/>
      </c>
      <c r="CM32" s="100">
        <f>FS_Annual!CM14</f>
        <v/>
      </c>
      <c r="CN32" s="100">
        <f>FS_Annual!CN14</f>
        <v/>
      </c>
      <c r="CO32" s="100">
        <f>FS_Annual!CO14</f>
        <v/>
      </c>
      <c r="CP32" s="100">
        <f>FS_Annual!CP14</f>
        <v/>
      </c>
      <c r="CQ32" s="100">
        <f>FS_Annual!CQ14</f>
        <v/>
      </c>
      <c r="CR32" s="100">
        <f>FS_Annual!CR14</f>
        <v/>
      </c>
      <c r="CS32" s="100">
        <f>FS_Annual!CS14</f>
        <v/>
      </c>
      <c r="CT32" s="100">
        <f>FS_Annual!CT14</f>
        <v/>
      </c>
      <c r="CU32" s="100">
        <f>FS_Annual!CU14</f>
        <v/>
      </c>
      <c r="CV32" s="100">
        <f>FS_Annual!CV14</f>
        <v/>
      </c>
      <c r="CW32" s="100">
        <f>FS_Annual!CW14</f>
        <v/>
      </c>
      <c r="CX32" s="100">
        <f>FS_Annual!CX14</f>
        <v/>
      </c>
      <c r="CY32" s="100">
        <f>FS_Annual!CY14</f>
        <v/>
      </c>
      <c r="CZ32" s="100">
        <f>FS_Annual!CZ14</f>
        <v/>
      </c>
      <c r="DA32" s="100">
        <f>FS_Annual!DA14</f>
        <v/>
      </c>
      <c r="DB32" s="100">
        <f>FS_Annual!DB14</f>
        <v/>
      </c>
    </row>
    <row r="33">
      <c r="A33" t="inlineStr">
        <is>
          <t>Yr 8 exit — Seller Equity CF</t>
        </is>
      </c>
      <c r="C33" s="100">
        <f>FS_Annual!C15</f>
        <v/>
      </c>
      <c r="D33" s="100">
        <f>FS_Annual!D15</f>
        <v/>
      </c>
      <c r="E33" s="100">
        <f>FS_Annual!E15</f>
        <v/>
      </c>
      <c r="F33" s="100">
        <f>FS_Annual!F15</f>
        <v/>
      </c>
      <c r="G33" s="100">
        <f>FS_Annual!G15</f>
        <v/>
      </c>
      <c r="H33" s="100">
        <f>FS_Annual!H15</f>
        <v/>
      </c>
      <c r="I33" s="100">
        <f>FS_Annual!I15</f>
        <v/>
      </c>
      <c r="J33" s="100">
        <f>FS_Annual!J15</f>
        <v/>
      </c>
      <c r="K33" s="100">
        <f>FS_Annual!K15</f>
        <v/>
      </c>
      <c r="L33" s="100">
        <f>FS_Annual!L15</f>
        <v/>
      </c>
      <c r="M33" s="100">
        <f>FS_Annual!M15</f>
        <v/>
      </c>
      <c r="N33" s="100">
        <f>FS_Annual!N15</f>
        <v/>
      </c>
      <c r="O33" s="100">
        <f>FS_Annual!O15</f>
        <v/>
      </c>
      <c r="P33" s="100">
        <f>FS_Annual!P15</f>
        <v/>
      </c>
      <c r="Q33" s="100">
        <f>FS_Annual!Q15</f>
        <v/>
      </c>
      <c r="R33" s="100">
        <f>FS_Annual!R15</f>
        <v/>
      </c>
      <c r="S33" s="100">
        <f>FS_Annual!S15</f>
        <v/>
      </c>
      <c r="T33" s="100">
        <f>FS_Annual!T15</f>
        <v/>
      </c>
      <c r="U33" s="100">
        <f>FS_Annual!U15</f>
        <v/>
      </c>
      <c r="V33" s="100">
        <f>FS_Annual!V15</f>
        <v/>
      </c>
      <c r="W33" s="100">
        <f>FS_Annual!W15</f>
        <v/>
      </c>
      <c r="X33" s="100">
        <f>FS_Annual!X15</f>
        <v/>
      </c>
      <c r="Y33" s="100">
        <f>FS_Annual!Y15</f>
        <v/>
      </c>
      <c r="Z33" s="100">
        <f>FS_Annual!Z15</f>
        <v/>
      </c>
      <c r="AA33" s="100">
        <f>FS_Annual!AA15</f>
        <v/>
      </c>
      <c r="AB33" s="100">
        <f>FS_Annual!AB15</f>
        <v/>
      </c>
      <c r="AC33" s="100">
        <f>FS_Annual!AC15</f>
        <v/>
      </c>
      <c r="AD33" s="100">
        <f>FS_Annual!AD15</f>
        <v/>
      </c>
      <c r="AE33" s="100">
        <f>FS_Annual!AE15</f>
        <v/>
      </c>
      <c r="AF33" s="100">
        <f>FS_Annual!AF15</f>
        <v/>
      </c>
      <c r="AG33" s="100">
        <f>FS_Annual!AG15</f>
        <v/>
      </c>
      <c r="AH33" s="100">
        <f>FS_Annual!AH15</f>
        <v/>
      </c>
      <c r="AI33" s="100">
        <f>FS_Annual!AI15</f>
        <v/>
      </c>
      <c r="AJ33" s="100">
        <f>FS_Annual!AJ15</f>
        <v/>
      </c>
      <c r="AK33" s="100">
        <f>FS_Annual!AK15</f>
        <v/>
      </c>
      <c r="AL33" s="100">
        <f>FS_Annual!AL15</f>
        <v/>
      </c>
      <c r="AM33" s="100">
        <f>FS_Annual!AM15</f>
        <v/>
      </c>
      <c r="AN33" s="100">
        <f>FS_Annual!AN15</f>
        <v/>
      </c>
      <c r="AO33" s="100">
        <f>FS_Annual!AO15</f>
        <v/>
      </c>
      <c r="AP33" s="100">
        <f>FS_Annual!AP15</f>
        <v/>
      </c>
      <c r="AQ33" s="100">
        <f>FS_Annual!AQ15</f>
        <v/>
      </c>
      <c r="AR33" s="100">
        <f>FS_Annual!AR15</f>
        <v/>
      </c>
      <c r="AS33" s="100">
        <f>FS_Annual!AS15</f>
        <v/>
      </c>
      <c r="AT33" s="100">
        <f>FS_Annual!AT15</f>
        <v/>
      </c>
      <c r="AU33" s="100">
        <f>FS_Annual!AU15</f>
        <v/>
      </c>
      <c r="AV33" s="100">
        <f>FS_Annual!AV15</f>
        <v/>
      </c>
      <c r="AW33" s="100">
        <f>FS_Annual!AW15</f>
        <v/>
      </c>
      <c r="AX33" s="100">
        <f>FS_Annual!AX15</f>
        <v/>
      </c>
      <c r="AY33" s="100">
        <f>FS_Annual!AY15</f>
        <v/>
      </c>
      <c r="AZ33" s="100">
        <f>FS_Annual!AZ15</f>
        <v/>
      </c>
      <c r="BA33" s="100">
        <f>FS_Annual!BA15</f>
        <v/>
      </c>
      <c r="BB33" s="100">
        <f>FS_Annual!BB15</f>
        <v/>
      </c>
      <c r="BC33" s="100">
        <f>FS_Annual!BC15</f>
        <v/>
      </c>
      <c r="BD33" s="100">
        <f>FS_Annual!BD15</f>
        <v/>
      </c>
      <c r="BE33" s="100">
        <f>FS_Annual!BE15</f>
        <v/>
      </c>
      <c r="BF33" s="100">
        <f>FS_Annual!BF15+J8</f>
        <v/>
      </c>
      <c r="BG33" s="100" t="n">
        <v>0</v>
      </c>
      <c r="BH33" s="100" t="n">
        <v>0</v>
      </c>
      <c r="BI33" s="100" t="n">
        <v>0</v>
      </c>
      <c r="BJ33" s="100" t="n">
        <v>0</v>
      </c>
      <c r="BK33" s="100" t="n">
        <v>0</v>
      </c>
      <c r="BL33" s="100" t="n">
        <v>0</v>
      </c>
      <c r="BM33" s="100" t="n">
        <v>0</v>
      </c>
      <c r="BN33" s="100" t="n">
        <v>0</v>
      </c>
      <c r="BO33" s="100" t="n">
        <v>0</v>
      </c>
      <c r="BP33" s="100" t="n">
        <v>0</v>
      </c>
      <c r="BQ33" s="100" t="n">
        <v>0</v>
      </c>
      <c r="BR33" s="100" t="n">
        <v>0</v>
      </c>
      <c r="BS33" s="100" t="n">
        <v>0</v>
      </c>
      <c r="BT33" s="100" t="n">
        <v>0</v>
      </c>
      <c r="BU33" s="100" t="n">
        <v>0</v>
      </c>
      <c r="BV33" s="100" t="n">
        <v>0</v>
      </c>
      <c r="BW33" s="100" t="n">
        <v>0</v>
      </c>
      <c r="BX33" s="100" t="n">
        <v>0</v>
      </c>
      <c r="BY33" s="100" t="n">
        <v>0</v>
      </c>
      <c r="BZ33" s="100" t="n">
        <v>0</v>
      </c>
      <c r="CA33" s="100" t="n">
        <v>0</v>
      </c>
      <c r="CB33" s="100" t="n">
        <v>0</v>
      </c>
      <c r="CC33" s="100" t="n">
        <v>0</v>
      </c>
      <c r="CD33" s="100" t="n">
        <v>0</v>
      </c>
      <c r="CE33" s="100" t="n">
        <v>0</v>
      </c>
      <c r="CF33" s="100" t="n">
        <v>0</v>
      </c>
      <c r="CG33" s="100" t="n">
        <v>0</v>
      </c>
      <c r="CH33" s="100" t="n">
        <v>0</v>
      </c>
      <c r="CI33" s="100" t="n">
        <v>0</v>
      </c>
      <c r="CJ33" s="100" t="n">
        <v>0</v>
      </c>
      <c r="CK33" s="100" t="n">
        <v>0</v>
      </c>
      <c r="CL33" s="100" t="n">
        <v>0</v>
      </c>
      <c r="CM33" s="100" t="n">
        <v>0</v>
      </c>
      <c r="CN33" s="100" t="n">
        <v>0</v>
      </c>
      <c r="CO33" s="100" t="n">
        <v>0</v>
      </c>
      <c r="CP33" s="100" t="n">
        <v>0</v>
      </c>
      <c r="CQ33" s="100" t="n">
        <v>0</v>
      </c>
      <c r="CR33" s="100" t="n">
        <v>0</v>
      </c>
      <c r="CS33" s="100" t="n">
        <v>0</v>
      </c>
      <c r="CT33" s="100" t="n">
        <v>0</v>
      </c>
      <c r="CU33" s="100" t="n">
        <v>0</v>
      </c>
      <c r="CV33" s="100" t="n">
        <v>0</v>
      </c>
      <c r="CW33" s="100" t="n">
        <v>0</v>
      </c>
      <c r="CX33" s="100" t="n">
        <v>0</v>
      </c>
      <c r="CY33" s="100" t="n">
        <v>0</v>
      </c>
      <c r="CZ33" s="100" t="n">
        <v>0</v>
      </c>
      <c r="DA33" s="100" t="n">
        <v>0</v>
      </c>
      <c r="DB33" s="100" t="n">
        <v>0</v>
      </c>
    </row>
    <row r="34">
      <c r="A34" t="inlineStr">
        <is>
          <t>Yr 8 exit — Buyer Project CF</t>
        </is>
      </c>
      <c r="C34" s="100" t="n">
        <v>0</v>
      </c>
      <c r="D34" s="100" t="n">
        <v>0</v>
      </c>
      <c r="E34" s="100" t="n">
        <v>0</v>
      </c>
      <c r="F34" s="100" t="n">
        <v>0</v>
      </c>
      <c r="G34" s="100" t="n">
        <v>0</v>
      </c>
      <c r="H34" s="100" t="n">
        <v>0</v>
      </c>
      <c r="I34" s="100" t="n">
        <v>0</v>
      </c>
      <c r="J34" s="100" t="n">
        <v>0</v>
      </c>
      <c r="K34" s="100" t="n">
        <v>0</v>
      </c>
      <c r="L34" s="100" t="n">
        <v>0</v>
      </c>
      <c r="M34" s="100" t="n">
        <v>0</v>
      </c>
      <c r="N34" s="100" t="n">
        <v>0</v>
      </c>
      <c r="O34" s="100" t="n">
        <v>0</v>
      </c>
      <c r="P34" s="100" t="n">
        <v>0</v>
      </c>
      <c r="Q34" s="100" t="n">
        <v>0</v>
      </c>
      <c r="R34" s="100" t="n">
        <v>0</v>
      </c>
      <c r="S34" s="100" t="n">
        <v>0</v>
      </c>
      <c r="T34" s="100" t="n">
        <v>0</v>
      </c>
      <c r="U34" s="100" t="n">
        <v>0</v>
      </c>
      <c r="V34" s="100" t="n">
        <v>0</v>
      </c>
      <c r="W34" s="100" t="n">
        <v>0</v>
      </c>
      <c r="X34" s="100" t="n">
        <v>0</v>
      </c>
      <c r="Y34" s="100" t="n">
        <v>0</v>
      </c>
      <c r="Z34" s="100" t="n">
        <v>0</v>
      </c>
      <c r="AA34" s="100" t="n">
        <v>0</v>
      </c>
      <c r="AB34" s="100" t="n">
        <v>0</v>
      </c>
      <c r="AC34" s="100" t="n">
        <v>0</v>
      </c>
      <c r="AD34" s="100" t="n">
        <v>0</v>
      </c>
      <c r="AE34" s="100" t="n">
        <v>0</v>
      </c>
      <c r="AF34" s="100" t="n">
        <v>0</v>
      </c>
      <c r="AG34" s="100" t="n">
        <v>0</v>
      </c>
      <c r="AH34" s="100" t="n">
        <v>0</v>
      </c>
      <c r="AI34" s="100" t="n">
        <v>0</v>
      </c>
      <c r="AJ34" s="100" t="n">
        <v>0</v>
      </c>
      <c r="AK34" s="100" t="n">
        <v>0</v>
      </c>
      <c r="AL34" s="100" t="n">
        <v>0</v>
      </c>
      <c r="AM34" s="100" t="n">
        <v>0</v>
      </c>
      <c r="AN34" s="100" t="n">
        <v>0</v>
      </c>
      <c r="AO34" s="100" t="n">
        <v>0</v>
      </c>
      <c r="AP34" s="100" t="n">
        <v>0</v>
      </c>
      <c r="AQ34" s="100" t="n">
        <v>0</v>
      </c>
      <c r="AR34" s="100" t="n">
        <v>0</v>
      </c>
      <c r="AS34" s="100" t="n">
        <v>0</v>
      </c>
      <c r="AT34" s="100" t="n">
        <v>0</v>
      </c>
      <c r="AU34" s="100" t="n">
        <v>0</v>
      </c>
      <c r="AV34" s="100" t="n">
        <v>0</v>
      </c>
      <c r="AW34" s="100" t="n">
        <v>0</v>
      </c>
      <c r="AX34" s="100" t="n">
        <v>0</v>
      </c>
      <c r="AY34" s="100" t="n">
        <v>0</v>
      </c>
      <c r="AZ34" s="100" t="n">
        <v>0</v>
      </c>
      <c r="BA34" s="100" t="n">
        <v>0</v>
      </c>
      <c r="BB34" s="100" t="n">
        <v>0</v>
      </c>
      <c r="BC34" s="100" t="n">
        <v>0</v>
      </c>
      <c r="BD34" s="100" t="n">
        <v>0</v>
      </c>
      <c r="BE34" s="100" t="n">
        <v>0</v>
      </c>
      <c r="BF34" s="100">
        <f>-J10</f>
        <v/>
      </c>
      <c r="BG34" s="100">
        <f>FS_Annual!BG14</f>
        <v/>
      </c>
      <c r="BH34" s="100">
        <f>FS_Annual!BH14</f>
        <v/>
      </c>
      <c r="BI34" s="100">
        <f>FS_Annual!BI14</f>
        <v/>
      </c>
      <c r="BJ34" s="100">
        <f>FS_Annual!BJ14</f>
        <v/>
      </c>
      <c r="BK34" s="100">
        <f>FS_Annual!BK14</f>
        <v/>
      </c>
      <c r="BL34" s="100">
        <f>FS_Annual!BL14</f>
        <v/>
      </c>
      <c r="BM34" s="100">
        <f>FS_Annual!BM14</f>
        <v/>
      </c>
      <c r="BN34" s="100">
        <f>FS_Annual!BN14</f>
        <v/>
      </c>
      <c r="BO34" s="100">
        <f>FS_Annual!BO14</f>
        <v/>
      </c>
      <c r="BP34" s="100">
        <f>FS_Annual!BP14</f>
        <v/>
      </c>
      <c r="BQ34" s="100">
        <f>FS_Annual!BQ14</f>
        <v/>
      </c>
      <c r="BR34" s="100">
        <f>FS_Annual!BR14</f>
        <v/>
      </c>
      <c r="BS34" s="100">
        <f>FS_Annual!BS14</f>
        <v/>
      </c>
      <c r="BT34" s="100">
        <f>FS_Annual!BT14</f>
        <v/>
      </c>
      <c r="BU34" s="100">
        <f>FS_Annual!BU14</f>
        <v/>
      </c>
      <c r="BV34" s="100">
        <f>FS_Annual!BV14</f>
        <v/>
      </c>
      <c r="BW34" s="100">
        <f>FS_Annual!BW14</f>
        <v/>
      </c>
      <c r="BX34" s="100">
        <f>FS_Annual!BX14</f>
        <v/>
      </c>
      <c r="BY34" s="100">
        <f>FS_Annual!BY14</f>
        <v/>
      </c>
      <c r="BZ34" s="100">
        <f>FS_Annual!BZ14</f>
        <v/>
      </c>
      <c r="CA34" s="100">
        <f>FS_Annual!CA14</f>
        <v/>
      </c>
      <c r="CB34" s="100">
        <f>FS_Annual!CB14</f>
        <v/>
      </c>
      <c r="CC34" s="100">
        <f>FS_Annual!CC14</f>
        <v/>
      </c>
      <c r="CD34" s="100">
        <f>FS_Annual!CD14</f>
        <v/>
      </c>
      <c r="CE34" s="100">
        <f>FS_Annual!CE14</f>
        <v/>
      </c>
      <c r="CF34" s="100">
        <f>FS_Annual!CF14</f>
        <v/>
      </c>
      <c r="CG34" s="100">
        <f>FS_Annual!CG14</f>
        <v/>
      </c>
      <c r="CH34" s="100">
        <f>FS_Annual!CH14</f>
        <v/>
      </c>
      <c r="CI34" s="100">
        <f>FS_Annual!CI14</f>
        <v/>
      </c>
      <c r="CJ34" s="100">
        <f>FS_Annual!CJ14</f>
        <v/>
      </c>
      <c r="CK34" s="100">
        <f>FS_Annual!CK14</f>
        <v/>
      </c>
      <c r="CL34" s="100">
        <f>FS_Annual!CL14</f>
        <v/>
      </c>
      <c r="CM34" s="100">
        <f>FS_Annual!CM14</f>
        <v/>
      </c>
      <c r="CN34" s="100">
        <f>FS_Annual!CN14</f>
        <v/>
      </c>
      <c r="CO34" s="100">
        <f>FS_Annual!CO14</f>
        <v/>
      </c>
      <c r="CP34" s="100">
        <f>FS_Annual!CP14</f>
        <v/>
      </c>
      <c r="CQ34" s="100">
        <f>FS_Annual!CQ14</f>
        <v/>
      </c>
      <c r="CR34" s="100">
        <f>FS_Annual!CR14</f>
        <v/>
      </c>
      <c r="CS34" s="100">
        <f>FS_Annual!CS14</f>
        <v/>
      </c>
      <c r="CT34" s="100">
        <f>FS_Annual!CT14</f>
        <v/>
      </c>
      <c r="CU34" s="100">
        <f>FS_Annual!CU14</f>
        <v/>
      </c>
      <c r="CV34" s="100">
        <f>FS_Annual!CV14</f>
        <v/>
      </c>
      <c r="CW34" s="100">
        <f>FS_Annual!CW14</f>
        <v/>
      </c>
      <c r="CX34" s="100">
        <f>FS_Annual!CX14</f>
        <v/>
      </c>
      <c r="CY34" s="100">
        <f>FS_Annual!CY14</f>
        <v/>
      </c>
      <c r="CZ34" s="100">
        <f>FS_Annual!CZ14</f>
        <v/>
      </c>
      <c r="DA34" s="100">
        <f>FS_Annual!DA14</f>
        <v/>
      </c>
      <c r="DB34" s="100">
        <f>FS_Annual!DB14</f>
        <v/>
      </c>
    </row>
    <row r="35">
      <c r="A35" t="inlineStr">
        <is>
          <t>Yr 9 exit — Seller Equity CF</t>
        </is>
      </c>
      <c r="C35" s="100">
        <f>FS_Annual!C15</f>
        <v/>
      </c>
      <c r="D35" s="100">
        <f>FS_Annual!D15</f>
        <v/>
      </c>
      <c r="E35" s="100">
        <f>FS_Annual!E15</f>
        <v/>
      </c>
      <c r="F35" s="100">
        <f>FS_Annual!F15</f>
        <v/>
      </c>
      <c r="G35" s="100">
        <f>FS_Annual!G15</f>
        <v/>
      </c>
      <c r="H35" s="100">
        <f>FS_Annual!H15</f>
        <v/>
      </c>
      <c r="I35" s="100">
        <f>FS_Annual!I15</f>
        <v/>
      </c>
      <c r="J35" s="100">
        <f>FS_Annual!J15</f>
        <v/>
      </c>
      <c r="K35" s="100">
        <f>FS_Annual!K15</f>
        <v/>
      </c>
      <c r="L35" s="100">
        <f>FS_Annual!L15</f>
        <v/>
      </c>
      <c r="M35" s="100">
        <f>FS_Annual!M15</f>
        <v/>
      </c>
      <c r="N35" s="100">
        <f>FS_Annual!N15</f>
        <v/>
      </c>
      <c r="O35" s="100">
        <f>FS_Annual!O15</f>
        <v/>
      </c>
      <c r="P35" s="100">
        <f>FS_Annual!P15</f>
        <v/>
      </c>
      <c r="Q35" s="100">
        <f>FS_Annual!Q15</f>
        <v/>
      </c>
      <c r="R35" s="100">
        <f>FS_Annual!R15</f>
        <v/>
      </c>
      <c r="S35" s="100">
        <f>FS_Annual!S15</f>
        <v/>
      </c>
      <c r="T35" s="100">
        <f>FS_Annual!T15</f>
        <v/>
      </c>
      <c r="U35" s="100">
        <f>FS_Annual!U15</f>
        <v/>
      </c>
      <c r="V35" s="100">
        <f>FS_Annual!V15</f>
        <v/>
      </c>
      <c r="W35" s="100">
        <f>FS_Annual!W15</f>
        <v/>
      </c>
      <c r="X35" s="100">
        <f>FS_Annual!X15</f>
        <v/>
      </c>
      <c r="Y35" s="100">
        <f>FS_Annual!Y15</f>
        <v/>
      </c>
      <c r="Z35" s="100">
        <f>FS_Annual!Z15</f>
        <v/>
      </c>
      <c r="AA35" s="100">
        <f>FS_Annual!AA15</f>
        <v/>
      </c>
      <c r="AB35" s="100">
        <f>FS_Annual!AB15</f>
        <v/>
      </c>
      <c r="AC35" s="100">
        <f>FS_Annual!AC15</f>
        <v/>
      </c>
      <c r="AD35" s="100">
        <f>FS_Annual!AD15</f>
        <v/>
      </c>
      <c r="AE35" s="100">
        <f>FS_Annual!AE15</f>
        <v/>
      </c>
      <c r="AF35" s="100">
        <f>FS_Annual!AF15</f>
        <v/>
      </c>
      <c r="AG35" s="100">
        <f>FS_Annual!AG15</f>
        <v/>
      </c>
      <c r="AH35" s="100">
        <f>FS_Annual!AH15</f>
        <v/>
      </c>
      <c r="AI35" s="100">
        <f>FS_Annual!AI15</f>
        <v/>
      </c>
      <c r="AJ35" s="100">
        <f>FS_Annual!AJ15</f>
        <v/>
      </c>
      <c r="AK35" s="100">
        <f>FS_Annual!AK15</f>
        <v/>
      </c>
      <c r="AL35" s="100">
        <f>FS_Annual!AL15</f>
        <v/>
      </c>
      <c r="AM35" s="100">
        <f>FS_Annual!AM15</f>
        <v/>
      </c>
      <c r="AN35" s="100">
        <f>FS_Annual!AN15</f>
        <v/>
      </c>
      <c r="AO35" s="100">
        <f>FS_Annual!AO15</f>
        <v/>
      </c>
      <c r="AP35" s="100">
        <f>FS_Annual!AP15</f>
        <v/>
      </c>
      <c r="AQ35" s="100">
        <f>FS_Annual!AQ15</f>
        <v/>
      </c>
      <c r="AR35" s="100">
        <f>FS_Annual!AR15</f>
        <v/>
      </c>
      <c r="AS35" s="100">
        <f>FS_Annual!AS15</f>
        <v/>
      </c>
      <c r="AT35" s="100">
        <f>FS_Annual!AT15</f>
        <v/>
      </c>
      <c r="AU35" s="100">
        <f>FS_Annual!AU15</f>
        <v/>
      </c>
      <c r="AV35" s="100">
        <f>FS_Annual!AV15</f>
        <v/>
      </c>
      <c r="AW35" s="100">
        <f>FS_Annual!AW15</f>
        <v/>
      </c>
      <c r="AX35" s="100">
        <f>FS_Annual!AX15</f>
        <v/>
      </c>
      <c r="AY35" s="100">
        <f>FS_Annual!AY15</f>
        <v/>
      </c>
      <c r="AZ35" s="100">
        <f>FS_Annual!AZ15</f>
        <v/>
      </c>
      <c r="BA35" s="100">
        <f>FS_Annual!BA15</f>
        <v/>
      </c>
      <c r="BB35" s="100">
        <f>FS_Annual!BB15</f>
        <v/>
      </c>
      <c r="BC35" s="100">
        <f>FS_Annual!BC15</f>
        <v/>
      </c>
      <c r="BD35" s="100">
        <f>FS_Annual!BD15</f>
        <v/>
      </c>
      <c r="BE35" s="100">
        <f>FS_Annual!BE15</f>
        <v/>
      </c>
      <c r="BF35" s="100">
        <f>FS_Annual!BF15</f>
        <v/>
      </c>
      <c r="BG35" s="100">
        <f>FS_Annual!BG15</f>
        <v/>
      </c>
      <c r="BH35" s="100">
        <f>FS_Annual!BH15</f>
        <v/>
      </c>
      <c r="BI35" s="100">
        <f>FS_Annual!BI15</f>
        <v/>
      </c>
      <c r="BJ35" s="100">
        <f>FS_Annual!BJ15+K8</f>
        <v/>
      </c>
      <c r="BK35" s="100" t="n">
        <v>0</v>
      </c>
      <c r="BL35" s="100" t="n">
        <v>0</v>
      </c>
      <c r="BM35" s="100" t="n">
        <v>0</v>
      </c>
      <c r="BN35" s="100" t="n">
        <v>0</v>
      </c>
      <c r="BO35" s="100" t="n">
        <v>0</v>
      </c>
      <c r="BP35" s="100" t="n">
        <v>0</v>
      </c>
      <c r="BQ35" s="100" t="n">
        <v>0</v>
      </c>
      <c r="BR35" s="100" t="n">
        <v>0</v>
      </c>
      <c r="BS35" s="100" t="n">
        <v>0</v>
      </c>
      <c r="BT35" s="100" t="n">
        <v>0</v>
      </c>
      <c r="BU35" s="100" t="n">
        <v>0</v>
      </c>
      <c r="BV35" s="100" t="n">
        <v>0</v>
      </c>
      <c r="BW35" s="100" t="n">
        <v>0</v>
      </c>
      <c r="BX35" s="100" t="n">
        <v>0</v>
      </c>
      <c r="BY35" s="100" t="n">
        <v>0</v>
      </c>
      <c r="BZ35" s="100" t="n">
        <v>0</v>
      </c>
      <c r="CA35" s="100" t="n">
        <v>0</v>
      </c>
      <c r="CB35" s="100" t="n">
        <v>0</v>
      </c>
      <c r="CC35" s="100" t="n">
        <v>0</v>
      </c>
      <c r="CD35" s="100" t="n">
        <v>0</v>
      </c>
      <c r="CE35" s="100" t="n">
        <v>0</v>
      </c>
      <c r="CF35" s="100" t="n">
        <v>0</v>
      </c>
      <c r="CG35" s="100" t="n">
        <v>0</v>
      </c>
      <c r="CH35" s="100" t="n">
        <v>0</v>
      </c>
      <c r="CI35" s="100" t="n">
        <v>0</v>
      </c>
      <c r="CJ35" s="100" t="n">
        <v>0</v>
      </c>
      <c r="CK35" s="100" t="n">
        <v>0</v>
      </c>
      <c r="CL35" s="100" t="n">
        <v>0</v>
      </c>
      <c r="CM35" s="100" t="n">
        <v>0</v>
      </c>
      <c r="CN35" s="100" t="n">
        <v>0</v>
      </c>
      <c r="CO35" s="100" t="n">
        <v>0</v>
      </c>
      <c r="CP35" s="100" t="n">
        <v>0</v>
      </c>
      <c r="CQ35" s="100" t="n">
        <v>0</v>
      </c>
      <c r="CR35" s="100" t="n">
        <v>0</v>
      </c>
      <c r="CS35" s="100" t="n">
        <v>0</v>
      </c>
      <c r="CT35" s="100" t="n">
        <v>0</v>
      </c>
      <c r="CU35" s="100" t="n">
        <v>0</v>
      </c>
      <c r="CV35" s="100" t="n">
        <v>0</v>
      </c>
      <c r="CW35" s="100" t="n">
        <v>0</v>
      </c>
      <c r="CX35" s="100" t="n">
        <v>0</v>
      </c>
      <c r="CY35" s="100" t="n">
        <v>0</v>
      </c>
      <c r="CZ35" s="100" t="n">
        <v>0</v>
      </c>
      <c r="DA35" s="100" t="n">
        <v>0</v>
      </c>
      <c r="DB35" s="100" t="n">
        <v>0</v>
      </c>
    </row>
    <row r="36">
      <c r="A36" t="inlineStr">
        <is>
          <t>Yr 9 exit — Buyer Project CF</t>
        </is>
      </c>
      <c r="C36" s="100" t="n">
        <v>0</v>
      </c>
      <c r="D36" s="100" t="n">
        <v>0</v>
      </c>
      <c r="E36" s="100" t="n">
        <v>0</v>
      </c>
      <c r="F36" s="100" t="n">
        <v>0</v>
      </c>
      <c r="G36" s="100" t="n">
        <v>0</v>
      </c>
      <c r="H36" s="100" t="n">
        <v>0</v>
      </c>
      <c r="I36" s="100" t="n">
        <v>0</v>
      </c>
      <c r="J36" s="100" t="n">
        <v>0</v>
      </c>
      <c r="K36" s="100" t="n">
        <v>0</v>
      </c>
      <c r="L36" s="100" t="n">
        <v>0</v>
      </c>
      <c r="M36" s="100" t="n">
        <v>0</v>
      </c>
      <c r="N36" s="100" t="n">
        <v>0</v>
      </c>
      <c r="O36" s="100" t="n">
        <v>0</v>
      </c>
      <c r="P36" s="100" t="n">
        <v>0</v>
      </c>
      <c r="Q36" s="100" t="n">
        <v>0</v>
      </c>
      <c r="R36" s="100" t="n">
        <v>0</v>
      </c>
      <c r="S36" s="100" t="n">
        <v>0</v>
      </c>
      <c r="T36" s="100" t="n">
        <v>0</v>
      </c>
      <c r="U36" s="100" t="n">
        <v>0</v>
      </c>
      <c r="V36" s="100" t="n">
        <v>0</v>
      </c>
      <c r="W36" s="100" t="n">
        <v>0</v>
      </c>
      <c r="X36" s="100" t="n">
        <v>0</v>
      </c>
      <c r="Y36" s="100" t="n">
        <v>0</v>
      </c>
      <c r="Z36" s="100" t="n">
        <v>0</v>
      </c>
      <c r="AA36" s="100" t="n">
        <v>0</v>
      </c>
      <c r="AB36" s="100" t="n">
        <v>0</v>
      </c>
      <c r="AC36" s="100" t="n">
        <v>0</v>
      </c>
      <c r="AD36" s="100" t="n">
        <v>0</v>
      </c>
      <c r="AE36" s="100" t="n">
        <v>0</v>
      </c>
      <c r="AF36" s="100" t="n">
        <v>0</v>
      </c>
      <c r="AG36" s="100" t="n">
        <v>0</v>
      </c>
      <c r="AH36" s="100" t="n">
        <v>0</v>
      </c>
      <c r="AI36" s="100" t="n">
        <v>0</v>
      </c>
      <c r="AJ36" s="100" t="n">
        <v>0</v>
      </c>
      <c r="AK36" s="100" t="n">
        <v>0</v>
      </c>
      <c r="AL36" s="100" t="n">
        <v>0</v>
      </c>
      <c r="AM36" s="100" t="n">
        <v>0</v>
      </c>
      <c r="AN36" s="100" t="n">
        <v>0</v>
      </c>
      <c r="AO36" s="100" t="n">
        <v>0</v>
      </c>
      <c r="AP36" s="100" t="n">
        <v>0</v>
      </c>
      <c r="AQ36" s="100" t="n">
        <v>0</v>
      </c>
      <c r="AR36" s="100" t="n">
        <v>0</v>
      </c>
      <c r="AS36" s="100" t="n">
        <v>0</v>
      </c>
      <c r="AT36" s="100" t="n">
        <v>0</v>
      </c>
      <c r="AU36" s="100" t="n">
        <v>0</v>
      </c>
      <c r="AV36" s="100" t="n">
        <v>0</v>
      </c>
      <c r="AW36" s="100" t="n">
        <v>0</v>
      </c>
      <c r="AX36" s="100" t="n">
        <v>0</v>
      </c>
      <c r="AY36" s="100" t="n">
        <v>0</v>
      </c>
      <c r="AZ36" s="100" t="n">
        <v>0</v>
      </c>
      <c r="BA36" s="100" t="n">
        <v>0</v>
      </c>
      <c r="BB36" s="100" t="n">
        <v>0</v>
      </c>
      <c r="BC36" s="100" t="n">
        <v>0</v>
      </c>
      <c r="BD36" s="100" t="n">
        <v>0</v>
      </c>
      <c r="BE36" s="100" t="n">
        <v>0</v>
      </c>
      <c r="BF36" s="100" t="n">
        <v>0</v>
      </c>
      <c r="BG36" s="100" t="n">
        <v>0</v>
      </c>
      <c r="BH36" s="100" t="n">
        <v>0</v>
      </c>
      <c r="BI36" s="100" t="n">
        <v>0</v>
      </c>
      <c r="BJ36" s="100">
        <f>-K10</f>
        <v/>
      </c>
      <c r="BK36" s="100">
        <f>FS_Annual!BK14</f>
        <v/>
      </c>
      <c r="BL36" s="100">
        <f>FS_Annual!BL14</f>
        <v/>
      </c>
      <c r="BM36" s="100">
        <f>FS_Annual!BM14</f>
        <v/>
      </c>
      <c r="BN36" s="100">
        <f>FS_Annual!BN14</f>
        <v/>
      </c>
      <c r="BO36" s="100">
        <f>FS_Annual!BO14</f>
        <v/>
      </c>
      <c r="BP36" s="100">
        <f>FS_Annual!BP14</f>
        <v/>
      </c>
      <c r="BQ36" s="100">
        <f>FS_Annual!BQ14</f>
        <v/>
      </c>
      <c r="BR36" s="100">
        <f>FS_Annual!BR14</f>
        <v/>
      </c>
      <c r="BS36" s="100">
        <f>FS_Annual!BS14</f>
        <v/>
      </c>
      <c r="BT36" s="100">
        <f>FS_Annual!BT14</f>
        <v/>
      </c>
      <c r="BU36" s="100">
        <f>FS_Annual!BU14</f>
        <v/>
      </c>
      <c r="BV36" s="100">
        <f>FS_Annual!BV14</f>
        <v/>
      </c>
      <c r="BW36" s="100">
        <f>FS_Annual!BW14</f>
        <v/>
      </c>
      <c r="BX36" s="100">
        <f>FS_Annual!BX14</f>
        <v/>
      </c>
      <c r="BY36" s="100">
        <f>FS_Annual!BY14</f>
        <v/>
      </c>
      <c r="BZ36" s="100">
        <f>FS_Annual!BZ14</f>
        <v/>
      </c>
      <c r="CA36" s="100">
        <f>FS_Annual!CA14</f>
        <v/>
      </c>
      <c r="CB36" s="100">
        <f>FS_Annual!CB14</f>
        <v/>
      </c>
      <c r="CC36" s="100">
        <f>FS_Annual!CC14</f>
        <v/>
      </c>
      <c r="CD36" s="100">
        <f>FS_Annual!CD14</f>
        <v/>
      </c>
      <c r="CE36" s="100">
        <f>FS_Annual!CE14</f>
        <v/>
      </c>
      <c r="CF36" s="100">
        <f>FS_Annual!CF14</f>
        <v/>
      </c>
      <c r="CG36" s="100">
        <f>FS_Annual!CG14</f>
        <v/>
      </c>
      <c r="CH36" s="100">
        <f>FS_Annual!CH14</f>
        <v/>
      </c>
      <c r="CI36" s="100">
        <f>FS_Annual!CI14</f>
        <v/>
      </c>
      <c r="CJ36" s="100">
        <f>FS_Annual!CJ14</f>
        <v/>
      </c>
      <c r="CK36" s="100">
        <f>FS_Annual!CK14</f>
        <v/>
      </c>
      <c r="CL36" s="100">
        <f>FS_Annual!CL14</f>
        <v/>
      </c>
      <c r="CM36" s="100">
        <f>FS_Annual!CM14</f>
        <v/>
      </c>
      <c r="CN36" s="100">
        <f>FS_Annual!CN14</f>
        <v/>
      </c>
      <c r="CO36" s="100">
        <f>FS_Annual!CO14</f>
        <v/>
      </c>
      <c r="CP36" s="100">
        <f>FS_Annual!CP14</f>
        <v/>
      </c>
      <c r="CQ36" s="100">
        <f>FS_Annual!CQ14</f>
        <v/>
      </c>
      <c r="CR36" s="100">
        <f>FS_Annual!CR14</f>
        <v/>
      </c>
      <c r="CS36" s="100">
        <f>FS_Annual!CS14</f>
        <v/>
      </c>
      <c r="CT36" s="100">
        <f>FS_Annual!CT14</f>
        <v/>
      </c>
      <c r="CU36" s="100">
        <f>FS_Annual!CU14</f>
        <v/>
      </c>
      <c r="CV36" s="100">
        <f>FS_Annual!CV14</f>
        <v/>
      </c>
      <c r="CW36" s="100">
        <f>FS_Annual!CW14</f>
        <v/>
      </c>
      <c r="CX36" s="100">
        <f>FS_Annual!CX14</f>
        <v/>
      </c>
      <c r="CY36" s="100">
        <f>FS_Annual!CY14</f>
        <v/>
      </c>
      <c r="CZ36" s="100">
        <f>FS_Annual!CZ14</f>
        <v/>
      </c>
      <c r="DA36" s="100">
        <f>FS_Annual!DA14</f>
        <v/>
      </c>
      <c r="DB36" s="100">
        <f>FS_Annual!DB14</f>
        <v/>
      </c>
    </row>
    <row r="37">
      <c r="A37" t="inlineStr">
        <is>
          <t>Yr 10 exit — Seller Equity CF</t>
        </is>
      </c>
      <c r="C37" s="100">
        <f>FS_Annual!C15</f>
        <v/>
      </c>
      <c r="D37" s="100">
        <f>FS_Annual!D15</f>
        <v/>
      </c>
      <c r="E37" s="100">
        <f>FS_Annual!E15</f>
        <v/>
      </c>
      <c r="F37" s="100">
        <f>FS_Annual!F15</f>
        <v/>
      </c>
      <c r="G37" s="100">
        <f>FS_Annual!G15</f>
        <v/>
      </c>
      <c r="H37" s="100">
        <f>FS_Annual!H15</f>
        <v/>
      </c>
      <c r="I37" s="100">
        <f>FS_Annual!I15</f>
        <v/>
      </c>
      <c r="J37" s="100">
        <f>FS_Annual!J15</f>
        <v/>
      </c>
      <c r="K37" s="100">
        <f>FS_Annual!K15</f>
        <v/>
      </c>
      <c r="L37" s="100">
        <f>FS_Annual!L15</f>
        <v/>
      </c>
      <c r="M37" s="100">
        <f>FS_Annual!M15</f>
        <v/>
      </c>
      <c r="N37" s="100">
        <f>FS_Annual!N15</f>
        <v/>
      </c>
      <c r="O37" s="100">
        <f>FS_Annual!O15</f>
        <v/>
      </c>
      <c r="P37" s="100">
        <f>FS_Annual!P15</f>
        <v/>
      </c>
      <c r="Q37" s="100">
        <f>FS_Annual!Q15</f>
        <v/>
      </c>
      <c r="R37" s="100">
        <f>FS_Annual!R15</f>
        <v/>
      </c>
      <c r="S37" s="100">
        <f>FS_Annual!S15</f>
        <v/>
      </c>
      <c r="T37" s="100">
        <f>FS_Annual!T15</f>
        <v/>
      </c>
      <c r="U37" s="100">
        <f>FS_Annual!U15</f>
        <v/>
      </c>
      <c r="V37" s="100">
        <f>FS_Annual!V15</f>
        <v/>
      </c>
      <c r="W37" s="100">
        <f>FS_Annual!W15</f>
        <v/>
      </c>
      <c r="X37" s="100">
        <f>FS_Annual!X15</f>
        <v/>
      </c>
      <c r="Y37" s="100">
        <f>FS_Annual!Y15</f>
        <v/>
      </c>
      <c r="Z37" s="100">
        <f>FS_Annual!Z15</f>
        <v/>
      </c>
      <c r="AA37" s="100">
        <f>FS_Annual!AA15</f>
        <v/>
      </c>
      <c r="AB37" s="100">
        <f>FS_Annual!AB15</f>
        <v/>
      </c>
      <c r="AC37" s="100">
        <f>FS_Annual!AC15</f>
        <v/>
      </c>
      <c r="AD37" s="100">
        <f>FS_Annual!AD15</f>
        <v/>
      </c>
      <c r="AE37" s="100">
        <f>FS_Annual!AE15</f>
        <v/>
      </c>
      <c r="AF37" s="100">
        <f>FS_Annual!AF15</f>
        <v/>
      </c>
      <c r="AG37" s="100">
        <f>FS_Annual!AG15</f>
        <v/>
      </c>
      <c r="AH37" s="100">
        <f>FS_Annual!AH15</f>
        <v/>
      </c>
      <c r="AI37" s="100">
        <f>FS_Annual!AI15</f>
        <v/>
      </c>
      <c r="AJ37" s="100">
        <f>FS_Annual!AJ15</f>
        <v/>
      </c>
      <c r="AK37" s="100">
        <f>FS_Annual!AK15</f>
        <v/>
      </c>
      <c r="AL37" s="100">
        <f>FS_Annual!AL15</f>
        <v/>
      </c>
      <c r="AM37" s="100">
        <f>FS_Annual!AM15</f>
        <v/>
      </c>
      <c r="AN37" s="100">
        <f>FS_Annual!AN15</f>
        <v/>
      </c>
      <c r="AO37" s="100">
        <f>FS_Annual!AO15</f>
        <v/>
      </c>
      <c r="AP37" s="100">
        <f>FS_Annual!AP15</f>
        <v/>
      </c>
      <c r="AQ37" s="100">
        <f>FS_Annual!AQ15</f>
        <v/>
      </c>
      <c r="AR37" s="100">
        <f>FS_Annual!AR15</f>
        <v/>
      </c>
      <c r="AS37" s="100">
        <f>FS_Annual!AS15</f>
        <v/>
      </c>
      <c r="AT37" s="100">
        <f>FS_Annual!AT15</f>
        <v/>
      </c>
      <c r="AU37" s="100">
        <f>FS_Annual!AU15</f>
        <v/>
      </c>
      <c r="AV37" s="100">
        <f>FS_Annual!AV15</f>
        <v/>
      </c>
      <c r="AW37" s="100">
        <f>FS_Annual!AW15</f>
        <v/>
      </c>
      <c r="AX37" s="100">
        <f>FS_Annual!AX15</f>
        <v/>
      </c>
      <c r="AY37" s="100">
        <f>FS_Annual!AY15</f>
        <v/>
      </c>
      <c r="AZ37" s="100">
        <f>FS_Annual!AZ15</f>
        <v/>
      </c>
      <c r="BA37" s="100">
        <f>FS_Annual!BA15</f>
        <v/>
      </c>
      <c r="BB37" s="100">
        <f>FS_Annual!BB15</f>
        <v/>
      </c>
      <c r="BC37" s="100">
        <f>FS_Annual!BC15</f>
        <v/>
      </c>
      <c r="BD37" s="100">
        <f>FS_Annual!BD15</f>
        <v/>
      </c>
      <c r="BE37" s="100">
        <f>FS_Annual!BE15</f>
        <v/>
      </c>
      <c r="BF37" s="100">
        <f>FS_Annual!BF15</f>
        <v/>
      </c>
      <c r="BG37" s="100">
        <f>FS_Annual!BG15</f>
        <v/>
      </c>
      <c r="BH37" s="100">
        <f>FS_Annual!BH15</f>
        <v/>
      </c>
      <c r="BI37" s="100">
        <f>FS_Annual!BI15</f>
        <v/>
      </c>
      <c r="BJ37" s="100">
        <f>FS_Annual!BJ15</f>
        <v/>
      </c>
      <c r="BK37" s="100">
        <f>FS_Annual!BK15</f>
        <v/>
      </c>
      <c r="BL37" s="100">
        <f>FS_Annual!BL15</f>
        <v/>
      </c>
      <c r="BM37" s="100">
        <f>FS_Annual!BM15</f>
        <v/>
      </c>
      <c r="BN37" s="100">
        <f>FS_Annual!BN15+L8</f>
        <v/>
      </c>
      <c r="BO37" s="100" t="n">
        <v>0</v>
      </c>
      <c r="BP37" s="100" t="n">
        <v>0</v>
      </c>
      <c r="BQ37" s="100" t="n">
        <v>0</v>
      </c>
      <c r="BR37" s="100" t="n">
        <v>0</v>
      </c>
      <c r="BS37" s="100" t="n">
        <v>0</v>
      </c>
      <c r="BT37" s="100" t="n">
        <v>0</v>
      </c>
      <c r="BU37" s="100" t="n">
        <v>0</v>
      </c>
      <c r="BV37" s="100" t="n">
        <v>0</v>
      </c>
      <c r="BW37" s="100" t="n">
        <v>0</v>
      </c>
      <c r="BX37" s="100" t="n">
        <v>0</v>
      </c>
      <c r="BY37" s="100" t="n">
        <v>0</v>
      </c>
      <c r="BZ37" s="100" t="n">
        <v>0</v>
      </c>
      <c r="CA37" s="100" t="n">
        <v>0</v>
      </c>
      <c r="CB37" s="100" t="n">
        <v>0</v>
      </c>
      <c r="CC37" s="100" t="n">
        <v>0</v>
      </c>
      <c r="CD37" s="100" t="n">
        <v>0</v>
      </c>
      <c r="CE37" s="100" t="n">
        <v>0</v>
      </c>
      <c r="CF37" s="100" t="n">
        <v>0</v>
      </c>
      <c r="CG37" s="100" t="n">
        <v>0</v>
      </c>
      <c r="CH37" s="100" t="n">
        <v>0</v>
      </c>
      <c r="CI37" s="100" t="n">
        <v>0</v>
      </c>
      <c r="CJ37" s="100" t="n">
        <v>0</v>
      </c>
      <c r="CK37" s="100" t="n">
        <v>0</v>
      </c>
      <c r="CL37" s="100" t="n">
        <v>0</v>
      </c>
      <c r="CM37" s="100" t="n">
        <v>0</v>
      </c>
      <c r="CN37" s="100" t="n">
        <v>0</v>
      </c>
      <c r="CO37" s="100" t="n">
        <v>0</v>
      </c>
      <c r="CP37" s="100" t="n">
        <v>0</v>
      </c>
      <c r="CQ37" s="100" t="n">
        <v>0</v>
      </c>
      <c r="CR37" s="100" t="n">
        <v>0</v>
      </c>
      <c r="CS37" s="100" t="n">
        <v>0</v>
      </c>
      <c r="CT37" s="100" t="n">
        <v>0</v>
      </c>
      <c r="CU37" s="100" t="n">
        <v>0</v>
      </c>
      <c r="CV37" s="100" t="n">
        <v>0</v>
      </c>
      <c r="CW37" s="100" t="n">
        <v>0</v>
      </c>
      <c r="CX37" s="100" t="n">
        <v>0</v>
      </c>
      <c r="CY37" s="100" t="n">
        <v>0</v>
      </c>
      <c r="CZ37" s="100" t="n">
        <v>0</v>
      </c>
      <c r="DA37" s="100" t="n">
        <v>0</v>
      </c>
      <c r="DB37" s="100" t="n">
        <v>0</v>
      </c>
    </row>
    <row r="38">
      <c r="A38" t="inlineStr">
        <is>
          <t>Yr 10 exit — Buyer Project CF</t>
        </is>
      </c>
      <c r="C38" s="100" t="n">
        <v>0</v>
      </c>
      <c r="D38" s="100" t="n">
        <v>0</v>
      </c>
      <c r="E38" s="100" t="n">
        <v>0</v>
      </c>
      <c r="F38" s="100" t="n">
        <v>0</v>
      </c>
      <c r="G38" s="100" t="n">
        <v>0</v>
      </c>
      <c r="H38" s="100" t="n">
        <v>0</v>
      </c>
      <c r="I38" s="100" t="n">
        <v>0</v>
      </c>
      <c r="J38" s="100" t="n">
        <v>0</v>
      </c>
      <c r="K38" s="100" t="n">
        <v>0</v>
      </c>
      <c r="L38" s="100" t="n">
        <v>0</v>
      </c>
      <c r="M38" s="100" t="n">
        <v>0</v>
      </c>
      <c r="N38" s="100" t="n">
        <v>0</v>
      </c>
      <c r="O38" s="100" t="n">
        <v>0</v>
      </c>
      <c r="P38" s="100" t="n">
        <v>0</v>
      </c>
      <c r="Q38" s="100" t="n">
        <v>0</v>
      </c>
      <c r="R38" s="100" t="n">
        <v>0</v>
      </c>
      <c r="S38" s="100" t="n">
        <v>0</v>
      </c>
      <c r="T38" s="100" t="n">
        <v>0</v>
      </c>
      <c r="U38" s="100" t="n">
        <v>0</v>
      </c>
      <c r="V38" s="100" t="n">
        <v>0</v>
      </c>
      <c r="W38" s="100" t="n">
        <v>0</v>
      </c>
      <c r="X38" s="100" t="n">
        <v>0</v>
      </c>
      <c r="Y38" s="100" t="n">
        <v>0</v>
      </c>
      <c r="Z38" s="100" t="n">
        <v>0</v>
      </c>
      <c r="AA38" s="100" t="n">
        <v>0</v>
      </c>
      <c r="AB38" s="100" t="n">
        <v>0</v>
      </c>
      <c r="AC38" s="100" t="n">
        <v>0</v>
      </c>
      <c r="AD38" s="100" t="n">
        <v>0</v>
      </c>
      <c r="AE38" s="100" t="n">
        <v>0</v>
      </c>
      <c r="AF38" s="100" t="n">
        <v>0</v>
      </c>
      <c r="AG38" s="100" t="n">
        <v>0</v>
      </c>
      <c r="AH38" s="100" t="n">
        <v>0</v>
      </c>
      <c r="AI38" s="100" t="n">
        <v>0</v>
      </c>
      <c r="AJ38" s="100" t="n">
        <v>0</v>
      </c>
      <c r="AK38" s="100" t="n">
        <v>0</v>
      </c>
      <c r="AL38" s="100" t="n">
        <v>0</v>
      </c>
      <c r="AM38" s="100" t="n">
        <v>0</v>
      </c>
      <c r="AN38" s="100" t="n">
        <v>0</v>
      </c>
      <c r="AO38" s="100" t="n">
        <v>0</v>
      </c>
      <c r="AP38" s="100" t="n">
        <v>0</v>
      </c>
      <c r="AQ38" s="100" t="n">
        <v>0</v>
      </c>
      <c r="AR38" s="100" t="n">
        <v>0</v>
      </c>
      <c r="AS38" s="100" t="n">
        <v>0</v>
      </c>
      <c r="AT38" s="100" t="n">
        <v>0</v>
      </c>
      <c r="AU38" s="100" t="n">
        <v>0</v>
      </c>
      <c r="AV38" s="100" t="n">
        <v>0</v>
      </c>
      <c r="AW38" s="100" t="n">
        <v>0</v>
      </c>
      <c r="AX38" s="100" t="n">
        <v>0</v>
      </c>
      <c r="AY38" s="100" t="n">
        <v>0</v>
      </c>
      <c r="AZ38" s="100" t="n">
        <v>0</v>
      </c>
      <c r="BA38" s="100" t="n">
        <v>0</v>
      </c>
      <c r="BB38" s="100" t="n">
        <v>0</v>
      </c>
      <c r="BC38" s="100" t="n">
        <v>0</v>
      </c>
      <c r="BD38" s="100" t="n">
        <v>0</v>
      </c>
      <c r="BE38" s="100" t="n">
        <v>0</v>
      </c>
      <c r="BF38" s="100" t="n">
        <v>0</v>
      </c>
      <c r="BG38" s="100" t="n">
        <v>0</v>
      </c>
      <c r="BH38" s="100" t="n">
        <v>0</v>
      </c>
      <c r="BI38" s="100" t="n">
        <v>0</v>
      </c>
      <c r="BJ38" s="100" t="n">
        <v>0</v>
      </c>
      <c r="BK38" s="100" t="n">
        <v>0</v>
      </c>
      <c r="BL38" s="100" t="n">
        <v>0</v>
      </c>
      <c r="BM38" s="100" t="n">
        <v>0</v>
      </c>
      <c r="BN38" s="100">
        <f>-L10</f>
        <v/>
      </c>
      <c r="BO38" s="100">
        <f>FS_Annual!BO14</f>
        <v/>
      </c>
      <c r="BP38" s="100">
        <f>FS_Annual!BP14</f>
        <v/>
      </c>
      <c r="BQ38" s="100">
        <f>FS_Annual!BQ14</f>
        <v/>
      </c>
      <c r="BR38" s="100">
        <f>FS_Annual!BR14</f>
        <v/>
      </c>
      <c r="BS38" s="100">
        <f>FS_Annual!BS14</f>
        <v/>
      </c>
      <c r="BT38" s="100">
        <f>FS_Annual!BT14</f>
        <v/>
      </c>
      <c r="BU38" s="100">
        <f>FS_Annual!BU14</f>
        <v/>
      </c>
      <c r="BV38" s="100">
        <f>FS_Annual!BV14</f>
        <v/>
      </c>
      <c r="BW38" s="100">
        <f>FS_Annual!BW14</f>
        <v/>
      </c>
      <c r="BX38" s="100">
        <f>FS_Annual!BX14</f>
        <v/>
      </c>
      <c r="BY38" s="100">
        <f>FS_Annual!BY14</f>
        <v/>
      </c>
      <c r="BZ38" s="100">
        <f>FS_Annual!BZ14</f>
        <v/>
      </c>
      <c r="CA38" s="100">
        <f>FS_Annual!CA14</f>
        <v/>
      </c>
      <c r="CB38" s="100">
        <f>FS_Annual!CB14</f>
        <v/>
      </c>
      <c r="CC38" s="100">
        <f>FS_Annual!CC14</f>
        <v/>
      </c>
      <c r="CD38" s="100">
        <f>FS_Annual!CD14</f>
        <v/>
      </c>
      <c r="CE38" s="100">
        <f>FS_Annual!CE14</f>
        <v/>
      </c>
      <c r="CF38" s="100">
        <f>FS_Annual!CF14</f>
        <v/>
      </c>
      <c r="CG38" s="100">
        <f>FS_Annual!CG14</f>
        <v/>
      </c>
      <c r="CH38" s="100">
        <f>FS_Annual!CH14</f>
        <v/>
      </c>
      <c r="CI38" s="100">
        <f>FS_Annual!CI14</f>
        <v/>
      </c>
      <c r="CJ38" s="100">
        <f>FS_Annual!CJ14</f>
        <v/>
      </c>
      <c r="CK38" s="100">
        <f>FS_Annual!CK14</f>
        <v/>
      </c>
      <c r="CL38" s="100">
        <f>FS_Annual!CL14</f>
        <v/>
      </c>
      <c r="CM38" s="100">
        <f>FS_Annual!CM14</f>
        <v/>
      </c>
      <c r="CN38" s="100">
        <f>FS_Annual!CN14</f>
        <v/>
      </c>
      <c r="CO38" s="100">
        <f>FS_Annual!CO14</f>
        <v/>
      </c>
      <c r="CP38" s="100">
        <f>FS_Annual!CP14</f>
        <v/>
      </c>
      <c r="CQ38" s="100">
        <f>FS_Annual!CQ14</f>
        <v/>
      </c>
      <c r="CR38" s="100">
        <f>FS_Annual!CR14</f>
        <v/>
      </c>
      <c r="CS38" s="100">
        <f>FS_Annual!CS14</f>
        <v/>
      </c>
      <c r="CT38" s="100">
        <f>FS_Annual!CT14</f>
        <v/>
      </c>
      <c r="CU38" s="100">
        <f>FS_Annual!CU14</f>
        <v/>
      </c>
      <c r="CV38" s="100">
        <f>FS_Annual!CV14</f>
        <v/>
      </c>
      <c r="CW38" s="100">
        <f>FS_Annual!CW14</f>
        <v/>
      </c>
      <c r="CX38" s="100">
        <f>FS_Annual!CX14</f>
        <v/>
      </c>
      <c r="CY38" s="100">
        <f>FS_Annual!CY14</f>
        <v/>
      </c>
      <c r="CZ38" s="100">
        <f>FS_Annual!CZ14</f>
        <v/>
      </c>
      <c r="DA38" s="100">
        <f>FS_Annual!DA14</f>
        <v/>
      </c>
      <c r="DB38" s="100">
        <f>FS_Annual!DB14</f>
        <v/>
      </c>
    </row>
    <row r="39">
      <c r="A39" t="inlineStr">
        <is>
          <t>Yr 11 exit — Seller Equity CF</t>
        </is>
      </c>
      <c r="C39" s="100">
        <f>FS_Annual!C15</f>
        <v/>
      </c>
      <c r="D39" s="100">
        <f>FS_Annual!D15</f>
        <v/>
      </c>
      <c r="E39" s="100">
        <f>FS_Annual!E15</f>
        <v/>
      </c>
      <c r="F39" s="100">
        <f>FS_Annual!F15</f>
        <v/>
      </c>
      <c r="G39" s="100">
        <f>FS_Annual!G15</f>
        <v/>
      </c>
      <c r="H39" s="100">
        <f>FS_Annual!H15</f>
        <v/>
      </c>
      <c r="I39" s="100">
        <f>FS_Annual!I15</f>
        <v/>
      </c>
      <c r="J39" s="100">
        <f>FS_Annual!J15</f>
        <v/>
      </c>
      <c r="K39" s="100">
        <f>FS_Annual!K15</f>
        <v/>
      </c>
      <c r="L39" s="100">
        <f>FS_Annual!L15</f>
        <v/>
      </c>
      <c r="M39" s="100">
        <f>FS_Annual!M15</f>
        <v/>
      </c>
      <c r="N39" s="100">
        <f>FS_Annual!N15</f>
        <v/>
      </c>
      <c r="O39" s="100">
        <f>FS_Annual!O15</f>
        <v/>
      </c>
      <c r="P39" s="100">
        <f>FS_Annual!P15</f>
        <v/>
      </c>
      <c r="Q39" s="100">
        <f>FS_Annual!Q15</f>
        <v/>
      </c>
      <c r="R39" s="100">
        <f>FS_Annual!R15</f>
        <v/>
      </c>
      <c r="S39" s="100">
        <f>FS_Annual!S15</f>
        <v/>
      </c>
      <c r="T39" s="100">
        <f>FS_Annual!T15</f>
        <v/>
      </c>
      <c r="U39" s="100">
        <f>FS_Annual!U15</f>
        <v/>
      </c>
      <c r="V39" s="100">
        <f>FS_Annual!V15</f>
        <v/>
      </c>
      <c r="W39" s="100">
        <f>FS_Annual!W15</f>
        <v/>
      </c>
      <c r="X39" s="100">
        <f>FS_Annual!X15</f>
        <v/>
      </c>
      <c r="Y39" s="100">
        <f>FS_Annual!Y15</f>
        <v/>
      </c>
      <c r="Z39" s="100">
        <f>FS_Annual!Z15</f>
        <v/>
      </c>
      <c r="AA39" s="100">
        <f>FS_Annual!AA15</f>
        <v/>
      </c>
      <c r="AB39" s="100">
        <f>FS_Annual!AB15</f>
        <v/>
      </c>
      <c r="AC39" s="100">
        <f>FS_Annual!AC15</f>
        <v/>
      </c>
      <c r="AD39" s="100">
        <f>FS_Annual!AD15</f>
        <v/>
      </c>
      <c r="AE39" s="100">
        <f>FS_Annual!AE15</f>
        <v/>
      </c>
      <c r="AF39" s="100">
        <f>FS_Annual!AF15</f>
        <v/>
      </c>
      <c r="AG39" s="100">
        <f>FS_Annual!AG15</f>
        <v/>
      </c>
      <c r="AH39" s="100">
        <f>FS_Annual!AH15</f>
        <v/>
      </c>
      <c r="AI39" s="100">
        <f>FS_Annual!AI15</f>
        <v/>
      </c>
      <c r="AJ39" s="100">
        <f>FS_Annual!AJ15</f>
        <v/>
      </c>
      <c r="AK39" s="100">
        <f>FS_Annual!AK15</f>
        <v/>
      </c>
      <c r="AL39" s="100">
        <f>FS_Annual!AL15</f>
        <v/>
      </c>
      <c r="AM39" s="100">
        <f>FS_Annual!AM15</f>
        <v/>
      </c>
      <c r="AN39" s="100">
        <f>FS_Annual!AN15</f>
        <v/>
      </c>
      <c r="AO39" s="100">
        <f>FS_Annual!AO15</f>
        <v/>
      </c>
      <c r="AP39" s="100">
        <f>FS_Annual!AP15</f>
        <v/>
      </c>
      <c r="AQ39" s="100">
        <f>FS_Annual!AQ15</f>
        <v/>
      </c>
      <c r="AR39" s="100">
        <f>FS_Annual!AR15</f>
        <v/>
      </c>
      <c r="AS39" s="100">
        <f>FS_Annual!AS15</f>
        <v/>
      </c>
      <c r="AT39" s="100">
        <f>FS_Annual!AT15</f>
        <v/>
      </c>
      <c r="AU39" s="100">
        <f>FS_Annual!AU15</f>
        <v/>
      </c>
      <c r="AV39" s="100">
        <f>FS_Annual!AV15</f>
        <v/>
      </c>
      <c r="AW39" s="100">
        <f>FS_Annual!AW15</f>
        <v/>
      </c>
      <c r="AX39" s="100">
        <f>FS_Annual!AX15</f>
        <v/>
      </c>
      <c r="AY39" s="100">
        <f>FS_Annual!AY15</f>
        <v/>
      </c>
      <c r="AZ39" s="100">
        <f>FS_Annual!AZ15</f>
        <v/>
      </c>
      <c r="BA39" s="100">
        <f>FS_Annual!BA15</f>
        <v/>
      </c>
      <c r="BB39" s="100">
        <f>FS_Annual!BB15</f>
        <v/>
      </c>
      <c r="BC39" s="100">
        <f>FS_Annual!BC15</f>
        <v/>
      </c>
      <c r="BD39" s="100">
        <f>FS_Annual!BD15</f>
        <v/>
      </c>
      <c r="BE39" s="100">
        <f>FS_Annual!BE15</f>
        <v/>
      </c>
      <c r="BF39" s="100">
        <f>FS_Annual!BF15</f>
        <v/>
      </c>
      <c r="BG39" s="100">
        <f>FS_Annual!BG15</f>
        <v/>
      </c>
      <c r="BH39" s="100">
        <f>FS_Annual!BH15</f>
        <v/>
      </c>
      <c r="BI39" s="100">
        <f>FS_Annual!BI15</f>
        <v/>
      </c>
      <c r="BJ39" s="100">
        <f>FS_Annual!BJ15</f>
        <v/>
      </c>
      <c r="BK39" s="100">
        <f>FS_Annual!BK15</f>
        <v/>
      </c>
      <c r="BL39" s="100">
        <f>FS_Annual!BL15</f>
        <v/>
      </c>
      <c r="BM39" s="100">
        <f>FS_Annual!BM15</f>
        <v/>
      </c>
      <c r="BN39" s="100">
        <f>FS_Annual!BN15</f>
        <v/>
      </c>
      <c r="BO39" s="100">
        <f>FS_Annual!BO15</f>
        <v/>
      </c>
      <c r="BP39" s="100">
        <f>FS_Annual!BP15</f>
        <v/>
      </c>
      <c r="BQ39" s="100">
        <f>FS_Annual!BQ15</f>
        <v/>
      </c>
      <c r="BR39" s="100">
        <f>FS_Annual!BR15+M8</f>
        <v/>
      </c>
      <c r="BS39" s="100" t="n">
        <v>0</v>
      </c>
      <c r="BT39" s="100" t="n">
        <v>0</v>
      </c>
      <c r="BU39" s="100" t="n">
        <v>0</v>
      </c>
      <c r="BV39" s="100" t="n">
        <v>0</v>
      </c>
      <c r="BW39" s="100" t="n">
        <v>0</v>
      </c>
      <c r="BX39" s="100" t="n">
        <v>0</v>
      </c>
      <c r="BY39" s="100" t="n">
        <v>0</v>
      </c>
      <c r="BZ39" s="100" t="n">
        <v>0</v>
      </c>
      <c r="CA39" s="100" t="n">
        <v>0</v>
      </c>
      <c r="CB39" s="100" t="n">
        <v>0</v>
      </c>
      <c r="CC39" s="100" t="n">
        <v>0</v>
      </c>
      <c r="CD39" s="100" t="n">
        <v>0</v>
      </c>
      <c r="CE39" s="100" t="n">
        <v>0</v>
      </c>
      <c r="CF39" s="100" t="n">
        <v>0</v>
      </c>
      <c r="CG39" s="100" t="n">
        <v>0</v>
      </c>
      <c r="CH39" s="100" t="n">
        <v>0</v>
      </c>
      <c r="CI39" s="100" t="n">
        <v>0</v>
      </c>
      <c r="CJ39" s="100" t="n">
        <v>0</v>
      </c>
      <c r="CK39" s="100" t="n">
        <v>0</v>
      </c>
      <c r="CL39" s="100" t="n">
        <v>0</v>
      </c>
      <c r="CM39" s="100" t="n">
        <v>0</v>
      </c>
      <c r="CN39" s="100" t="n">
        <v>0</v>
      </c>
      <c r="CO39" s="100" t="n">
        <v>0</v>
      </c>
      <c r="CP39" s="100" t="n">
        <v>0</v>
      </c>
      <c r="CQ39" s="100" t="n">
        <v>0</v>
      </c>
      <c r="CR39" s="100" t="n">
        <v>0</v>
      </c>
      <c r="CS39" s="100" t="n">
        <v>0</v>
      </c>
      <c r="CT39" s="100" t="n">
        <v>0</v>
      </c>
      <c r="CU39" s="100" t="n">
        <v>0</v>
      </c>
      <c r="CV39" s="100" t="n">
        <v>0</v>
      </c>
      <c r="CW39" s="100" t="n">
        <v>0</v>
      </c>
      <c r="CX39" s="100" t="n">
        <v>0</v>
      </c>
      <c r="CY39" s="100" t="n">
        <v>0</v>
      </c>
      <c r="CZ39" s="100" t="n">
        <v>0</v>
      </c>
      <c r="DA39" s="100" t="n">
        <v>0</v>
      </c>
      <c r="DB39" s="100" t="n">
        <v>0</v>
      </c>
    </row>
    <row r="40">
      <c r="A40" t="inlineStr">
        <is>
          <t>Yr 11 exit — Buyer Project CF</t>
        </is>
      </c>
      <c r="C40" s="100" t="n">
        <v>0</v>
      </c>
      <c r="D40" s="100" t="n">
        <v>0</v>
      </c>
      <c r="E40" s="100" t="n">
        <v>0</v>
      </c>
      <c r="F40" s="100" t="n">
        <v>0</v>
      </c>
      <c r="G40" s="100" t="n">
        <v>0</v>
      </c>
      <c r="H40" s="100" t="n">
        <v>0</v>
      </c>
      <c r="I40" s="100" t="n">
        <v>0</v>
      </c>
      <c r="J40" s="100" t="n">
        <v>0</v>
      </c>
      <c r="K40" s="100" t="n">
        <v>0</v>
      </c>
      <c r="L40" s="100" t="n">
        <v>0</v>
      </c>
      <c r="M40" s="100" t="n">
        <v>0</v>
      </c>
      <c r="N40" s="100" t="n">
        <v>0</v>
      </c>
      <c r="O40" s="100" t="n">
        <v>0</v>
      </c>
      <c r="P40" s="100" t="n">
        <v>0</v>
      </c>
      <c r="Q40" s="100" t="n">
        <v>0</v>
      </c>
      <c r="R40" s="100" t="n">
        <v>0</v>
      </c>
      <c r="S40" s="100" t="n">
        <v>0</v>
      </c>
      <c r="T40" s="100" t="n">
        <v>0</v>
      </c>
      <c r="U40" s="100" t="n">
        <v>0</v>
      </c>
      <c r="V40" s="100" t="n">
        <v>0</v>
      </c>
      <c r="W40" s="100" t="n">
        <v>0</v>
      </c>
      <c r="X40" s="100" t="n">
        <v>0</v>
      </c>
      <c r="Y40" s="100" t="n">
        <v>0</v>
      </c>
      <c r="Z40" s="100" t="n">
        <v>0</v>
      </c>
      <c r="AA40" s="100" t="n">
        <v>0</v>
      </c>
      <c r="AB40" s="100" t="n">
        <v>0</v>
      </c>
      <c r="AC40" s="100" t="n">
        <v>0</v>
      </c>
      <c r="AD40" s="100" t="n">
        <v>0</v>
      </c>
      <c r="AE40" s="100" t="n">
        <v>0</v>
      </c>
      <c r="AF40" s="100" t="n">
        <v>0</v>
      </c>
      <c r="AG40" s="100" t="n">
        <v>0</v>
      </c>
      <c r="AH40" s="100" t="n">
        <v>0</v>
      </c>
      <c r="AI40" s="100" t="n">
        <v>0</v>
      </c>
      <c r="AJ40" s="100" t="n">
        <v>0</v>
      </c>
      <c r="AK40" s="100" t="n">
        <v>0</v>
      </c>
      <c r="AL40" s="100" t="n">
        <v>0</v>
      </c>
      <c r="AM40" s="100" t="n">
        <v>0</v>
      </c>
      <c r="AN40" s="100" t="n">
        <v>0</v>
      </c>
      <c r="AO40" s="100" t="n">
        <v>0</v>
      </c>
      <c r="AP40" s="100" t="n">
        <v>0</v>
      </c>
      <c r="AQ40" s="100" t="n">
        <v>0</v>
      </c>
      <c r="AR40" s="100" t="n">
        <v>0</v>
      </c>
      <c r="AS40" s="100" t="n">
        <v>0</v>
      </c>
      <c r="AT40" s="100" t="n">
        <v>0</v>
      </c>
      <c r="AU40" s="100" t="n">
        <v>0</v>
      </c>
      <c r="AV40" s="100" t="n">
        <v>0</v>
      </c>
      <c r="AW40" s="100" t="n">
        <v>0</v>
      </c>
      <c r="AX40" s="100" t="n">
        <v>0</v>
      </c>
      <c r="AY40" s="100" t="n">
        <v>0</v>
      </c>
      <c r="AZ40" s="100" t="n">
        <v>0</v>
      </c>
      <c r="BA40" s="100" t="n">
        <v>0</v>
      </c>
      <c r="BB40" s="100" t="n">
        <v>0</v>
      </c>
      <c r="BC40" s="100" t="n">
        <v>0</v>
      </c>
      <c r="BD40" s="100" t="n">
        <v>0</v>
      </c>
      <c r="BE40" s="100" t="n">
        <v>0</v>
      </c>
      <c r="BF40" s="100" t="n">
        <v>0</v>
      </c>
      <c r="BG40" s="100" t="n">
        <v>0</v>
      </c>
      <c r="BH40" s="100" t="n">
        <v>0</v>
      </c>
      <c r="BI40" s="100" t="n">
        <v>0</v>
      </c>
      <c r="BJ40" s="100" t="n">
        <v>0</v>
      </c>
      <c r="BK40" s="100" t="n">
        <v>0</v>
      </c>
      <c r="BL40" s="100" t="n">
        <v>0</v>
      </c>
      <c r="BM40" s="100" t="n">
        <v>0</v>
      </c>
      <c r="BN40" s="100" t="n">
        <v>0</v>
      </c>
      <c r="BO40" s="100" t="n">
        <v>0</v>
      </c>
      <c r="BP40" s="100" t="n">
        <v>0</v>
      </c>
      <c r="BQ40" s="100" t="n">
        <v>0</v>
      </c>
      <c r="BR40" s="100">
        <f>-M10</f>
        <v/>
      </c>
      <c r="BS40" s="100">
        <f>FS_Annual!BS14</f>
        <v/>
      </c>
      <c r="BT40" s="100">
        <f>FS_Annual!BT14</f>
        <v/>
      </c>
      <c r="BU40" s="100">
        <f>FS_Annual!BU14</f>
        <v/>
      </c>
      <c r="BV40" s="100">
        <f>FS_Annual!BV14</f>
        <v/>
      </c>
      <c r="BW40" s="100">
        <f>FS_Annual!BW14</f>
        <v/>
      </c>
      <c r="BX40" s="100">
        <f>FS_Annual!BX14</f>
        <v/>
      </c>
      <c r="BY40" s="100">
        <f>FS_Annual!BY14</f>
        <v/>
      </c>
      <c r="BZ40" s="100">
        <f>FS_Annual!BZ14</f>
        <v/>
      </c>
      <c r="CA40" s="100">
        <f>FS_Annual!CA14</f>
        <v/>
      </c>
      <c r="CB40" s="100">
        <f>FS_Annual!CB14</f>
        <v/>
      </c>
      <c r="CC40" s="100">
        <f>FS_Annual!CC14</f>
        <v/>
      </c>
      <c r="CD40" s="100">
        <f>FS_Annual!CD14</f>
        <v/>
      </c>
      <c r="CE40" s="100">
        <f>FS_Annual!CE14</f>
        <v/>
      </c>
      <c r="CF40" s="100">
        <f>FS_Annual!CF14</f>
        <v/>
      </c>
      <c r="CG40" s="100">
        <f>FS_Annual!CG14</f>
        <v/>
      </c>
      <c r="CH40" s="100">
        <f>FS_Annual!CH14</f>
        <v/>
      </c>
      <c r="CI40" s="100">
        <f>FS_Annual!CI14</f>
        <v/>
      </c>
      <c r="CJ40" s="100">
        <f>FS_Annual!CJ14</f>
        <v/>
      </c>
      <c r="CK40" s="100">
        <f>FS_Annual!CK14</f>
        <v/>
      </c>
      <c r="CL40" s="100">
        <f>FS_Annual!CL14</f>
        <v/>
      </c>
      <c r="CM40" s="100">
        <f>FS_Annual!CM14</f>
        <v/>
      </c>
      <c r="CN40" s="100">
        <f>FS_Annual!CN14</f>
        <v/>
      </c>
      <c r="CO40" s="100">
        <f>FS_Annual!CO14</f>
        <v/>
      </c>
      <c r="CP40" s="100">
        <f>FS_Annual!CP14</f>
        <v/>
      </c>
      <c r="CQ40" s="100">
        <f>FS_Annual!CQ14</f>
        <v/>
      </c>
      <c r="CR40" s="100">
        <f>FS_Annual!CR14</f>
        <v/>
      </c>
      <c r="CS40" s="100">
        <f>FS_Annual!CS14</f>
        <v/>
      </c>
      <c r="CT40" s="100">
        <f>FS_Annual!CT14</f>
        <v/>
      </c>
      <c r="CU40" s="100">
        <f>FS_Annual!CU14</f>
        <v/>
      </c>
      <c r="CV40" s="100">
        <f>FS_Annual!CV14</f>
        <v/>
      </c>
      <c r="CW40" s="100">
        <f>FS_Annual!CW14</f>
        <v/>
      </c>
      <c r="CX40" s="100">
        <f>FS_Annual!CX14</f>
        <v/>
      </c>
      <c r="CY40" s="100">
        <f>FS_Annual!CY14</f>
        <v/>
      </c>
      <c r="CZ40" s="100">
        <f>FS_Annual!CZ14</f>
        <v/>
      </c>
      <c r="DA40" s="100">
        <f>FS_Annual!DA14</f>
        <v/>
      </c>
      <c r="DB40" s="100">
        <f>FS_Annual!DB14</f>
        <v/>
      </c>
    </row>
    <row r="41">
      <c r="A41" t="inlineStr">
        <is>
          <t>Yr 12 exit — Seller Equity CF</t>
        </is>
      </c>
      <c r="C41" s="100">
        <f>FS_Annual!C15</f>
        <v/>
      </c>
      <c r="D41" s="100">
        <f>FS_Annual!D15</f>
        <v/>
      </c>
      <c r="E41" s="100">
        <f>FS_Annual!E15</f>
        <v/>
      </c>
      <c r="F41" s="100">
        <f>FS_Annual!F15</f>
        <v/>
      </c>
      <c r="G41" s="100">
        <f>FS_Annual!G15</f>
        <v/>
      </c>
      <c r="H41" s="100">
        <f>FS_Annual!H15</f>
        <v/>
      </c>
      <c r="I41" s="100">
        <f>FS_Annual!I15</f>
        <v/>
      </c>
      <c r="J41" s="100">
        <f>FS_Annual!J15</f>
        <v/>
      </c>
      <c r="K41" s="100">
        <f>FS_Annual!K15</f>
        <v/>
      </c>
      <c r="L41" s="100">
        <f>FS_Annual!L15</f>
        <v/>
      </c>
      <c r="M41" s="100">
        <f>FS_Annual!M15</f>
        <v/>
      </c>
      <c r="N41" s="100">
        <f>FS_Annual!N15</f>
        <v/>
      </c>
      <c r="O41" s="100">
        <f>FS_Annual!O15</f>
        <v/>
      </c>
      <c r="P41" s="100">
        <f>FS_Annual!P15</f>
        <v/>
      </c>
      <c r="Q41" s="100">
        <f>FS_Annual!Q15</f>
        <v/>
      </c>
      <c r="R41" s="100">
        <f>FS_Annual!R15</f>
        <v/>
      </c>
      <c r="S41" s="100">
        <f>FS_Annual!S15</f>
        <v/>
      </c>
      <c r="T41" s="100">
        <f>FS_Annual!T15</f>
        <v/>
      </c>
      <c r="U41" s="100">
        <f>FS_Annual!U15</f>
        <v/>
      </c>
      <c r="V41" s="100">
        <f>FS_Annual!V15</f>
        <v/>
      </c>
      <c r="W41" s="100">
        <f>FS_Annual!W15</f>
        <v/>
      </c>
      <c r="X41" s="100">
        <f>FS_Annual!X15</f>
        <v/>
      </c>
      <c r="Y41" s="100">
        <f>FS_Annual!Y15</f>
        <v/>
      </c>
      <c r="Z41" s="100">
        <f>FS_Annual!Z15</f>
        <v/>
      </c>
      <c r="AA41" s="100">
        <f>FS_Annual!AA15</f>
        <v/>
      </c>
      <c r="AB41" s="100">
        <f>FS_Annual!AB15</f>
        <v/>
      </c>
      <c r="AC41" s="100">
        <f>FS_Annual!AC15</f>
        <v/>
      </c>
      <c r="AD41" s="100">
        <f>FS_Annual!AD15</f>
        <v/>
      </c>
      <c r="AE41" s="100">
        <f>FS_Annual!AE15</f>
        <v/>
      </c>
      <c r="AF41" s="100">
        <f>FS_Annual!AF15</f>
        <v/>
      </c>
      <c r="AG41" s="100">
        <f>FS_Annual!AG15</f>
        <v/>
      </c>
      <c r="AH41" s="100">
        <f>FS_Annual!AH15</f>
        <v/>
      </c>
      <c r="AI41" s="100">
        <f>FS_Annual!AI15</f>
        <v/>
      </c>
      <c r="AJ41" s="100">
        <f>FS_Annual!AJ15</f>
        <v/>
      </c>
      <c r="AK41" s="100">
        <f>FS_Annual!AK15</f>
        <v/>
      </c>
      <c r="AL41" s="100">
        <f>FS_Annual!AL15</f>
        <v/>
      </c>
      <c r="AM41" s="100">
        <f>FS_Annual!AM15</f>
        <v/>
      </c>
      <c r="AN41" s="100">
        <f>FS_Annual!AN15</f>
        <v/>
      </c>
      <c r="AO41" s="100">
        <f>FS_Annual!AO15</f>
        <v/>
      </c>
      <c r="AP41" s="100">
        <f>FS_Annual!AP15</f>
        <v/>
      </c>
      <c r="AQ41" s="100">
        <f>FS_Annual!AQ15</f>
        <v/>
      </c>
      <c r="AR41" s="100">
        <f>FS_Annual!AR15</f>
        <v/>
      </c>
      <c r="AS41" s="100">
        <f>FS_Annual!AS15</f>
        <v/>
      </c>
      <c r="AT41" s="100">
        <f>FS_Annual!AT15</f>
        <v/>
      </c>
      <c r="AU41" s="100">
        <f>FS_Annual!AU15</f>
        <v/>
      </c>
      <c r="AV41" s="100">
        <f>FS_Annual!AV15</f>
        <v/>
      </c>
      <c r="AW41" s="100">
        <f>FS_Annual!AW15</f>
        <v/>
      </c>
      <c r="AX41" s="100">
        <f>FS_Annual!AX15</f>
        <v/>
      </c>
      <c r="AY41" s="100">
        <f>FS_Annual!AY15</f>
        <v/>
      </c>
      <c r="AZ41" s="100">
        <f>FS_Annual!AZ15</f>
        <v/>
      </c>
      <c r="BA41" s="100">
        <f>FS_Annual!BA15</f>
        <v/>
      </c>
      <c r="BB41" s="100">
        <f>FS_Annual!BB15</f>
        <v/>
      </c>
      <c r="BC41" s="100">
        <f>FS_Annual!BC15</f>
        <v/>
      </c>
      <c r="BD41" s="100">
        <f>FS_Annual!BD15</f>
        <v/>
      </c>
      <c r="BE41" s="100">
        <f>FS_Annual!BE15</f>
        <v/>
      </c>
      <c r="BF41" s="100">
        <f>FS_Annual!BF15</f>
        <v/>
      </c>
      <c r="BG41" s="100">
        <f>FS_Annual!BG15</f>
        <v/>
      </c>
      <c r="BH41" s="100">
        <f>FS_Annual!BH15</f>
        <v/>
      </c>
      <c r="BI41" s="100">
        <f>FS_Annual!BI15</f>
        <v/>
      </c>
      <c r="BJ41" s="100">
        <f>FS_Annual!BJ15</f>
        <v/>
      </c>
      <c r="BK41" s="100">
        <f>FS_Annual!BK15</f>
        <v/>
      </c>
      <c r="BL41" s="100">
        <f>FS_Annual!BL15</f>
        <v/>
      </c>
      <c r="BM41" s="100">
        <f>FS_Annual!BM15</f>
        <v/>
      </c>
      <c r="BN41" s="100">
        <f>FS_Annual!BN15</f>
        <v/>
      </c>
      <c r="BO41" s="100">
        <f>FS_Annual!BO15</f>
        <v/>
      </c>
      <c r="BP41" s="100">
        <f>FS_Annual!BP15</f>
        <v/>
      </c>
      <c r="BQ41" s="100">
        <f>FS_Annual!BQ15</f>
        <v/>
      </c>
      <c r="BR41" s="100">
        <f>FS_Annual!BR15</f>
        <v/>
      </c>
      <c r="BS41" s="100">
        <f>FS_Annual!BS15</f>
        <v/>
      </c>
      <c r="BT41" s="100">
        <f>FS_Annual!BT15</f>
        <v/>
      </c>
      <c r="BU41" s="100">
        <f>FS_Annual!BU15</f>
        <v/>
      </c>
      <c r="BV41" s="100">
        <f>FS_Annual!BV15+N8</f>
        <v/>
      </c>
      <c r="BW41" s="100" t="n">
        <v>0</v>
      </c>
      <c r="BX41" s="100" t="n">
        <v>0</v>
      </c>
      <c r="BY41" s="100" t="n">
        <v>0</v>
      </c>
      <c r="BZ41" s="100" t="n">
        <v>0</v>
      </c>
      <c r="CA41" s="100" t="n">
        <v>0</v>
      </c>
      <c r="CB41" s="100" t="n">
        <v>0</v>
      </c>
      <c r="CC41" s="100" t="n">
        <v>0</v>
      </c>
      <c r="CD41" s="100" t="n">
        <v>0</v>
      </c>
      <c r="CE41" s="100" t="n">
        <v>0</v>
      </c>
      <c r="CF41" s="100" t="n">
        <v>0</v>
      </c>
      <c r="CG41" s="100" t="n">
        <v>0</v>
      </c>
      <c r="CH41" s="100" t="n">
        <v>0</v>
      </c>
      <c r="CI41" s="100" t="n">
        <v>0</v>
      </c>
      <c r="CJ41" s="100" t="n">
        <v>0</v>
      </c>
      <c r="CK41" s="100" t="n">
        <v>0</v>
      </c>
      <c r="CL41" s="100" t="n">
        <v>0</v>
      </c>
      <c r="CM41" s="100" t="n">
        <v>0</v>
      </c>
      <c r="CN41" s="100" t="n">
        <v>0</v>
      </c>
      <c r="CO41" s="100" t="n">
        <v>0</v>
      </c>
      <c r="CP41" s="100" t="n">
        <v>0</v>
      </c>
      <c r="CQ41" s="100" t="n">
        <v>0</v>
      </c>
      <c r="CR41" s="100" t="n">
        <v>0</v>
      </c>
      <c r="CS41" s="100" t="n">
        <v>0</v>
      </c>
      <c r="CT41" s="100" t="n">
        <v>0</v>
      </c>
      <c r="CU41" s="100" t="n">
        <v>0</v>
      </c>
      <c r="CV41" s="100" t="n">
        <v>0</v>
      </c>
      <c r="CW41" s="100" t="n">
        <v>0</v>
      </c>
      <c r="CX41" s="100" t="n">
        <v>0</v>
      </c>
      <c r="CY41" s="100" t="n">
        <v>0</v>
      </c>
      <c r="CZ41" s="100" t="n">
        <v>0</v>
      </c>
      <c r="DA41" s="100" t="n">
        <v>0</v>
      </c>
      <c r="DB41" s="100" t="n">
        <v>0</v>
      </c>
    </row>
    <row r="42">
      <c r="A42" t="inlineStr">
        <is>
          <t>Yr 12 exit — Buyer Project CF</t>
        </is>
      </c>
      <c r="C42" s="100" t="n">
        <v>0</v>
      </c>
      <c r="D42" s="100" t="n">
        <v>0</v>
      </c>
      <c r="E42" s="100" t="n">
        <v>0</v>
      </c>
      <c r="F42" s="100" t="n">
        <v>0</v>
      </c>
      <c r="G42" s="100" t="n">
        <v>0</v>
      </c>
      <c r="H42" s="100" t="n">
        <v>0</v>
      </c>
      <c r="I42" s="100" t="n">
        <v>0</v>
      </c>
      <c r="J42" s="100" t="n">
        <v>0</v>
      </c>
      <c r="K42" s="100" t="n">
        <v>0</v>
      </c>
      <c r="L42" s="100" t="n">
        <v>0</v>
      </c>
      <c r="M42" s="100" t="n">
        <v>0</v>
      </c>
      <c r="N42" s="100" t="n">
        <v>0</v>
      </c>
      <c r="O42" s="100" t="n">
        <v>0</v>
      </c>
      <c r="P42" s="100" t="n">
        <v>0</v>
      </c>
      <c r="Q42" s="100" t="n">
        <v>0</v>
      </c>
      <c r="R42" s="100" t="n">
        <v>0</v>
      </c>
      <c r="S42" s="100" t="n">
        <v>0</v>
      </c>
      <c r="T42" s="100" t="n">
        <v>0</v>
      </c>
      <c r="U42" s="100" t="n">
        <v>0</v>
      </c>
      <c r="V42" s="100" t="n">
        <v>0</v>
      </c>
      <c r="W42" s="100" t="n">
        <v>0</v>
      </c>
      <c r="X42" s="100" t="n">
        <v>0</v>
      </c>
      <c r="Y42" s="100" t="n">
        <v>0</v>
      </c>
      <c r="Z42" s="100" t="n">
        <v>0</v>
      </c>
      <c r="AA42" s="100" t="n">
        <v>0</v>
      </c>
      <c r="AB42" s="100" t="n">
        <v>0</v>
      </c>
      <c r="AC42" s="100" t="n">
        <v>0</v>
      </c>
      <c r="AD42" s="100" t="n">
        <v>0</v>
      </c>
      <c r="AE42" s="100" t="n">
        <v>0</v>
      </c>
      <c r="AF42" s="100" t="n">
        <v>0</v>
      </c>
      <c r="AG42" s="100" t="n">
        <v>0</v>
      </c>
      <c r="AH42" s="100" t="n">
        <v>0</v>
      </c>
      <c r="AI42" s="100" t="n">
        <v>0</v>
      </c>
      <c r="AJ42" s="100" t="n">
        <v>0</v>
      </c>
      <c r="AK42" s="100" t="n">
        <v>0</v>
      </c>
      <c r="AL42" s="100" t="n">
        <v>0</v>
      </c>
      <c r="AM42" s="100" t="n">
        <v>0</v>
      </c>
      <c r="AN42" s="100" t="n">
        <v>0</v>
      </c>
      <c r="AO42" s="100" t="n">
        <v>0</v>
      </c>
      <c r="AP42" s="100" t="n">
        <v>0</v>
      </c>
      <c r="AQ42" s="100" t="n">
        <v>0</v>
      </c>
      <c r="AR42" s="100" t="n">
        <v>0</v>
      </c>
      <c r="AS42" s="100" t="n">
        <v>0</v>
      </c>
      <c r="AT42" s="100" t="n">
        <v>0</v>
      </c>
      <c r="AU42" s="100" t="n">
        <v>0</v>
      </c>
      <c r="AV42" s="100" t="n">
        <v>0</v>
      </c>
      <c r="AW42" s="100" t="n">
        <v>0</v>
      </c>
      <c r="AX42" s="100" t="n">
        <v>0</v>
      </c>
      <c r="AY42" s="100" t="n">
        <v>0</v>
      </c>
      <c r="AZ42" s="100" t="n">
        <v>0</v>
      </c>
      <c r="BA42" s="100" t="n">
        <v>0</v>
      </c>
      <c r="BB42" s="100" t="n">
        <v>0</v>
      </c>
      <c r="BC42" s="100" t="n">
        <v>0</v>
      </c>
      <c r="BD42" s="100" t="n">
        <v>0</v>
      </c>
      <c r="BE42" s="100" t="n">
        <v>0</v>
      </c>
      <c r="BF42" s="100" t="n">
        <v>0</v>
      </c>
      <c r="BG42" s="100" t="n">
        <v>0</v>
      </c>
      <c r="BH42" s="100" t="n">
        <v>0</v>
      </c>
      <c r="BI42" s="100" t="n">
        <v>0</v>
      </c>
      <c r="BJ42" s="100" t="n">
        <v>0</v>
      </c>
      <c r="BK42" s="100" t="n">
        <v>0</v>
      </c>
      <c r="BL42" s="100" t="n">
        <v>0</v>
      </c>
      <c r="BM42" s="100" t="n">
        <v>0</v>
      </c>
      <c r="BN42" s="100" t="n">
        <v>0</v>
      </c>
      <c r="BO42" s="100" t="n">
        <v>0</v>
      </c>
      <c r="BP42" s="100" t="n">
        <v>0</v>
      </c>
      <c r="BQ42" s="100" t="n">
        <v>0</v>
      </c>
      <c r="BR42" s="100" t="n">
        <v>0</v>
      </c>
      <c r="BS42" s="100" t="n">
        <v>0</v>
      </c>
      <c r="BT42" s="100" t="n">
        <v>0</v>
      </c>
      <c r="BU42" s="100" t="n">
        <v>0</v>
      </c>
      <c r="BV42" s="100">
        <f>-N10</f>
        <v/>
      </c>
      <c r="BW42" s="100">
        <f>FS_Annual!BW14</f>
        <v/>
      </c>
      <c r="BX42" s="100">
        <f>FS_Annual!BX14</f>
        <v/>
      </c>
      <c r="BY42" s="100">
        <f>FS_Annual!BY14</f>
        <v/>
      </c>
      <c r="BZ42" s="100">
        <f>FS_Annual!BZ14</f>
        <v/>
      </c>
      <c r="CA42" s="100">
        <f>FS_Annual!CA14</f>
        <v/>
      </c>
      <c r="CB42" s="100">
        <f>FS_Annual!CB14</f>
        <v/>
      </c>
      <c r="CC42" s="100">
        <f>FS_Annual!CC14</f>
        <v/>
      </c>
      <c r="CD42" s="100">
        <f>FS_Annual!CD14</f>
        <v/>
      </c>
      <c r="CE42" s="100">
        <f>FS_Annual!CE14</f>
        <v/>
      </c>
      <c r="CF42" s="100">
        <f>FS_Annual!CF14</f>
        <v/>
      </c>
      <c r="CG42" s="100">
        <f>FS_Annual!CG14</f>
        <v/>
      </c>
      <c r="CH42" s="100">
        <f>FS_Annual!CH14</f>
        <v/>
      </c>
      <c r="CI42" s="100">
        <f>FS_Annual!CI14</f>
        <v/>
      </c>
      <c r="CJ42" s="100">
        <f>FS_Annual!CJ14</f>
        <v/>
      </c>
      <c r="CK42" s="100">
        <f>FS_Annual!CK14</f>
        <v/>
      </c>
      <c r="CL42" s="100">
        <f>FS_Annual!CL14</f>
        <v/>
      </c>
      <c r="CM42" s="100">
        <f>FS_Annual!CM14</f>
        <v/>
      </c>
      <c r="CN42" s="100">
        <f>FS_Annual!CN14</f>
        <v/>
      </c>
      <c r="CO42" s="100">
        <f>FS_Annual!CO14</f>
        <v/>
      </c>
      <c r="CP42" s="100">
        <f>FS_Annual!CP14</f>
        <v/>
      </c>
      <c r="CQ42" s="100">
        <f>FS_Annual!CQ14</f>
        <v/>
      </c>
      <c r="CR42" s="100">
        <f>FS_Annual!CR14</f>
        <v/>
      </c>
      <c r="CS42" s="100">
        <f>FS_Annual!CS14</f>
        <v/>
      </c>
      <c r="CT42" s="100">
        <f>FS_Annual!CT14</f>
        <v/>
      </c>
      <c r="CU42" s="100">
        <f>FS_Annual!CU14</f>
        <v/>
      </c>
      <c r="CV42" s="100">
        <f>FS_Annual!CV14</f>
        <v/>
      </c>
      <c r="CW42" s="100">
        <f>FS_Annual!CW14</f>
        <v/>
      </c>
      <c r="CX42" s="100">
        <f>FS_Annual!CX14</f>
        <v/>
      </c>
      <c r="CY42" s="100">
        <f>FS_Annual!CY14</f>
        <v/>
      </c>
      <c r="CZ42" s="100">
        <f>FS_Annual!CZ14</f>
        <v/>
      </c>
      <c r="DA42" s="100">
        <f>FS_Annual!DA14</f>
        <v/>
      </c>
      <c r="DB42" s="100">
        <f>FS_Annual!DB14</f>
        <v/>
      </c>
    </row>
    <row r="43">
      <c r="A43" t="inlineStr">
        <is>
          <t>Yr 13 exit — Seller Equity CF</t>
        </is>
      </c>
      <c r="C43" s="100">
        <f>FS_Annual!C15</f>
        <v/>
      </c>
      <c r="D43" s="100">
        <f>FS_Annual!D15</f>
        <v/>
      </c>
      <c r="E43" s="100">
        <f>FS_Annual!E15</f>
        <v/>
      </c>
      <c r="F43" s="100">
        <f>FS_Annual!F15</f>
        <v/>
      </c>
      <c r="G43" s="100">
        <f>FS_Annual!G15</f>
        <v/>
      </c>
      <c r="H43" s="100">
        <f>FS_Annual!H15</f>
        <v/>
      </c>
      <c r="I43" s="100">
        <f>FS_Annual!I15</f>
        <v/>
      </c>
      <c r="J43" s="100">
        <f>FS_Annual!J15</f>
        <v/>
      </c>
      <c r="K43" s="100">
        <f>FS_Annual!K15</f>
        <v/>
      </c>
      <c r="L43" s="100">
        <f>FS_Annual!L15</f>
        <v/>
      </c>
      <c r="M43" s="100">
        <f>FS_Annual!M15</f>
        <v/>
      </c>
      <c r="N43" s="100">
        <f>FS_Annual!N15</f>
        <v/>
      </c>
      <c r="O43" s="100">
        <f>FS_Annual!O15</f>
        <v/>
      </c>
      <c r="P43" s="100">
        <f>FS_Annual!P15</f>
        <v/>
      </c>
      <c r="Q43" s="100">
        <f>FS_Annual!Q15</f>
        <v/>
      </c>
      <c r="R43" s="100">
        <f>FS_Annual!R15</f>
        <v/>
      </c>
      <c r="S43" s="100">
        <f>FS_Annual!S15</f>
        <v/>
      </c>
      <c r="T43" s="100">
        <f>FS_Annual!T15</f>
        <v/>
      </c>
      <c r="U43" s="100">
        <f>FS_Annual!U15</f>
        <v/>
      </c>
      <c r="V43" s="100">
        <f>FS_Annual!V15</f>
        <v/>
      </c>
      <c r="W43" s="100">
        <f>FS_Annual!W15</f>
        <v/>
      </c>
      <c r="X43" s="100">
        <f>FS_Annual!X15</f>
        <v/>
      </c>
      <c r="Y43" s="100">
        <f>FS_Annual!Y15</f>
        <v/>
      </c>
      <c r="Z43" s="100">
        <f>FS_Annual!Z15</f>
        <v/>
      </c>
      <c r="AA43" s="100">
        <f>FS_Annual!AA15</f>
        <v/>
      </c>
      <c r="AB43" s="100">
        <f>FS_Annual!AB15</f>
        <v/>
      </c>
      <c r="AC43" s="100">
        <f>FS_Annual!AC15</f>
        <v/>
      </c>
      <c r="AD43" s="100">
        <f>FS_Annual!AD15</f>
        <v/>
      </c>
      <c r="AE43" s="100">
        <f>FS_Annual!AE15</f>
        <v/>
      </c>
      <c r="AF43" s="100">
        <f>FS_Annual!AF15</f>
        <v/>
      </c>
      <c r="AG43" s="100">
        <f>FS_Annual!AG15</f>
        <v/>
      </c>
      <c r="AH43" s="100">
        <f>FS_Annual!AH15</f>
        <v/>
      </c>
      <c r="AI43" s="100">
        <f>FS_Annual!AI15</f>
        <v/>
      </c>
      <c r="AJ43" s="100">
        <f>FS_Annual!AJ15</f>
        <v/>
      </c>
      <c r="AK43" s="100">
        <f>FS_Annual!AK15</f>
        <v/>
      </c>
      <c r="AL43" s="100">
        <f>FS_Annual!AL15</f>
        <v/>
      </c>
      <c r="AM43" s="100">
        <f>FS_Annual!AM15</f>
        <v/>
      </c>
      <c r="AN43" s="100">
        <f>FS_Annual!AN15</f>
        <v/>
      </c>
      <c r="AO43" s="100">
        <f>FS_Annual!AO15</f>
        <v/>
      </c>
      <c r="AP43" s="100">
        <f>FS_Annual!AP15</f>
        <v/>
      </c>
      <c r="AQ43" s="100">
        <f>FS_Annual!AQ15</f>
        <v/>
      </c>
      <c r="AR43" s="100">
        <f>FS_Annual!AR15</f>
        <v/>
      </c>
      <c r="AS43" s="100">
        <f>FS_Annual!AS15</f>
        <v/>
      </c>
      <c r="AT43" s="100">
        <f>FS_Annual!AT15</f>
        <v/>
      </c>
      <c r="AU43" s="100">
        <f>FS_Annual!AU15</f>
        <v/>
      </c>
      <c r="AV43" s="100">
        <f>FS_Annual!AV15</f>
        <v/>
      </c>
      <c r="AW43" s="100">
        <f>FS_Annual!AW15</f>
        <v/>
      </c>
      <c r="AX43" s="100">
        <f>FS_Annual!AX15</f>
        <v/>
      </c>
      <c r="AY43" s="100">
        <f>FS_Annual!AY15</f>
        <v/>
      </c>
      <c r="AZ43" s="100">
        <f>FS_Annual!AZ15</f>
        <v/>
      </c>
      <c r="BA43" s="100">
        <f>FS_Annual!BA15</f>
        <v/>
      </c>
      <c r="BB43" s="100">
        <f>FS_Annual!BB15</f>
        <v/>
      </c>
      <c r="BC43" s="100">
        <f>FS_Annual!BC15</f>
        <v/>
      </c>
      <c r="BD43" s="100">
        <f>FS_Annual!BD15</f>
        <v/>
      </c>
      <c r="BE43" s="100">
        <f>FS_Annual!BE15</f>
        <v/>
      </c>
      <c r="BF43" s="100">
        <f>FS_Annual!BF15</f>
        <v/>
      </c>
      <c r="BG43" s="100">
        <f>FS_Annual!BG15</f>
        <v/>
      </c>
      <c r="BH43" s="100">
        <f>FS_Annual!BH15</f>
        <v/>
      </c>
      <c r="BI43" s="100">
        <f>FS_Annual!BI15</f>
        <v/>
      </c>
      <c r="BJ43" s="100">
        <f>FS_Annual!BJ15</f>
        <v/>
      </c>
      <c r="BK43" s="100">
        <f>FS_Annual!BK15</f>
        <v/>
      </c>
      <c r="BL43" s="100">
        <f>FS_Annual!BL15</f>
        <v/>
      </c>
      <c r="BM43" s="100">
        <f>FS_Annual!BM15</f>
        <v/>
      </c>
      <c r="BN43" s="100">
        <f>FS_Annual!BN15</f>
        <v/>
      </c>
      <c r="BO43" s="100">
        <f>FS_Annual!BO15</f>
        <v/>
      </c>
      <c r="BP43" s="100">
        <f>FS_Annual!BP15</f>
        <v/>
      </c>
      <c r="BQ43" s="100">
        <f>FS_Annual!BQ15</f>
        <v/>
      </c>
      <c r="BR43" s="100">
        <f>FS_Annual!BR15</f>
        <v/>
      </c>
      <c r="BS43" s="100">
        <f>FS_Annual!BS15</f>
        <v/>
      </c>
      <c r="BT43" s="100">
        <f>FS_Annual!BT15</f>
        <v/>
      </c>
      <c r="BU43" s="100">
        <f>FS_Annual!BU15</f>
        <v/>
      </c>
      <c r="BV43" s="100">
        <f>FS_Annual!BV15</f>
        <v/>
      </c>
      <c r="BW43" s="100">
        <f>FS_Annual!BW15</f>
        <v/>
      </c>
      <c r="BX43" s="100">
        <f>FS_Annual!BX15</f>
        <v/>
      </c>
      <c r="BY43" s="100">
        <f>FS_Annual!BY15</f>
        <v/>
      </c>
      <c r="BZ43" s="100">
        <f>FS_Annual!BZ15+O8</f>
        <v/>
      </c>
      <c r="CA43" s="100" t="n">
        <v>0</v>
      </c>
      <c r="CB43" s="100" t="n">
        <v>0</v>
      </c>
      <c r="CC43" s="100" t="n">
        <v>0</v>
      </c>
      <c r="CD43" s="100" t="n">
        <v>0</v>
      </c>
      <c r="CE43" s="100" t="n">
        <v>0</v>
      </c>
      <c r="CF43" s="100" t="n">
        <v>0</v>
      </c>
      <c r="CG43" s="100" t="n">
        <v>0</v>
      </c>
      <c r="CH43" s="100" t="n">
        <v>0</v>
      </c>
      <c r="CI43" s="100" t="n">
        <v>0</v>
      </c>
      <c r="CJ43" s="100" t="n">
        <v>0</v>
      </c>
      <c r="CK43" s="100" t="n">
        <v>0</v>
      </c>
      <c r="CL43" s="100" t="n">
        <v>0</v>
      </c>
      <c r="CM43" s="100" t="n">
        <v>0</v>
      </c>
      <c r="CN43" s="100" t="n">
        <v>0</v>
      </c>
      <c r="CO43" s="100" t="n">
        <v>0</v>
      </c>
      <c r="CP43" s="100" t="n">
        <v>0</v>
      </c>
      <c r="CQ43" s="100" t="n">
        <v>0</v>
      </c>
      <c r="CR43" s="100" t="n">
        <v>0</v>
      </c>
      <c r="CS43" s="100" t="n">
        <v>0</v>
      </c>
      <c r="CT43" s="100" t="n">
        <v>0</v>
      </c>
      <c r="CU43" s="100" t="n">
        <v>0</v>
      </c>
      <c r="CV43" s="100" t="n">
        <v>0</v>
      </c>
      <c r="CW43" s="100" t="n">
        <v>0</v>
      </c>
      <c r="CX43" s="100" t="n">
        <v>0</v>
      </c>
      <c r="CY43" s="100" t="n">
        <v>0</v>
      </c>
      <c r="CZ43" s="100" t="n">
        <v>0</v>
      </c>
      <c r="DA43" s="100" t="n">
        <v>0</v>
      </c>
      <c r="DB43" s="100" t="n">
        <v>0</v>
      </c>
    </row>
    <row r="44">
      <c r="A44" t="inlineStr">
        <is>
          <t>Yr 13 exit — Buyer Project CF</t>
        </is>
      </c>
      <c r="C44" s="100" t="n">
        <v>0</v>
      </c>
      <c r="D44" s="100" t="n">
        <v>0</v>
      </c>
      <c r="E44" s="100" t="n">
        <v>0</v>
      </c>
      <c r="F44" s="100" t="n">
        <v>0</v>
      </c>
      <c r="G44" s="100" t="n">
        <v>0</v>
      </c>
      <c r="H44" s="100" t="n">
        <v>0</v>
      </c>
      <c r="I44" s="100" t="n">
        <v>0</v>
      </c>
      <c r="J44" s="100" t="n">
        <v>0</v>
      </c>
      <c r="K44" s="100" t="n">
        <v>0</v>
      </c>
      <c r="L44" s="100" t="n">
        <v>0</v>
      </c>
      <c r="M44" s="100" t="n">
        <v>0</v>
      </c>
      <c r="N44" s="100" t="n">
        <v>0</v>
      </c>
      <c r="O44" s="100" t="n">
        <v>0</v>
      </c>
      <c r="P44" s="100" t="n">
        <v>0</v>
      </c>
      <c r="Q44" s="100" t="n">
        <v>0</v>
      </c>
      <c r="R44" s="100" t="n">
        <v>0</v>
      </c>
      <c r="S44" s="100" t="n">
        <v>0</v>
      </c>
      <c r="T44" s="100" t="n">
        <v>0</v>
      </c>
      <c r="U44" s="100" t="n">
        <v>0</v>
      </c>
      <c r="V44" s="100" t="n">
        <v>0</v>
      </c>
      <c r="W44" s="100" t="n">
        <v>0</v>
      </c>
      <c r="X44" s="100" t="n">
        <v>0</v>
      </c>
      <c r="Y44" s="100" t="n">
        <v>0</v>
      </c>
      <c r="Z44" s="100" t="n">
        <v>0</v>
      </c>
      <c r="AA44" s="100" t="n">
        <v>0</v>
      </c>
      <c r="AB44" s="100" t="n">
        <v>0</v>
      </c>
      <c r="AC44" s="100" t="n">
        <v>0</v>
      </c>
      <c r="AD44" s="100" t="n">
        <v>0</v>
      </c>
      <c r="AE44" s="100" t="n">
        <v>0</v>
      </c>
      <c r="AF44" s="100" t="n">
        <v>0</v>
      </c>
      <c r="AG44" s="100" t="n">
        <v>0</v>
      </c>
      <c r="AH44" s="100" t="n">
        <v>0</v>
      </c>
      <c r="AI44" s="100" t="n">
        <v>0</v>
      </c>
      <c r="AJ44" s="100" t="n">
        <v>0</v>
      </c>
      <c r="AK44" s="100" t="n">
        <v>0</v>
      </c>
      <c r="AL44" s="100" t="n">
        <v>0</v>
      </c>
      <c r="AM44" s="100" t="n">
        <v>0</v>
      </c>
      <c r="AN44" s="100" t="n">
        <v>0</v>
      </c>
      <c r="AO44" s="100" t="n">
        <v>0</v>
      </c>
      <c r="AP44" s="100" t="n">
        <v>0</v>
      </c>
      <c r="AQ44" s="100" t="n">
        <v>0</v>
      </c>
      <c r="AR44" s="100" t="n">
        <v>0</v>
      </c>
      <c r="AS44" s="100" t="n">
        <v>0</v>
      </c>
      <c r="AT44" s="100" t="n">
        <v>0</v>
      </c>
      <c r="AU44" s="100" t="n">
        <v>0</v>
      </c>
      <c r="AV44" s="100" t="n">
        <v>0</v>
      </c>
      <c r="AW44" s="100" t="n">
        <v>0</v>
      </c>
      <c r="AX44" s="100" t="n">
        <v>0</v>
      </c>
      <c r="AY44" s="100" t="n">
        <v>0</v>
      </c>
      <c r="AZ44" s="100" t="n">
        <v>0</v>
      </c>
      <c r="BA44" s="100" t="n">
        <v>0</v>
      </c>
      <c r="BB44" s="100" t="n">
        <v>0</v>
      </c>
      <c r="BC44" s="100" t="n">
        <v>0</v>
      </c>
      <c r="BD44" s="100" t="n">
        <v>0</v>
      </c>
      <c r="BE44" s="100" t="n">
        <v>0</v>
      </c>
      <c r="BF44" s="100" t="n">
        <v>0</v>
      </c>
      <c r="BG44" s="100" t="n">
        <v>0</v>
      </c>
      <c r="BH44" s="100" t="n">
        <v>0</v>
      </c>
      <c r="BI44" s="100" t="n">
        <v>0</v>
      </c>
      <c r="BJ44" s="100" t="n">
        <v>0</v>
      </c>
      <c r="BK44" s="100" t="n">
        <v>0</v>
      </c>
      <c r="BL44" s="100" t="n">
        <v>0</v>
      </c>
      <c r="BM44" s="100" t="n">
        <v>0</v>
      </c>
      <c r="BN44" s="100" t="n">
        <v>0</v>
      </c>
      <c r="BO44" s="100" t="n">
        <v>0</v>
      </c>
      <c r="BP44" s="100" t="n">
        <v>0</v>
      </c>
      <c r="BQ44" s="100" t="n">
        <v>0</v>
      </c>
      <c r="BR44" s="100" t="n">
        <v>0</v>
      </c>
      <c r="BS44" s="100" t="n">
        <v>0</v>
      </c>
      <c r="BT44" s="100" t="n">
        <v>0</v>
      </c>
      <c r="BU44" s="100" t="n">
        <v>0</v>
      </c>
      <c r="BV44" s="100" t="n">
        <v>0</v>
      </c>
      <c r="BW44" s="100" t="n">
        <v>0</v>
      </c>
      <c r="BX44" s="100" t="n">
        <v>0</v>
      </c>
      <c r="BY44" s="100" t="n">
        <v>0</v>
      </c>
      <c r="BZ44" s="100">
        <f>-O10</f>
        <v/>
      </c>
      <c r="CA44" s="100">
        <f>FS_Annual!CA14</f>
        <v/>
      </c>
      <c r="CB44" s="100">
        <f>FS_Annual!CB14</f>
        <v/>
      </c>
      <c r="CC44" s="100">
        <f>FS_Annual!CC14</f>
        <v/>
      </c>
      <c r="CD44" s="100">
        <f>FS_Annual!CD14</f>
        <v/>
      </c>
      <c r="CE44" s="100">
        <f>FS_Annual!CE14</f>
        <v/>
      </c>
      <c r="CF44" s="100">
        <f>FS_Annual!CF14</f>
        <v/>
      </c>
      <c r="CG44" s="100">
        <f>FS_Annual!CG14</f>
        <v/>
      </c>
      <c r="CH44" s="100">
        <f>FS_Annual!CH14</f>
        <v/>
      </c>
      <c r="CI44" s="100">
        <f>FS_Annual!CI14</f>
        <v/>
      </c>
      <c r="CJ44" s="100">
        <f>FS_Annual!CJ14</f>
        <v/>
      </c>
      <c r="CK44" s="100">
        <f>FS_Annual!CK14</f>
        <v/>
      </c>
      <c r="CL44" s="100">
        <f>FS_Annual!CL14</f>
        <v/>
      </c>
      <c r="CM44" s="100">
        <f>FS_Annual!CM14</f>
        <v/>
      </c>
      <c r="CN44" s="100">
        <f>FS_Annual!CN14</f>
        <v/>
      </c>
      <c r="CO44" s="100">
        <f>FS_Annual!CO14</f>
        <v/>
      </c>
      <c r="CP44" s="100">
        <f>FS_Annual!CP14</f>
        <v/>
      </c>
      <c r="CQ44" s="100">
        <f>FS_Annual!CQ14</f>
        <v/>
      </c>
      <c r="CR44" s="100">
        <f>FS_Annual!CR14</f>
        <v/>
      </c>
      <c r="CS44" s="100">
        <f>FS_Annual!CS14</f>
        <v/>
      </c>
      <c r="CT44" s="100">
        <f>FS_Annual!CT14</f>
        <v/>
      </c>
      <c r="CU44" s="100">
        <f>FS_Annual!CU14</f>
        <v/>
      </c>
      <c r="CV44" s="100">
        <f>FS_Annual!CV14</f>
        <v/>
      </c>
      <c r="CW44" s="100">
        <f>FS_Annual!CW14</f>
        <v/>
      </c>
      <c r="CX44" s="100">
        <f>FS_Annual!CX14</f>
        <v/>
      </c>
      <c r="CY44" s="100">
        <f>FS_Annual!CY14</f>
        <v/>
      </c>
      <c r="CZ44" s="100">
        <f>FS_Annual!CZ14</f>
        <v/>
      </c>
      <c r="DA44" s="100">
        <f>FS_Annual!DA14</f>
        <v/>
      </c>
      <c r="DB44" s="100">
        <f>FS_Annual!DB14</f>
        <v/>
      </c>
    </row>
    <row r="45">
      <c r="A45" t="inlineStr">
        <is>
          <t>Yr 14 exit — Seller Equity CF</t>
        </is>
      </c>
      <c r="C45" s="100">
        <f>FS_Annual!C15</f>
        <v/>
      </c>
      <c r="D45" s="100">
        <f>FS_Annual!D15</f>
        <v/>
      </c>
      <c r="E45" s="100">
        <f>FS_Annual!E15</f>
        <v/>
      </c>
      <c r="F45" s="100">
        <f>FS_Annual!F15</f>
        <v/>
      </c>
      <c r="G45" s="100">
        <f>FS_Annual!G15</f>
        <v/>
      </c>
      <c r="H45" s="100">
        <f>FS_Annual!H15</f>
        <v/>
      </c>
      <c r="I45" s="100">
        <f>FS_Annual!I15</f>
        <v/>
      </c>
      <c r="J45" s="100">
        <f>FS_Annual!J15</f>
        <v/>
      </c>
      <c r="K45" s="100">
        <f>FS_Annual!K15</f>
        <v/>
      </c>
      <c r="L45" s="100">
        <f>FS_Annual!L15</f>
        <v/>
      </c>
      <c r="M45" s="100">
        <f>FS_Annual!M15</f>
        <v/>
      </c>
      <c r="N45" s="100">
        <f>FS_Annual!N15</f>
        <v/>
      </c>
      <c r="O45" s="100">
        <f>FS_Annual!O15</f>
        <v/>
      </c>
      <c r="P45" s="100">
        <f>FS_Annual!P15</f>
        <v/>
      </c>
      <c r="Q45" s="100">
        <f>FS_Annual!Q15</f>
        <v/>
      </c>
      <c r="R45" s="100">
        <f>FS_Annual!R15</f>
        <v/>
      </c>
      <c r="S45" s="100">
        <f>FS_Annual!S15</f>
        <v/>
      </c>
      <c r="T45" s="100">
        <f>FS_Annual!T15</f>
        <v/>
      </c>
      <c r="U45" s="100">
        <f>FS_Annual!U15</f>
        <v/>
      </c>
      <c r="V45" s="100">
        <f>FS_Annual!V15</f>
        <v/>
      </c>
      <c r="W45" s="100">
        <f>FS_Annual!W15</f>
        <v/>
      </c>
      <c r="X45" s="100">
        <f>FS_Annual!X15</f>
        <v/>
      </c>
      <c r="Y45" s="100">
        <f>FS_Annual!Y15</f>
        <v/>
      </c>
      <c r="Z45" s="100">
        <f>FS_Annual!Z15</f>
        <v/>
      </c>
      <c r="AA45" s="100">
        <f>FS_Annual!AA15</f>
        <v/>
      </c>
      <c r="AB45" s="100">
        <f>FS_Annual!AB15</f>
        <v/>
      </c>
      <c r="AC45" s="100">
        <f>FS_Annual!AC15</f>
        <v/>
      </c>
      <c r="AD45" s="100">
        <f>FS_Annual!AD15</f>
        <v/>
      </c>
      <c r="AE45" s="100">
        <f>FS_Annual!AE15</f>
        <v/>
      </c>
      <c r="AF45" s="100">
        <f>FS_Annual!AF15</f>
        <v/>
      </c>
      <c r="AG45" s="100">
        <f>FS_Annual!AG15</f>
        <v/>
      </c>
      <c r="AH45" s="100">
        <f>FS_Annual!AH15</f>
        <v/>
      </c>
      <c r="AI45" s="100">
        <f>FS_Annual!AI15</f>
        <v/>
      </c>
      <c r="AJ45" s="100">
        <f>FS_Annual!AJ15</f>
        <v/>
      </c>
      <c r="AK45" s="100">
        <f>FS_Annual!AK15</f>
        <v/>
      </c>
      <c r="AL45" s="100">
        <f>FS_Annual!AL15</f>
        <v/>
      </c>
      <c r="AM45" s="100">
        <f>FS_Annual!AM15</f>
        <v/>
      </c>
      <c r="AN45" s="100">
        <f>FS_Annual!AN15</f>
        <v/>
      </c>
      <c r="AO45" s="100">
        <f>FS_Annual!AO15</f>
        <v/>
      </c>
      <c r="AP45" s="100">
        <f>FS_Annual!AP15</f>
        <v/>
      </c>
      <c r="AQ45" s="100">
        <f>FS_Annual!AQ15</f>
        <v/>
      </c>
      <c r="AR45" s="100">
        <f>FS_Annual!AR15</f>
        <v/>
      </c>
      <c r="AS45" s="100">
        <f>FS_Annual!AS15</f>
        <v/>
      </c>
      <c r="AT45" s="100">
        <f>FS_Annual!AT15</f>
        <v/>
      </c>
      <c r="AU45" s="100">
        <f>FS_Annual!AU15</f>
        <v/>
      </c>
      <c r="AV45" s="100">
        <f>FS_Annual!AV15</f>
        <v/>
      </c>
      <c r="AW45" s="100">
        <f>FS_Annual!AW15</f>
        <v/>
      </c>
      <c r="AX45" s="100">
        <f>FS_Annual!AX15</f>
        <v/>
      </c>
      <c r="AY45" s="100">
        <f>FS_Annual!AY15</f>
        <v/>
      </c>
      <c r="AZ45" s="100">
        <f>FS_Annual!AZ15</f>
        <v/>
      </c>
      <c r="BA45" s="100">
        <f>FS_Annual!BA15</f>
        <v/>
      </c>
      <c r="BB45" s="100">
        <f>FS_Annual!BB15</f>
        <v/>
      </c>
      <c r="BC45" s="100">
        <f>FS_Annual!BC15</f>
        <v/>
      </c>
      <c r="BD45" s="100">
        <f>FS_Annual!BD15</f>
        <v/>
      </c>
      <c r="BE45" s="100">
        <f>FS_Annual!BE15</f>
        <v/>
      </c>
      <c r="BF45" s="100">
        <f>FS_Annual!BF15</f>
        <v/>
      </c>
      <c r="BG45" s="100">
        <f>FS_Annual!BG15</f>
        <v/>
      </c>
      <c r="BH45" s="100">
        <f>FS_Annual!BH15</f>
        <v/>
      </c>
      <c r="BI45" s="100">
        <f>FS_Annual!BI15</f>
        <v/>
      </c>
      <c r="BJ45" s="100">
        <f>FS_Annual!BJ15</f>
        <v/>
      </c>
      <c r="BK45" s="100">
        <f>FS_Annual!BK15</f>
        <v/>
      </c>
      <c r="BL45" s="100">
        <f>FS_Annual!BL15</f>
        <v/>
      </c>
      <c r="BM45" s="100">
        <f>FS_Annual!BM15</f>
        <v/>
      </c>
      <c r="BN45" s="100">
        <f>FS_Annual!BN15</f>
        <v/>
      </c>
      <c r="BO45" s="100">
        <f>FS_Annual!BO15</f>
        <v/>
      </c>
      <c r="BP45" s="100">
        <f>FS_Annual!BP15</f>
        <v/>
      </c>
      <c r="BQ45" s="100">
        <f>FS_Annual!BQ15</f>
        <v/>
      </c>
      <c r="BR45" s="100">
        <f>FS_Annual!BR15</f>
        <v/>
      </c>
      <c r="BS45" s="100">
        <f>FS_Annual!BS15</f>
        <v/>
      </c>
      <c r="BT45" s="100">
        <f>FS_Annual!BT15</f>
        <v/>
      </c>
      <c r="BU45" s="100">
        <f>FS_Annual!BU15</f>
        <v/>
      </c>
      <c r="BV45" s="100">
        <f>FS_Annual!BV15</f>
        <v/>
      </c>
      <c r="BW45" s="100">
        <f>FS_Annual!BW15</f>
        <v/>
      </c>
      <c r="BX45" s="100">
        <f>FS_Annual!BX15</f>
        <v/>
      </c>
      <c r="BY45" s="100">
        <f>FS_Annual!BY15</f>
        <v/>
      </c>
      <c r="BZ45" s="100">
        <f>FS_Annual!BZ15</f>
        <v/>
      </c>
      <c r="CA45" s="100">
        <f>FS_Annual!CA15</f>
        <v/>
      </c>
      <c r="CB45" s="100">
        <f>FS_Annual!CB15</f>
        <v/>
      </c>
      <c r="CC45" s="100">
        <f>FS_Annual!CC15</f>
        <v/>
      </c>
      <c r="CD45" s="100">
        <f>FS_Annual!CD15+P8</f>
        <v/>
      </c>
      <c r="CE45" s="100" t="n">
        <v>0</v>
      </c>
      <c r="CF45" s="100" t="n">
        <v>0</v>
      </c>
      <c r="CG45" s="100" t="n">
        <v>0</v>
      </c>
      <c r="CH45" s="100" t="n">
        <v>0</v>
      </c>
      <c r="CI45" s="100" t="n">
        <v>0</v>
      </c>
      <c r="CJ45" s="100" t="n">
        <v>0</v>
      </c>
      <c r="CK45" s="100" t="n">
        <v>0</v>
      </c>
      <c r="CL45" s="100" t="n">
        <v>0</v>
      </c>
      <c r="CM45" s="100" t="n">
        <v>0</v>
      </c>
      <c r="CN45" s="100" t="n">
        <v>0</v>
      </c>
      <c r="CO45" s="100" t="n">
        <v>0</v>
      </c>
      <c r="CP45" s="100" t="n">
        <v>0</v>
      </c>
      <c r="CQ45" s="100" t="n">
        <v>0</v>
      </c>
      <c r="CR45" s="100" t="n">
        <v>0</v>
      </c>
      <c r="CS45" s="100" t="n">
        <v>0</v>
      </c>
      <c r="CT45" s="100" t="n">
        <v>0</v>
      </c>
      <c r="CU45" s="100" t="n">
        <v>0</v>
      </c>
      <c r="CV45" s="100" t="n">
        <v>0</v>
      </c>
      <c r="CW45" s="100" t="n">
        <v>0</v>
      </c>
      <c r="CX45" s="100" t="n">
        <v>0</v>
      </c>
      <c r="CY45" s="100" t="n">
        <v>0</v>
      </c>
      <c r="CZ45" s="100" t="n">
        <v>0</v>
      </c>
      <c r="DA45" s="100" t="n">
        <v>0</v>
      </c>
      <c r="DB45" s="100" t="n">
        <v>0</v>
      </c>
    </row>
    <row r="46">
      <c r="A46" t="inlineStr">
        <is>
          <t>Yr 14 exit — Buyer Project CF</t>
        </is>
      </c>
      <c r="C46" s="100" t="n">
        <v>0</v>
      </c>
      <c r="D46" s="100" t="n">
        <v>0</v>
      </c>
      <c r="E46" s="100" t="n">
        <v>0</v>
      </c>
      <c r="F46" s="100" t="n">
        <v>0</v>
      </c>
      <c r="G46" s="100" t="n">
        <v>0</v>
      </c>
      <c r="H46" s="100" t="n">
        <v>0</v>
      </c>
      <c r="I46" s="100" t="n">
        <v>0</v>
      </c>
      <c r="J46" s="100" t="n">
        <v>0</v>
      </c>
      <c r="K46" s="100" t="n">
        <v>0</v>
      </c>
      <c r="L46" s="100" t="n">
        <v>0</v>
      </c>
      <c r="M46" s="100" t="n">
        <v>0</v>
      </c>
      <c r="N46" s="100" t="n">
        <v>0</v>
      </c>
      <c r="O46" s="100" t="n">
        <v>0</v>
      </c>
      <c r="P46" s="100" t="n">
        <v>0</v>
      </c>
      <c r="Q46" s="100" t="n">
        <v>0</v>
      </c>
      <c r="R46" s="100" t="n">
        <v>0</v>
      </c>
      <c r="S46" s="100" t="n">
        <v>0</v>
      </c>
      <c r="T46" s="100" t="n">
        <v>0</v>
      </c>
      <c r="U46" s="100" t="n">
        <v>0</v>
      </c>
      <c r="V46" s="100" t="n">
        <v>0</v>
      </c>
      <c r="W46" s="100" t="n">
        <v>0</v>
      </c>
      <c r="X46" s="100" t="n">
        <v>0</v>
      </c>
      <c r="Y46" s="100" t="n">
        <v>0</v>
      </c>
      <c r="Z46" s="100" t="n">
        <v>0</v>
      </c>
      <c r="AA46" s="100" t="n">
        <v>0</v>
      </c>
      <c r="AB46" s="100" t="n">
        <v>0</v>
      </c>
      <c r="AC46" s="100" t="n">
        <v>0</v>
      </c>
      <c r="AD46" s="100" t="n">
        <v>0</v>
      </c>
      <c r="AE46" s="100" t="n">
        <v>0</v>
      </c>
      <c r="AF46" s="100" t="n">
        <v>0</v>
      </c>
      <c r="AG46" s="100" t="n">
        <v>0</v>
      </c>
      <c r="AH46" s="100" t="n">
        <v>0</v>
      </c>
      <c r="AI46" s="100" t="n">
        <v>0</v>
      </c>
      <c r="AJ46" s="100" t="n">
        <v>0</v>
      </c>
      <c r="AK46" s="100" t="n">
        <v>0</v>
      </c>
      <c r="AL46" s="100" t="n">
        <v>0</v>
      </c>
      <c r="AM46" s="100" t="n">
        <v>0</v>
      </c>
      <c r="AN46" s="100" t="n">
        <v>0</v>
      </c>
      <c r="AO46" s="100" t="n">
        <v>0</v>
      </c>
      <c r="AP46" s="100" t="n">
        <v>0</v>
      </c>
      <c r="AQ46" s="100" t="n">
        <v>0</v>
      </c>
      <c r="AR46" s="100" t="n">
        <v>0</v>
      </c>
      <c r="AS46" s="100" t="n">
        <v>0</v>
      </c>
      <c r="AT46" s="100" t="n">
        <v>0</v>
      </c>
      <c r="AU46" s="100" t="n">
        <v>0</v>
      </c>
      <c r="AV46" s="100" t="n">
        <v>0</v>
      </c>
      <c r="AW46" s="100" t="n">
        <v>0</v>
      </c>
      <c r="AX46" s="100" t="n">
        <v>0</v>
      </c>
      <c r="AY46" s="100" t="n">
        <v>0</v>
      </c>
      <c r="AZ46" s="100" t="n">
        <v>0</v>
      </c>
      <c r="BA46" s="100" t="n">
        <v>0</v>
      </c>
      <c r="BB46" s="100" t="n">
        <v>0</v>
      </c>
      <c r="BC46" s="100" t="n">
        <v>0</v>
      </c>
      <c r="BD46" s="100" t="n">
        <v>0</v>
      </c>
      <c r="BE46" s="100" t="n">
        <v>0</v>
      </c>
      <c r="BF46" s="100" t="n">
        <v>0</v>
      </c>
      <c r="BG46" s="100" t="n">
        <v>0</v>
      </c>
      <c r="BH46" s="100" t="n">
        <v>0</v>
      </c>
      <c r="BI46" s="100" t="n">
        <v>0</v>
      </c>
      <c r="BJ46" s="100" t="n">
        <v>0</v>
      </c>
      <c r="BK46" s="100" t="n">
        <v>0</v>
      </c>
      <c r="BL46" s="100" t="n">
        <v>0</v>
      </c>
      <c r="BM46" s="100" t="n">
        <v>0</v>
      </c>
      <c r="BN46" s="100" t="n">
        <v>0</v>
      </c>
      <c r="BO46" s="100" t="n">
        <v>0</v>
      </c>
      <c r="BP46" s="100" t="n">
        <v>0</v>
      </c>
      <c r="BQ46" s="100" t="n">
        <v>0</v>
      </c>
      <c r="BR46" s="100" t="n">
        <v>0</v>
      </c>
      <c r="BS46" s="100" t="n">
        <v>0</v>
      </c>
      <c r="BT46" s="100" t="n">
        <v>0</v>
      </c>
      <c r="BU46" s="100" t="n">
        <v>0</v>
      </c>
      <c r="BV46" s="100" t="n">
        <v>0</v>
      </c>
      <c r="BW46" s="100" t="n">
        <v>0</v>
      </c>
      <c r="BX46" s="100" t="n">
        <v>0</v>
      </c>
      <c r="BY46" s="100" t="n">
        <v>0</v>
      </c>
      <c r="BZ46" s="100" t="n">
        <v>0</v>
      </c>
      <c r="CA46" s="100" t="n">
        <v>0</v>
      </c>
      <c r="CB46" s="100" t="n">
        <v>0</v>
      </c>
      <c r="CC46" s="100" t="n">
        <v>0</v>
      </c>
      <c r="CD46" s="100">
        <f>-P10</f>
        <v/>
      </c>
      <c r="CE46" s="100">
        <f>FS_Annual!CE14</f>
        <v/>
      </c>
      <c r="CF46" s="100">
        <f>FS_Annual!CF14</f>
        <v/>
      </c>
      <c r="CG46" s="100">
        <f>FS_Annual!CG14</f>
        <v/>
      </c>
      <c r="CH46" s="100">
        <f>FS_Annual!CH14</f>
        <v/>
      </c>
      <c r="CI46" s="100">
        <f>FS_Annual!CI14</f>
        <v/>
      </c>
      <c r="CJ46" s="100">
        <f>FS_Annual!CJ14</f>
        <v/>
      </c>
      <c r="CK46" s="100">
        <f>FS_Annual!CK14</f>
        <v/>
      </c>
      <c r="CL46" s="100">
        <f>FS_Annual!CL14</f>
        <v/>
      </c>
      <c r="CM46" s="100">
        <f>FS_Annual!CM14</f>
        <v/>
      </c>
      <c r="CN46" s="100">
        <f>FS_Annual!CN14</f>
        <v/>
      </c>
      <c r="CO46" s="100">
        <f>FS_Annual!CO14</f>
        <v/>
      </c>
      <c r="CP46" s="100">
        <f>FS_Annual!CP14</f>
        <v/>
      </c>
      <c r="CQ46" s="100">
        <f>FS_Annual!CQ14</f>
        <v/>
      </c>
      <c r="CR46" s="100">
        <f>FS_Annual!CR14</f>
        <v/>
      </c>
      <c r="CS46" s="100">
        <f>FS_Annual!CS14</f>
        <v/>
      </c>
      <c r="CT46" s="100">
        <f>FS_Annual!CT14</f>
        <v/>
      </c>
      <c r="CU46" s="100">
        <f>FS_Annual!CU14</f>
        <v/>
      </c>
      <c r="CV46" s="100">
        <f>FS_Annual!CV14</f>
        <v/>
      </c>
      <c r="CW46" s="100">
        <f>FS_Annual!CW14</f>
        <v/>
      </c>
      <c r="CX46" s="100">
        <f>FS_Annual!CX14</f>
        <v/>
      </c>
      <c r="CY46" s="100">
        <f>FS_Annual!CY14</f>
        <v/>
      </c>
      <c r="CZ46" s="100">
        <f>FS_Annual!CZ14</f>
        <v/>
      </c>
      <c r="DA46" s="100">
        <f>FS_Annual!DA14</f>
        <v/>
      </c>
      <c r="DB46" s="100">
        <f>FS_Annual!DB14</f>
        <v/>
      </c>
    </row>
    <row r="47">
      <c r="A47" t="inlineStr">
        <is>
          <t>Yr 15 exit — Seller Equity CF</t>
        </is>
      </c>
      <c r="C47" s="100">
        <f>FS_Annual!C15</f>
        <v/>
      </c>
      <c r="D47" s="100">
        <f>FS_Annual!D15</f>
        <v/>
      </c>
      <c r="E47" s="100">
        <f>FS_Annual!E15</f>
        <v/>
      </c>
      <c r="F47" s="100">
        <f>FS_Annual!F15</f>
        <v/>
      </c>
      <c r="G47" s="100">
        <f>FS_Annual!G15</f>
        <v/>
      </c>
      <c r="H47" s="100">
        <f>FS_Annual!H15</f>
        <v/>
      </c>
      <c r="I47" s="100">
        <f>FS_Annual!I15</f>
        <v/>
      </c>
      <c r="J47" s="100">
        <f>FS_Annual!J15</f>
        <v/>
      </c>
      <c r="K47" s="100">
        <f>FS_Annual!K15</f>
        <v/>
      </c>
      <c r="L47" s="100">
        <f>FS_Annual!L15</f>
        <v/>
      </c>
      <c r="M47" s="100">
        <f>FS_Annual!M15</f>
        <v/>
      </c>
      <c r="N47" s="100">
        <f>FS_Annual!N15</f>
        <v/>
      </c>
      <c r="O47" s="100">
        <f>FS_Annual!O15</f>
        <v/>
      </c>
      <c r="P47" s="100">
        <f>FS_Annual!P15</f>
        <v/>
      </c>
      <c r="Q47" s="100">
        <f>FS_Annual!Q15</f>
        <v/>
      </c>
      <c r="R47" s="100">
        <f>FS_Annual!R15</f>
        <v/>
      </c>
      <c r="S47" s="100">
        <f>FS_Annual!S15</f>
        <v/>
      </c>
      <c r="T47" s="100">
        <f>FS_Annual!T15</f>
        <v/>
      </c>
      <c r="U47" s="100">
        <f>FS_Annual!U15</f>
        <v/>
      </c>
      <c r="V47" s="100">
        <f>FS_Annual!V15</f>
        <v/>
      </c>
      <c r="W47" s="100">
        <f>FS_Annual!W15</f>
        <v/>
      </c>
      <c r="X47" s="100">
        <f>FS_Annual!X15</f>
        <v/>
      </c>
      <c r="Y47" s="100">
        <f>FS_Annual!Y15</f>
        <v/>
      </c>
      <c r="Z47" s="100">
        <f>FS_Annual!Z15</f>
        <v/>
      </c>
      <c r="AA47" s="100">
        <f>FS_Annual!AA15</f>
        <v/>
      </c>
      <c r="AB47" s="100">
        <f>FS_Annual!AB15</f>
        <v/>
      </c>
      <c r="AC47" s="100">
        <f>FS_Annual!AC15</f>
        <v/>
      </c>
      <c r="AD47" s="100">
        <f>FS_Annual!AD15</f>
        <v/>
      </c>
      <c r="AE47" s="100">
        <f>FS_Annual!AE15</f>
        <v/>
      </c>
      <c r="AF47" s="100">
        <f>FS_Annual!AF15</f>
        <v/>
      </c>
      <c r="AG47" s="100">
        <f>FS_Annual!AG15</f>
        <v/>
      </c>
      <c r="AH47" s="100">
        <f>FS_Annual!AH15</f>
        <v/>
      </c>
      <c r="AI47" s="100">
        <f>FS_Annual!AI15</f>
        <v/>
      </c>
      <c r="AJ47" s="100">
        <f>FS_Annual!AJ15</f>
        <v/>
      </c>
      <c r="AK47" s="100">
        <f>FS_Annual!AK15</f>
        <v/>
      </c>
      <c r="AL47" s="100">
        <f>FS_Annual!AL15</f>
        <v/>
      </c>
      <c r="AM47" s="100">
        <f>FS_Annual!AM15</f>
        <v/>
      </c>
      <c r="AN47" s="100">
        <f>FS_Annual!AN15</f>
        <v/>
      </c>
      <c r="AO47" s="100">
        <f>FS_Annual!AO15</f>
        <v/>
      </c>
      <c r="AP47" s="100">
        <f>FS_Annual!AP15</f>
        <v/>
      </c>
      <c r="AQ47" s="100">
        <f>FS_Annual!AQ15</f>
        <v/>
      </c>
      <c r="AR47" s="100">
        <f>FS_Annual!AR15</f>
        <v/>
      </c>
      <c r="AS47" s="100">
        <f>FS_Annual!AS15</f>
        <v/>
      </c>
      <c r="AT47" s="100">
        <f>FS_Annual!AT15</f>
        <v/>
      </c>
      <c r="AU47" s="100">
        <f>FS_Annual!AU15</f>
        <v/>
      </c>
      <c r="AV47" s="100">
        <f>FS_Annual!AV15</f>
        <v/>
      </c>
      <c r="AW47" s="100">
        <f>FS_Annual!AW15</f>
        <v/>
      </c>
      <c r="AX47" s="100">
        <f>FS_Annual!AX15</f>
        <v/>
      </c>
      <c r="AY47" s="100">
        <f>FS_Annual!AY15</f>
        <v/>
      </c>
      <c r="AZ47" s="100">
        <f>FS_Annual!AZ15</f>
        <v/>
      </c>
      <c r="BA47" s="100">
        <f>FS_Annual!BA15</f>
        <v/>
      </c>
      <c r="BB47" s="100">
        <f>FS_Annual!BB15</f>
        <v/>
      </c>
      <c r="BC47" s="100">
        <f>FS_Annual!BC15</f>
        <v/>
      </c>
      <c r="BD47" s="100">
        <f>FS_Annual!BD15</f>
        <v/>
      </c>
      <c r="BE47" s="100">
        <f>FS_Annual!BE15</f>
        <v/>
      </c>
      <c r="BF47" s="100">
        <f>FS_Annual!BF15</f>
        <v/>
      </c>
      <c r="BG47" s="100">
        <f>FS_Annual!BG15</f>
        <v/>
      </c>
      <c r="BH47" s="100">
        <f>FS_Annual!BH15</f>
        <v/>
      </c>
      <c r="BI47" s="100">
        <f>FS_Annual!BI15</f>
        <v/>
      </c>
      <c r="BJ47" s="100">
        <f>FS_Annual!BJ15</f>
        <v/>
      </c>
      <c r="BK47" s="100">
        <f>FS_Annual!BK15</f>
        <v/>
      </c>
      <c r="BL47" s="100">
        <f>FS_Annual!BL15</f>
        <v/>
      </c>
      <c r="BM47" s="100">
        <f>FS_Annual!BM15</f>
        <v/>
      </c>
      <c r="BN47" s="100">
        <f>FS_Annual!BN15</f>
        <v/>
      </c>
      <c r="BO47" s="100">
        <f>FS_Annual!BO15</f>
        <v/>
      </c>
      <c r="BP47" s="100">
        <f>FS_Annual!BP15</f>
        <v/>
      </c>
      <c r="BQ47" s="100">
        <f>FS_Annual!BQ15</f>
        <v/>
      </c>
      <c r="BR47" s="100">
        <f>FS_Annual!BR15</f>
        <v/>
      </c>
      <c r="BS47" s="100">
        <f>FS_Annual!BS15</f>
        <v/>
      </c>
      <c r="BT47" s="100">
        <f>FS_Annual!BT15</f>
        <v/>
      </c>
      <c r="BU47" s="100">
        <f>FS_Annual!BU15</f>
        <v/>
      </c>
      <c r="BV47" s="100">
        <f>FS_Annual!BV15</f>
        <v/>
      </c>
      <c r="BW47" s="100">
        <f>FS_Annual!BW15</f>
        <v/>
      </c>
      <c r="BX47" s="100">
        <f>FS_Annual!BX15</f>
        <v/>
      </c>
      <c r="BY47" s="100">
        <f>FS_Annual!BY15</f>
        <v/>
      </c>
      <c r="BZ47" s="100">
        <f>FS_Annual!BZ15</f>
        <v/>
      </c>
      <c r="CA47" s="100">
        <f>FS_Annual!CA15</f>
        <v/>
      </c>
      <c r="CB47" s="100">
        <f>FS_Annual!CB15</f>
        <v/>
      </c>
      <c r="CC47" s="100">
        <f>FS_Annual!CC15</f>
        <v/>
      </c>
      <c r="CD47" s="100">
        <f>FS_Annual!CD15</f>
        <v/>
      </c>
      <c r="CE47" s="100">
        <f>FS_Annual!CE15</f>
        <v/>
      </c>
      <c r="CF47" s="100">
        <f>FS_Annual!CF15</f>
        <v/>
      </c>
      <c r="CG47" s="100">
        <f>FS_Annual!CG15</f>
        <v/>
      </c>
      <c r="CH47" s="100">
        <f>FS_Annual!CH15+Q8</f>
        <v/>
      </c>
      <c r="CI47" s="100" t="n">
        <v>0</v>
      </c>
      <c r="CJ47" s="100" t="n">
        <v>0</v>
      </c>
      <c r="CK47" s="100" t="n">
        <v>0</v>
      </c>
      <c r="CL47" s="100" t="n">
        <v>0</v>
      </c>
      <c r="CM47" s="100" t="n">
        <v>0</v>
      </c>
      <c r="CN47" s="100" t="n">
        <v>0</v>
      </c>
      <c r="CO47" s="100" t="n">
        <v>0</v>
      </c>
      <c r="CP47" s="100" t="n">
        <v>0</v>
      </c>
      <c r="CQ47" s="100" t="n">
        <v>0</v>
      </c>
      <c r="CR47" s="100" t="n">
        <v>0</v>
      </c>
      <c r="CS47" s="100" t="n">
        <v>0</v>
      </c>
      <c r="CT47" s="100" t="n">
        <v>0</v>
      </c>
      <c r="CU47" s="100" t="n">
        <v>0</v>
      </c>
      <c r="CV47" s="100" t="n">
        <v>0</v>
      </c>
      <c r="CW47" s="100" t="n">
        <v>0</v>
      </c>
      <c r="CX47" s="100" t="n">
        <v>0</v>
      </c>
      <c r="CY47" s="100" t="n">
        <v>0</v>
      </c>
      <c r="CZ47" s="100" t="n">
        <v>0</v>
      </c>
      <c r="DA47" s="100" t="n">
        <v>0</v>
      </c>
      <c r="DB47" s="100" t="n">
        <v>0</v>
      </c>
    </row>
    <row r="48">
      <c r="A48" t="inlineStr">
        <is>
          <t>Yr 15 exit — Buyer Project CF</t>
        </is>
      </c>
      <c r="C48" s="100" t="n">
        <v>0</v>
      </c>
      <c r="D48" s="100" t="n">
        <v>0</v>
      </c>
      <c r="E48" s="100" t="n">
        <v>0</v>
      </c>
      <c r="F48" s="100" t="n">
        <v>0</v>
      </c>
      <c r="G48" s="100" t="n">
        <v>0</v>
      </c>
      <c r="H48" s="100" t="n">
        <v>0</v>
      </c>
      <c r="I48" s="100" t="n">
        <v>0</v>
      </c>
      <c r="J48" s="100" t="n">
        <v>0</v>
      </c>
      <c r="K48" s="100" t="n">
        <v>0</v>
      </c>
      <c r="L48" s="100" t="n">
        <v>0</v>
      </c>
      <c r="M48" s="100" t="n">
        <v>0</v>
      </c>
      <c r="N48" s="100" t="n">
        <v>0</v>
      </c>
      <c r="O48" s="100" t="n">
        <v>0</v>
      </c>
      <c r="P48" s="100" t="n">
        <v>0</v>
      </c>
      <c r="Q48" s="100" t="n">
        <v>0</v>
      </c>
      <c r="R48" s="100" t="n">
        <v>0</v>
      </c>
      <c r="S48" s="100" t="n">
        <v>0</v>
      </c>
      <c r="T48" s="100" t="n">
        <v>0</v>
      </c>
      <c r="U48" s="100" t="n">
        <v>0</v>
      </c>
      <c r="V48" s="100" t="n">
        <v>0</v>
      </c>
      <c r="W48" s="100" t="n">
        <v>0</v>
      </c>
      <c r="X48" s="100" t="n">
        <v>0</v>
      </c>
      <c r="Y48" s="100" t="n">
        <v>0</v>
      </c>
      <c r="Z48" s="100" t="n">
        <v>0</v>
      </c>
      <c r="AA48" s="100" t="n">
        <v>0</v>
      </c>
      <c r="AB48" s="100" t="n">
        <v>0</v>
      </c>
      <c r="AC48" s="100" t="n">
        <v>0</v>
      </c>
      <c r="AD48" s="100" t="n">
        <v>0</v>
      </c>
      <c r="AE48" s="100" t="n">
        <v>0</v>
      </c>
      <c r="AF48" s="100" t="n">
        <v>0</v>
      </c>
      <c r="AG48" s="100" t="n">
        <v>0</v>
      </c>
      <c r="AH48" s="100" t="n">
        <v>0</v>
      </c>
      <c r="AI48" s="100" t="n">
        <v>0</v>
      </c>
      <c r="AJ48" s="100" t="n">
        <v>0</v>
      </c>
      <c r="AK48" s="100" t="n">
        <v>0</v>
      </c>
      <c r="AL48" s="100" t="n">
        <v>0</v>
      </c>
      <c r="AM48" s="100" t="n">
        <v>0</v>
      </c>
      <c r="AN48" s="100" t="n">
        <v>0</v>
      </c>
      <c r="AO48" s="100" t="n">
        <v>0</v>
      </c>
      <c r="AP48" s="100" t="n">
        <v>0</v>
      </c>
      <c r="AQ48" s="100" t="n">
        <v>0</v>
      </c>
      <c r="AR48" s="100" t="n">
        <v>0</v>
      </c>
      <c r="AS48" s="100" t="n">
        <v>0</v>
      </c>
      <c r="AT48" s="100" t="n">
        <v>0</v>
      </c>
      <c r="AU48" s="100" t="n">
        <v>0</v>
      </c>
      <c r="AV48" s="100" t="n">
        <v>0</v>
      </c>
      <c r="AW48" s="100" t="n">
        <v>0</v>
      </c>
      <c r="AX48" s="100" t="n">
        <v>0</v>
      </c>
      <c r="AY48" s="100" t="n">
        <v>0</v>
      </c>
      <c r="AZ48" s="100" t="n">
        <v>0</v>
      </c>
      <c r="BA48" s="100" t="n">
        <v>0</v>
      </c>
      <c r="BB48" s="100" t="n">
        <v>0</v>
      </c>
      <c r="BC48" s="100" t="n">
        <v>0</v>
      </c>
      <c r="BD48" s="100" t="n">
        <v>0</v>
      </c>
      <c r="BE48" s="100" t="n">
        <v>0</v>
      </c>
      <c r="BF48" s="100" t="n">
        <v>0</v>
      </c>
      <c r="BG48" s="100" t="n">
        <v>0</v>
      </c>
      <c r="BH48" s="100" t="n">
        <v>0</v>
      </c>
      <c r="BI48" s="100" t="n">
        <v>0</v>
      </c>
      <c r="BJ48" s="100" t="n">
        <v>0</v>
      </c>
      <c r="BK48" s="100" t="n">
        <v>0</v>
      </c>
      <c r="BL48" s="100" t="n">
        <v>0</v>
      </c>
      <c r="BM48" s="100" t="n">
        <v>0</v>
      </c>
      <c r="BN48" s="100" t="n">
        <v>0</v>
      </c>
      <c r="BO48" s="100" t="n">
        <v>0</v>
      </c>
      <c r="BP48" s="100" t="n">
        <v>0</v>
      </c>
      <c r="BQ48" s="100" t="n">
        <v>0</v>
      </c>
      <c r="BR48" s="100" t="n">
        <v>0</v>
      </c>
      <c r="BS48" s="100" t="n">
        <v>0</v>
      </c>
      <c r="BT48" s="100" t="n">
        <v>0</v>
      </c>
      <c r="BU48" s="100" t="n">
        <v>0</v>
      </c>
      <c r="BV48" s="100" t="n">
        <v>0</v>
      </c>
      <c r="BW48" s="100" t="n">
        <v>0</v>
      </c>
      <c r="BX48" s="100" t="n">
        <v>0</v>
      </c>
      <c r="BY48" s="100" t="n">
        <v>0</v>
      </c>
      <c r="BZ48" s="100" t="n">
        <v>0</v>
      </c>
      <c r="CA48" s="100" t="n">
        <v>0</v>
      </c>
      <c r="CB48" s="100" t="n">
        <v>0</v>
      </c>
      <c r="CC48" s="100" t="n">
        <v>0</v>
      </c>
      <c r="CD48" s="100" t="n">
        <v>0</v>
      </c>
      <c r="CE48" s="100" t="n">
        <v>0</v>
      </c>
      <c r="CF48" s="100" t="n">
        <v>0</v>
      </c>
      <c r="CG48" s="100" t="n">
        <v>0</v>
      </c>
      <c r="CH48" s="100">
        <f>-Q10</f>
        <v/>
      </c>
      <c r="CI48" s="100">
        <f>FS_Annual!CI14</f>
        <v/>
      </c>
      <c r="CJ48" s="100">
        <f>FS_Annual!CJ14</f>
        <v/>
      </c>
      <c r="CK48" s="100">
        <f>FS_Annual!CK14</f>
        <v/>
      </c>
      <c r="CL48" s="100">
        <f>FS_Annual!CL14</f>
        <v/>
      </c>
      <c r="CM48" s="100">
        <f>FS_Annual!CM14</f>
        <v/>
      </c>
      <c r="CN48" s="100">
        <f>FS_Annual!CN14</f>
        <v/>
      </c>
      <c r="CO48" s="100">
        <f>FS_Annual!CO14</f>
        <v/>
      </c>
      <c r="CP48" s="100">
        <f>FS_Annual!CP14</f>
        <v/>
      </c>
      <c r="CQ48" s="100">
        <f>FS_Annual!CQ14</f>
        <v/>
      </c>
      <c r="CR48" s="100">
        <f>FS_Annual!CR14</f>
        <v/>
      </c>
      <c r="CS48" s="100">
        <f>FS_Annual!CS14</f>
        <v/>
      </c>
      <c r="CT48" s="100">
        <f>FS_Annual!CT14</f>
        <v/>
      </c>
      <c r="CU48" s="100">
        <f>FS_Annual!CU14</f>
        <v/>
      </c>
      <c r="CV48" s="100">
        <f>FS_Annual!CV14</f>
        <v/>
      </c>
      <c r="CW48" s="100">
        <f>FS_Annual!CW14</f>
        <v/>
      </c>
      <c r="CX48" s="100">
        <f>FS_Annual!CX14</f>
        <v/>
      </c>
      <c r="CY48" s="100">
        <f>FS_Annual!CY14</f>
        <v/>
      </c>
      <c r="CZ48" s="100">
        <f>FS_Annual!CZ14</f>
        <v/>
      </c>
      <c r="DA48" s="100">
        <f>FS_Annual!DA14</f>
        <v/>
      </c>
      <c r="DB48" s="100">
        <f>FS_Annual!DB14</f>
        <v/>
      </c>
    </row>
    <row r="49">
      <c r="A49" t="inlineStr">
        <is>
          <t>Yr 16 exit — Seller Equity CF</t>
        </is>
      </c>
      <c r="C49" s="100">
        <f>FS_Annual!C15</f>
        <v/>
      </c>
      <c r="D49" s="100">
        <f>FS_Annual!D15</f>
        <v/>
      </c>
      <c r="E49" s="100">
        <f>FS_Annual!E15</f>
        <v/>
      </c>
      <c r="F49" s="100">
        <f>FS_Annual!F15</f>
        <v/>
      </c>
      <c r="G49" s="100">
        <f>FS_Annual!G15</f>
        <v/>
      </c>
      <c r="H49" s="100">
        <f>FS_Annual!H15</f>
        <v/>
      </c>
      <c r="I49" s="100">
        <f>FS_Annual!I15</f>
        <v/>
      </c>
      <c r="J49" s="100">
        <f>FS_Annual!J15</f>
        <v/>
      </c>
      <c r="K49" s="100">
        <f>FS_Annual!K15</f>
        <v/>
      </c>
      <c r="L49" s="100">
        <f>FS_Annual!L15</f>
        <v/>
      </c>
      <c r="M49" s="100">
        <f>FS_Annual!M15</f>
        <v/>
      </c>
      <c r="N49" s="100">
        <f>FS_Annual!N15</f>
        <v/>
      </c>
      <c r="O49" s="100">
        <f>FS_Annual!O15</f>
        <v/>
      </c>
      <c r="P49" s="100">
        <f>FS_Annual!P15</f>
        <v/>
      </c>
      <c r="Q49" s="100">
        <f>FS_Annual!Q15</f>
        <v/>
      </c>
      <c r="R49" s="100">
        <f>FS_Annual!R15</f>
        <v/>
      </c>
      <c r="S49" s="100">
        <f>FS_Annual!S15</f>
        <v/>
      </c>
      <c r="T49" s="100">
        <f>FS_Annual!T15</f>
        <v/>
      </c>
      <c r="U49" s="100">
        <f>FS_Annual!U15</f>
        <v/>
      </c>
      <c r="V49" s="100">
        <f>FS_Annual!V15</f>
        <v/>
      </c>
      <c r="W49" s="100">
        <f>FS_Annual!W15</f>
        <v/>
      </c>
      <c r="X49" s="100">
        <f>FS_Annual!X15</f>
        <v/>
      </c>
      <c r="Y49" s="100">
        <f>FS_Annual!Y15</f>
        <v/>
      </c>
      <c r="Z49" s="100">
        <f>FS_Annual!Z15</f>
        <v/>
      </c>
      <c r="AA49" s="100">
        <f>FS_Annual!AA15</f>
        <v/>
      </c>
      <c r="AB49" s="100">
        <f>FS_Annual!AB15</f>
        <v/>
      </c>
      <c r="AC49" s="100">
        <f>FS_Annual!AC15</f>
        <v/>
      </c>
      <c r="AD49" s="100">
        <f>FS_Annual!AD15</f>
        <v/>
      </c>
      <c r="AE49" s="100">
        <f>FS_Annual!AE15</f>
        <v/>
      </c>
      <c r="AF49" s="100">
        <f>FS_Annual!AF15</f>
        <v/>
      </c>
      <c r="AG49" s="100">
        <f>FS_Annual!AG15</f>
        <v/>
      </c>
      <c r="AH49" s="100">
        <f>FS_Annual!AH15</f>
        <v/>
      </c>
      <c r="AI49" s="100">
        <f>FS_Annual!AI15</f>
        <v/>
      </c>
      <c r="AJ49" s="100">
        <f>FS_Annual!AJ15</f>
        <v/>
      </c>
      <c r="AK49" s="100">
        <f>FS_Annual!AK15</f>
        <v/>
      </c>
      <c r="AL49" s="100">
        <f>FS_Annual!AL15</f>
        <v/>
      </c>
      <c r="AM49" s="100">
        <f>FS_Annual!AM15</f>
        <v/>
      </c>
      <c r="AN49" s="100">
        <f>FS_Annual!AN15</f>
        <v/>
      </c>
      <c r="AO49" s="100">
        <f>FS_Annual!AO15</f>
        <v/>
      </c>
      <c r="AP49" s="100">
        <f>FS_Annual!AP15</f>
        <v/>
      </c>
      <c r="AQ49" s="100">
        <f>FS_Annual!AQ15</f>
        <v/>
      </c>
      <c r="AR49" s="100">
        <f>FS_Annual!AR15</f>
        <v/>
      </c>
      <c r="AS49" s="100">
        <f>FS_Annual!AS15</f>
        <v/>
      </c>
      <c r="AT49" s="100">
        <f>FS_Annual!AT15</f>
        <v/>
      </c>
      <c r="AU49" s="100">
        <f>FS_Annual!AU15</f>
        <v/>
      </c>
      <c r="AV49" s="100">
        <f>FS_Annual!AV15</f>
        <v/>
      </c>
      <c r="AW49" s="100">
        <f>FS_Annual!AW15</f>
        <v/>
      </c>
      <c r="AX49" s="100">
        <f>FS_Annual!AX15</f>
        <v/>
      </c>
      <c r="AY49" s="100">
        <f>FS_Annual!AY15</f>
        <v/>
      </c>
      <c r="AZ49" s="100">
        <f>FS_Annual!AZ15</f>
        <v/>
      </c>
      <c r="BA49" s="100">
        <f>FS_Annual!BA15</f>
        <v/>
      </c>
      <c r="BB49" s="100">
        <f>FS_Annual!BB15</f>
        <v/>
      </c>
      <c r="BC49" s="100">
        <f>FS_Annual!BC15</f>
        <v/>
      </c>
      <c r="BD49" s="100">
        <f>FS_Annual!BD15</f>
        <v/>
      </c>
      <c r="BE49" s="100">
        <f>FS_Annual!BE15</f>
        <v/>
      </c>
      <c r="BF49" s="100">
        <f>FS_Annual!BF15</f>
        <v/>
      </c>
      <c r="BG49" s="100">
        <f>FS_Annual!BG15</f>
        <v/>
      </c>
      <c r="BH49" s="100">
        <f>FS_Annual!BH15</f>
        <v/>
      </c>
      <c r="BI49" s="100">
        <f>FS_Annual!BI15</f>
        <v/>
      </c>
      <c r="BJ49" s="100">
        <f>FS_Annual!BJ15</f>
        <v/>
      </c>
      <c r="BK49" s="100">
        <f>FS_Annual!BK15</f>
        <v/>
      </c>
      <c r="BL49" s="100">
        <f>FS_Annual!BL15</f>
        <v/>
      </c>
      <c r="BM49" s="100">
        <f>FS_Annual!BM15</f>
        <v/>
      </c>
      <c r="BN49" s="100">
        <f>FS_Annual!BN15</f>
        <v/>
      </c>
      <c r="BO49" s="100">
        <f>FS_Annual!BO15</f>
        <v/>
      </c>
      <c r="BP49" s="100">
        <f>FS_Annual!BP15</f>
        <v/>
      </c>
      <c r="BQ49" s="100">
        <f>FS_Annual!BQ15</f>
        <v/>
      </c>
      <c r="BR49" s="100">
        <f>FS_Annual!BR15</f>
        <v/>
      </c>
      <c r="BS49" s="100">
        <f>FS_Annual!BS15</f>
        <v/>
      </c>
      <c r="BT49" s="100">
        <f>FS_Annual!BT15</f>
        <v/>
      </c>
      <c r="BU49" s="100">
        <f>FS_Annual!BU15</f>
        <v/>
      </c>
      <c r="BV49" s="100">
        <f>FS_Annual!BV15</f>
        <v/>
      </c>
      <c r="BW49" s="100">
        <f>FS_Annual!BW15</f>
        <v/>
      </c>
      <c r="BX49" s="100">
        <f>FS_Annual!BX15</f>
        <v/>
      </c>
      <c r="BY49" s="100">
        <f>FS_Annual!BY15</f>
        <v/>
      </c>
      <c r="BZ49" s="100">
        <f>FS_Annual!BZ15</f>
        <v/>
      </c>
      <c r="CA49" s="100">
        <f>FS_Annual!CA15</f>
        <v/>
      </c>
      <c r="CB49" s="100">
        <f>FS_Annual!CB15</f>
        <v/>
      </c>
      <c r="CC49" s="100">
        <f>FS_Annual!CC15</f>
        <v/>
      </c>
      <c r="CD49" s="100">
        <f>FS_Annual!CD15</f>
        <v/>
      </c>
      <c r="CE49" s="100">
        <f>FS_Annual!CE15</f>
        <v/>
      </c>
      <c r="CF49" s="100">
        <f>FS_Annual!CF15</f>
        <v/>
      </c>
      <c r="CG49" s="100">
        <f>FS_Annual!CG15</f>
        <v/>
      </c>
      <c r="CH49" s="100">
        <f>FS_Annual!CH15</f>
        <v/>
      </c>
      <c r="CI49" s="100">
        <f>FS_Annual!CI15</f>
        <v/>
      </c>
      <c r="CJ49" s="100">
        <f>FS_Annual!CJ15</f>
        <v/>
      </c>
      <c r="CK49" s="100">
        <f>FS_Annual!CK15</f>
        <v/>
      </c>
      <c r="CL49" s="100">
        <f>FS_Annual!CL15+R8</f>
        <v/>
      </c>
      <c r="CM49" s="100" t="n">
        <v>0</v>
      </c>
      <c r="CN49" s="100" t="n">
        <v>0</v>
      </c>
      <c r="CO49" s="100" t="n">
        <v>0</v>
      </c>
      <c r="CP49" s="100" t="n">
        <v>0</v>
      </c>
      <c r="CQ49" s="100" t="n">
        <v>0</v>
      </c>
      <c r="CR49" s="100" t="n">
        <v>0</v>
      </c>
      <c r="CS49" s="100" t="n">
        <v>0</v>
      </c>
      <c r="CT49" s="100" t="n">
        <v>0</v>
      </c>
      <c r="CU49" s="100" t="n">
        <v>0</v>
      </c>
      <c r="CV49" s="100" t="n">
        <v>0</v>
      </c>
      <c r="CW49" s="100" t="n">
        <v>0</v>
      </c>
      <c r="CX49" s="100" t="n">
        <v>0</v>
      </c>
      <c r="CY49" s="100" t="n">
        <v>0</v>
      </c>
      <c r="CZ49" s="100" t="n">
        <v>0</v>
      </c>
      <c r="DA49" s="100" t="n">
        <v>0</v>
      </c>
      <c r="DB49" s="100" t="n">
        <v>0</v>
      </c>
    </row>
    <row r="50">
      <c r="A50" t="inlineStr">
        <is>
          <t>Yr 16 exit — Buyer Project CF</t>
        </is>
      </c>
      <c r="C50" s="100" t="n">
        <v>0</v>
      </c>
      <c r="D50" s="100" t="n">
        <v>0</v>
      </c>
      <c r="E50" s="100" t="n">
        <v>0</v>
      </c>
      <c r="F50" s="100" t="n">
        <v>0</v>
      </c>
      <c r="G50" s="100" t="n">
        <v>0</v>
      </c>
      <c r="H50" s="100" t="n">
        <v>0</v>
      </c>
      <c r="I50" s="100" t="n">
        <v>0</v>
      </c>
      <c r="J50" s="100" t="n">
        <v>0</v>
      </c>
      <c r="K50" s="100" t="n">
        <v>0</v>
      </c>
      <c r="L50" s="100" t="n">
        <v>0</v>
      </c>
      <c r="M50" s="100" t="n">
        <v>0</v>
      </c>
      <c r="N50" s="100" t="n">
        <v>0</v>
      </c>
      <c r="O50" s="100" t="n">
        <v>0</v>
      </c>
      <c r="P50" s="100" t="n">
        <v>0</v>
      </c>
      <c r="Q50" s="100" t="n">
        <v>0</v>
      </c>
      <c r="R50" s="100" t="n">
        <v>0</v>
      </c>
      <c r="S50" s="100" t="n">
        <v>0</v>
      </c>
      <c r="T50" s="100" t="n">
        <v>0</v>
      </c>
      <c r="U50" s="100" t="n">
        <v>0</v>
      </c>
      <c r="V50" s="100" t="n">
        <v>0</v>
      </c>
      <c r="W50" s="100" t="n">
        <v>0</v>
      </c>
      <c r="X50" s="100" t="n">
        <v>0</v>
      </c>
      <c r="Y50" s="100" t="n">
        <v>0</v>
      </c>
      <c r="Z50" s="100" t="n">
        <v>0</v>
      </c>
      <c r="AA50" s="100" t="n">
        <v>0</v>
      </c>
      <c r="AB50" s="100" t="n">
        <v>0</v>
      </c>
      <c r="AC50" s="100" t="n">
        <v>0</v>
      </c>
      <c r="AD50" s="100" t="n">
        <v>0</v>
      </c>
      <c r="AE50" s="100" t="n">
        <v>0</v>
      </c>
      <c r="AF50" s="100" t="n">
        <v>0</v>
      </c>
      <c r="AG50" s="100" t="n">
        <v>0</v>
      </c>
      <c r="AH50" s="100" t="n">
        <v>0</v>
      </c>
      <c r="AI50" s="100" t="n">
        <v>0</v>
      </c>
      <c r="AJ50" s="100" t="n">
        <v>0</v>
      </c>
      <c r="AK50" s="100" t="n">
        <v>0</v>
      </c>
      <c r="AL50" s="100" t="n">
        <v>0</v>
      </c>
      <c r="AM50" s="100" t="n">
        <v>0</v>
      </c>
      <c r="AN50" s="100" t="n">
        <v>0</v>
      </c>
      <c r="AO50" s="100" t="n">
        <v>0</v>
      </c>
      <c r="AP50" s="100" t="n">
        <v>0</v>
      </c>
      <c r="AQ50" s="100" t="n">
        <v>0</v>
      </c>
      <c r="AR50" s="100" t="n">
        <v>0</v>
      </c>
      <c r="AS50" s="100" t="n">
        <v>0</v>
      </c>
      <c r="AT50" s="100" t="n">
        <v>0</v>
      </c>
      <c r="AU50" s="100" t="n">
        <v>0</v>
      </c>
      <c r="AV50" s="100" t="n">
        <v>0</v>
      </c>
      <c r="AW50" s="100" t="n">
        <v>0</v>
      </c>
      <c r="AX50" s="100" t="n">
        <v>0</v>
      </c>
      <c r="AY50" s="100" t="n">
        <v>0</v>
      </c>
      <c r="AZ50" s="100" t="n">
        <v>0</v>
      </c>
      <c r="BA50" s="100" t="n">
        <v>0</v>
      </c>
      <c r="BB50" s="100" t="n">
        <v>0</v>
      </c>
      <c r="BC50" s="100" t="n">
        <v>0</v>
      </c>
      <c r="BD50" s="100" t="n">
        <v>0</v>
      </c>
      <c r="BE50" s="100" t="n">
        <v>0</v>
      </c>
      <c r="BF50" s="100" t="n">
        <v>0</v>
      </c>
      <c r="BG50" s="100" t="n">
        <v>0</v>
      </c>
      <c r="BH50" s="100" t="n">
        <v>0</v>
      </c>
      <c r="BI50" s="100" t="n">
        <v>0</v>
      </c>
      <c r="BJ50" s="100" t="n">
        <v>0</v>
      </c>
      <c r="BK50" s="100" t="n">
        <v>0</v>
      </c>
      <c r="BL50" s="100" t="n">
        <v>0</v>
      </c>
      <c r="BM50" s="100" t="n">
        <v>0</v>
      </c>
      <c r="BN50" s="100" t="n">
        <v>0</v>
      </c>
      <c r="BO50" s="100" t="n">
        <v>0</v>
      </c>
      <c r="BP50" s="100" t="n">
        <v>0</v>
      </c>
      <c r="BQ50" s="100" t="n">
        <v>0</v>
      </c>
      <c r="BR50" s="100" t="n">
        <v>0</v>
      </c>
      <c r="BS50" s="100" t="n">
        <v>0</v>
      </c>
      <c r="BT50" s="100" t="n">
        <v>0</v>
      </c>
      <c r="BU50" s="100" t="n">
        <v>0</v>
      </c>
      <c r="BV50" s="100" t="n">
        <v>0</v>
      </c>
      <c r="BW50" s="100" t="n">
        <v>0</v>
      </c>
      <c r="BX50" s="100" t="n">
        <v>0</v>
      </c>
      <c r="BY50" s="100" t="n">
        <v>0</v>
      </c>
      <c r="BZ50" s="100" t="n">
        <v>0</v>
      </c>
      <c r="CA50" s="100" t="n">
        <v>0</v>
      </c>
      <c r="CB50" s="100" t="n">
        <v>0</v>
      </c>
      <c r="CC50" s="100" t="n">
        <v>0</v>
      </c>
      <c r="CD50" s="100" t="n">
        <v>0</v>
      </c>
      <c r="CE50" s="100" t="n">
        <v>0</v>
      </c>
      <c r="CF50" s="100" t="n">
        <v>0</v>
      </c>
      <c r="CG50" s="100" t="n">
        <v>0</v>
      </c>
      <c r="CH50" s="100" t="n">
        <v>0</v>
      </c>
      <c r="CI50" s="100" t="n">
        <v>0</v>
      </c>
      <c r="CJ50" s="100" t="n">
        <v>0</v>
      </c>
      <c r="CK50" s="100" t="n">
        <v>0</v>
      </c>
      <c r="CL50" s="100">
        <f>-R10</f>
        <v/>
      </c>
      <c r="CM50" s="100">
        <f>FS_Annual!CM14</f>
        <v/>
      </c>
      <c r="CN50" s="100">
        <f>FS_Annual!CN14</f>
        <v/>
      </c>
      <c r="CO50" s="100">
        <f>FS_Annual!CO14</f>
        <v/>
      </c>
      <c r="CP50" s="100">
        <f>FS_Annual!CP14</f>
        <v/>
      </c>
      <c r="CQ50" s="100">
        <f>FS_Annual!CQ14</f>
        <v/>
      </c>
      <c r="CR50" s="100">
        <f>FS_Annual!CR14</f>
        <v/>
      </c>
      <c r="CS50" s="100">
        <f>FS_Annual!CS14</f>
        <v/>
      </c>
      <c r="CT50" s="100">
        <f>FS_Annual!CT14</f>
        <v/>
      </c>
      <c r="CU50" s="100">
        <f>FS_Annual!CU14</f>
        <v/>
      </c>
      <c r="CV50" s="100">
        <f>FS_Annual!CV14</f>
        <v/>
      </c>
      <c r="CW50" s="100">
        <f>FS_Annual!CW14</f>
        <v/>
      </c>
      <c r="CX50" s="100">
        <f>FS_Annual!CX14</f>
        <v/>
      </c>
      <c r="CY50" s="100">
        <f>FS_Annual!CY14</f>
        <v/>
      </c>
      <c r="CZ50" s="100">
        <f>FS_Annual!CZ14</f>
        <v/>
      </c>
      <c r="DA50" s="100">
        <f>FS_Annual!DA14</f>
        <v/>
      </c>
      <c r="DB50" s="100">
        <f>FS_Annual!DB14</f>
        <v/>
      </c>
    </row>
    <row r="51">
      <c r="A51" t="inlineStr">
        <is>
          <t>Yr 17 exit — Seller Equity CF</t>
        </is>
      </c>
      <c r="C51" s="100">
        <f>FS_Annual!C15</f>
        <v/>
      </c>
      <c r="D51" s="100">
        <f>FS_Annual!D15</f>
        <v/>
      </c>
      <c r="E51" s="100">
        <f>FS_Annual!E15</f>
        <v/>
      </c>
      <c r="F51" s="100">
        <f>FS_Annual!F15</f>
        <v/>
      </c>
      <c r="G51" s="100">
        <f>FS_Annual!G15</f>
        <v/>
      </c>
      <c r="H51" s="100">
        <f>FS_Annual!H15</f>
        <v/>
      </c>
      <c r="I51" s="100">
        <f>FS_Annual!I15</f>
        <v/>
      </c>
      <c r="J51" s="100">
        <f>FS_Annual!J15</f>
        <v/>
      </c>
      <c r="K51" s="100">
        <f>FS_Annual!K15</f>
        <v/>
      </c>
      <c r="L51" s="100">
        <f>FS_Annual!L15</f>
        <v/>
      </c>
      <c r="M51" s="100">
        <f>FS_Annual!M15</f>
        <v/>
      </c>
      <c r="N51" s="100">
        <f>FS_Annual!N15</f>
        <v/>
      </c>
      <c r="O51" s="100">
        <f>FS_Annual!O15</f>
        <v/>
      </c>
      <c r="P51" s="100">
        <f>FS_Annual!P15</f>
        <v/>
      </c>
      <c r="Q51" s="100">
        <f>FS_Annual!Q15</f>
        <v/>
      </c>
      <c r="R51" s="100">
        <f>FS_Annual!R15</f>
        <v/>
      </c>
      <c r="S51" s="100">
        <f>FS_Annual!S15</f>
        <v/>
      </c>
      <c r="T51" s="100">
        <f>FS_Annual!T15</f>
        <v/>
      </c>
      <c r="U51" s="100">
        <f>FS_Annual!U15</f>
        <v/>
      </c>
      <c r="V51" s="100">
        <f>FS_Annual!V15</f>
        <v/>
      </c>
      <c r="W51" s="100">
        <f>FS_Annual!W15</f>
        <v/>
      </c>
      <c r="X51" s="100">
        <f>FS_Annual!X15</f>
        <v/>
      </c>
      <c r="Y51" s="100">
        <f>FS_Annual!Y15</f>
        <v/>
      </c>
      <c r="Z51" s="100">
        <f>FS_Annual!Z15</f>
        <v/>
      </c>
      <c r="AA51" s="100">
        <f>FS_Annual!AA15</f>
        <v/>
      </c>
      <c r="AB51" s="100">
        <f>FS_Annual!AB15</f>
        <v/>
      </c>
      <c r="AC51" s="100">
        <f>FS_Annual!AC15</f>
        <v/>
      </c>
      <c r="AD51" s="100">
        <f>FS_Annual!AD15</f>
        <v/>
      </c>
      <c r="AE51" s="100">
        <f>FS_Annual!AE15</f>
        <v/>
      </c>
      <c r="AF51" s="100">
        <f>FS_Annual!AF15</f>
        <v/>
      </c>
      <c r="AG51" s="100">
        <f>FS_Annual!AG15</f>
        <v/>
      </c>
      <c r="AH51" s="100">
        <f>FS_Annual!AH15</f>
        <v/>
      </c>
      <c r="AI51" s="100">
        <f>FS_Annual!AI15</f>
        <v/>
      </c>
      <c r="AJ51" s="100">
        <f>FS_Annual!AJ15</f>
        <v/>
      </c>
      <c r="AK51" s="100">
        <f>FS_Annual!AK15</f>
        <v/>
      </c>
      <c r="AL51" s="100">
        <f>FS_Annual!AL15</f>
        <v/>
      </c>
      <c r="AM51" s="100">
        <f>FS_Annual!AM15</f>
        <v/>
      </c>
      <c r="AN51" s="100">
        <f>FS_Annual!AN15</f>
        <v/>
      </c>
      <c r="AO51" s="100">
        <f>FS_Annual!AO15</f>
        <v/>
      </c>
      <c r="AP51" s="100">
        <f>FS_Annual!AP15</f>
        <v/>
      </c>
      <c r="AQ51" s="100">
        <f>FS_Annual!AQ15</f>
        <v/>
      </c>
      <c r="AR51" s="100">
        <f>FS_Annual!AR15</f>
        <v/>
      </c>
      <c r="AS51" s="100">
        <f>FS_Annual!AS15</f>
        <v/>
      </c>
      <c r="AT51" s="100">
        <f>FS_Annual!AT15</f>
        <v/>
      </c>
      <c r="AU51" s="100">
        <f>FS_Annual!AU15</f>
        <v/>
      </c>
      <c r="AV51" s="100">
        <f>FS_Annual!AV15</f>
        <v/>
      </c>
      <c r="AW51" s="100">
        <f>FS_Annual!AW15</f>
        <v/>
      </c>
      <c r="AX51" s="100">
        <f>FS_Annual!AX15</f>
        <v/>
      </c>
      <c r="AY51" s="100">
        <f>FS_Annual!AY15</f>
        <v/>
      </c>
      <c r="AZ51" s="100">
        <f>FS_Annual!AZ15</f>
        <v/>
      </c>
      <c r="BA51" s="100">
        <f>FS_Annual!BA15</f>
        <v/>
      </c>
      <c r="BB51" s="100">
        <f>FS_Annual!BB15</f>
        <v/>
      </c>
      <c r="BC51" s="100">
        <f>FS_Annual!BC15</f>
        <v/>
      </c>
      <c r="BD51" s="100">
        <f>FS_Annual!BD15</f>
        <v/>
      </c>
      <c r="BE51" s="100">
        <f>FS_Annual!BE15</f>
        <v/>
      </c>
      <c r="BF51" s="100">
        <f>FS_Annual!BF15</f>
        <v/>
      </c>
      <c r="BG51" s="100">
        <f>FS_Annual!BG15</f>
        <v/>
      </c>
      <c r="BH51" s="100">
        <f>FS_Annual!BH15</f>
        <v/>
      </c>
      <c r="BI51" s="100">
        <f>FS_Annual!BI15</f>
        <v/>
      </c>
      <c r="BJ51" s="100">
        <f>FS_Annual!BJ15</f>
        <v/>
      </c>
      <c r="BK51" s="100">
        <f>FS_Annual!BK15</f>
        <v/>
      </c>
      <c r="BL51" s="100">
        <f>FS_Annual!BL15</f>
        <v/>
      </c>
      <c r="BM51" s="100">
        <f>FS_Annual!BM15</f>
        <v/>
      </c>
      <c r="BN51" s="100">
        <f>FS_Annual!BN15</f>
        <v/>
      </c>
      <c r="BO51" s="100">
        <f>FS_Annual!BO15</f>
        <v/>
      </c>
      <c r="BP51" s="100">
        <f>FS_Annual!BP15</f>
        <v/>
      </c>
      <c r="BQ51" s="100">
        <f>FS_Annual!BQ15</f>
        <v/>
      </c>
      <c r="BR51" s="100">
        <f>FS_Annual!BR15</f>
        <v/>
      </c>
      <c r="BS51" s="100">
        <f>FS_Annual!BS15</f>
        <v/>
      </c>
      <c r="BT51" s="100">
        <f>FS_Annual!BT15</f>
        <v/>
      </c>
      <c r="BU51" s="100">
        <f>FS_Annual!BU15</f>
        <v/>
      </c>
      <c r="BV51" s="100">
        <f>FS_Annual!BV15</f>
        <v/>
      </c>
      <c r="BW51" s="100">
        <f>FS_Annual!BW15</f>
        <v/>
      </c>
      <c r="BX51" s="100">
        <f>FS_Annual!BX15</f>
        <v/>
      </c>
      <c r="BY51" s="100">
        <f>FS_Annual!BY15</f>
        <v/>
      </c>
      <c r="BZ51" s="100">
        <f>FS_Annual!BZ15</f>
        <v/>
      </c>
      <c r="CA51" s="100">
        <f>FS_Annual!CA15</f>
        <v/>
      </c>
      <c r="CB51" s="100">
        <f>FS_Annual!CB15</f>
        <v/>
      </c>
      <c r="CC51" s="100">
        <f>FS_Annual!CC15</f>
        <v/>
      </c>
      <c r="CD51" s="100">
        <f>FS_Annual!CD15</f>
        <v/>
      </c>
      <c r="CE51" s="100">
        <f>FS_Annual!CE15</f>
        <v/>
      </c>
      <c r="CF51" s="100">
        <f>FS_Annual!CF15</f>
        <v/>
      </c>
      <c r="CG51" s="100">
        <f>FS_Annual!CG15</f>
        <v/>
      </c>
      <c r="CH51" s="100">
        <f>FS_Annual!CH15</f>
        <v/>
      </c>
      <c r="CI51" s="100">
        <f>FS_Annual!CI15</f>
        <v/>
      </c>
      <c r="CJ51" s="100">
        <f>FS_Annual!CJ15</f>
        <v/>
      </c>
      <c r="CK51" s="100">
        <f>FS_Annual!CK15</f>
        <v/>
      </c>
      <c r="CL51" s="100">
        <f>FS_Annual!CL15</f>
        <v/>
      </c>
      <c r="CM51" s="100">
        <f>FS_Annual!CM15</f>
        <v/>
      </c>
      <c r="CN51" s="100">
        <f>FS_Annual!CN15</f>
        <v/>
      </c>
      <c r="CO51" s="100">
        <f>FS_Annual!CO15</f>
        <v/>
      </c>
      <c r="CP51" s="100">
        <f>FS_Annual!CP15+S8</f>
        <v/>
      </c>
      <c r="CQ51" s="100" t="n">
        <v>0</v>
      </c>
      <c r="CR51" s="100" t="n">
        <v>0</v>
      </c>
      <c r="CS51" s="100" t="n">
        <v>0</v>
      </c>
      <c r="CT51" s="100" t="n">
        <v>0</v>
      </c>
      <c r="CU51" s="100" t="n">
        <v>0</v>
      </c>
      <c r="CV51" s="100" t="n">
        <v>0</v>
      </c>
      <c r="CW51" s="100" t="n">
        <v>0</v>
      </c>
      <c r="CX51" s="100" t="n">
        <v>0</v>
      </c>
      <c r="CY51" s="100" t="n">
        <v>0</v>
      </c>
      <c r="CZ51" s="100" t="n">
        <v>0</v>
      </c>
      <c r="DA51" s="100" t="n">
        <v>0</v>
      </c>
      <c r="DB51" s="100" t="n">
        <v>0</v>
      </c>
    </row>
    <row r="52">
      <c r="A52" t="inlineStr">
        <is>
          <t>Yr 17 exit — Buyer Project CF</t>
        </is>
      </c>
      <c r="C52" s="100" t="n">
        <v>0</v>
      </c>
      <c r="D52" s="100" t="n">
        <v>0</v>
      </c>
      <c r="E52" s="100" t="n">
        <v>0</v>
      </c>
      <c r="F52" s="100" t="n">
        <v>0</v>
      </c>
      <c r="G52" s="100" t="n">
        <v>0</v>
      </c>
      <c r="H52" s="100" t="n">
        <v>0</v>
      </c>
      <c r="I52" s="100" t="n">
        <v>0</v>
      </c>
      <c r="J52" s="100" t="n">
        <v>0</v>
      </c>
      <c r="K52" s="100" t="n">
        <v>0</v>
      </c>
      <c r="L52" s="100" t="n">
        <v>0</v>
      </c>
      <c r="M52" s="100" t="n">
        <v>0</v>
      </c>
      <c r="N52" s="100" t="n">
        <v>0</v>
      </c>
      <c r="O52" s="100" t="n">
        <v>0</v>
      </c>
      <c r="P52" s="100" t="n">
        <v>0</v>
      </c>
      <c r="Q52" s="100" t="n">
        <v>0</v>
      </c>
      <c r="R52" s="100" t="n">
        <v>0</v>
      </c>
      <c r="S52" s="100" t="n">
        <v>0</v>
      </c>
      <c r="T52" s="100" t="n">
        <v>0</v>
      </c>
      <c r="U52" s="100" t="n">
        <v>0</v>
      </c>
      <c r="V52" s="100" t="n">
        <v>0</v>
      </c>
      <c r="W52" s="100" t="n">
        <v>0</v>
      </c>
      <c r="X52" s="100" t="n">
        <v>0</v>
      </c>
      <c r="Y52" s="100" t="n">
        <v>0</v>
      </c>
      <c r="Z52" s="100" t="n">
        <v>0</v>
      </c>
      <c r="AA52" s="100" t="n">
        <v>0</v>
      </c>
      <c r="AB52" s="100" t="n">
        <v>0</v>
      </c>
      <c r="AC52" s="100" t="n">
        <v>0</v>
      </c>
      <c r="AD52" s="100" t="n">
        <v>0</v>
      </c>
      <c r="AE52" s="100" t="n">
        <v>0</v>
      </c>
      <c r="AF52" s="100" t="n">
        <v>0</v>
      </c>
      <c r="AG52" s="100" t="n">
        <v>0</v>
      </c>
      <c r="AH52" s="100" t="n">
        <v>0</v>
      </c>
      <c r="AI52" s="100" t="n">
        <v>0</v>
      </c>
      <c r="AJ52" s="100" t="n">
        <v>0</v>
      </c>
      <c r="AK52" s="100" t="n">
        <v>0</v>
      </c>
      <c r="AL52" s="100" t="n">
        <v>0</v>
      </c>
      <c r="AM52" s="100" t="n">
        <v>0</v>
      </c>
      <c r="AN52" s="100" t="n">
        <v>0</v>
      </c>
      <c r="AO52" s="100" t="n">
        <v>0</v>
      </c>
      <c r="AP52" s="100" t="n">
        <v>0</v>
      </c>
      <c r="AQ52" s="100" t="n">
        <v>0</v>
      </c>
      <c r="AR52" s="100" t="n">
        <v>0</v>
      </c>
      <c r="AS52" s="100" t="n">
        <v>0</v>
      </c>
      <c r="AT52" s="100" t="n">
        <v>0</v>
      </c>
      <c r="AU52" s="100" t="n">
        <v>0</v>
      </c>
      <c r="AV52" s="100" t="n">
        <v>0</v>
      </c>
      <c r="AW52" s="100" t="n">
        <v>0</v>
      </c>
      <c r="AX52" s="100" t="n">
        <v>0</v>
      </c>
      <c r="AY52" s="100" t="n">
        <v>0</v>
      </c>
      <c r="AZ52" s="100" t="n">
        <v>0</v>
      </c>
      <c r="BA52" s="100" t="n">
        <v>0</v>
      </c>
      <c r="BB52" s="100" t="n">
        <v>0</v>
      </c>
      <c r="BC52" s="100" t="n">
        <v>0</v>
      </c>
      <c r="BD52" s="100" t="n">
        <v>0</v>
      </c>
      <c r="BE52" s="100" t="n">
        <v>0</v>
      </c>
      <c r="BF52" s="100" t="n">
        <v>0</v>
      </c>
      <c r="BG52" s="100" t="n">
        <v>0</v>
      </c>
      <c r="BH52" s="100" t="n">
        <v>0</v>
      </c>
      <c r="BI52" s="100" t="n">
        <v>0</v>
      </c>
      <c r="BJ52" s="100" t="n">
        <v>0</v>
      </c>
      <c r="BK52" s="100" t="n">
        <v>0</v>
      </c>
      <c r="BL52" s="100" t="n">
        <v>0</v>
      </c>
      <c r="BM52" s="100" t="n">
        <v>0</v>
      </c>
      <c r="BN52" s="100" t="n">
        <v>0</v>
      </c>
      <c r="BO52" s="100" t="n">
        <v>0</v>
      </c>
      <c r="BP52" s="100" t="n">
        <v>0</v>
      </c>
      <c r="BQ52" s="100" t="n">
        <v>0</v>
      </c>
      <c r="BR52" s="100" t="n">
        <v>0</v>
      </c>
      <c r="BS52" s="100" t="n">
        <v>0</v>
      </c>
      <c r="BT52" s="100" t="n">
        <v>0</v>
      </c>
      <c r="BU52" s="100" t="n">
        <v>0</v>
      </c>
      <c r="BV52" s="100" t="n">
        <v>0</v>
      </c>
      <c r="BW52" s="100" t="n">
        <v>0</v>
      </c>
      <c r="BX52" s="100" t="n">
        <v>0</v>
      </c>
      <c r="BY52" s="100" t="n">
        <v>0</v>
      </c>
      <c r="BZ52" s="100" t="n">
        <v>0</v>
      </c>
      <c r="CA52" s="100" t="n">
        <v>0</v>
      </c>
      <c r="CB52" s="100" t="n">
        <v>0</v>
      </c>
      <c r="CC52" s="100" t="n">
        <v>0</v>
      </c>
      <c r="CD52" s="100" t="n">
        <v>0</v>
      </c>
      <c r="CE52" s="100" t="n">
        <v>0</v>
      </c>
      <c r="CF52" s="100" t="n">
        <v>0</v>
      </c>
      <c r="CG52" s="100" t="n">
        <v>0</v>
      </c>
      <c r="CH52" s="100" t="n">
        <v>0</v>
      </c>
      <c r="CI52" s="100" t="n">
        <v>0</v>
      </c>
      <c r="CJ52" s="100" t="n">
        <v>0</v>
      </c>
      <c r="CK52" s="100" t="n">
        <v>0</v>
      </c>
      <c r="CL52" s="100" t="n">
        <v>0</v>
      </c>
      <c r="CM52" s="100" t="n">
        <v>0</v>
      </c>
      <c r="CN52" s="100" t="n">
        <v>0</v>
      </c>
      <c r="CO52" s="100" t="n">
        <v>0</v>
      </c>
      <c r="CP52" s="100">
        <f>-S10</f>
        <v/>
      </c>
      <c r="CQ52" s="100">
        <f>FS_Annual!CQ14</f>
        <v/>
      </c>
      <c r="CR52" s="100">
        <f>FS_Annual!CR14</f>
        <v/>
      </c>
      <c r="CS52" s="100">
        <f>FS_Annual!CS14</f>
        <v/>
      </c>
      <c r="CT52" s="100">
        <f>FS_Annual!CT14</f>
        <v/>
      </c>
      <c r="CU52" s="100">
        <f>FS_Annual!CU14</f>
        <v/>
      </c>
      <c r="CV52" s="100">
        <f>FS_Annual!CV14</f>
        <v/>
      </c>
      <c r="CW52" s="100">
        <f>FS_Annual!CW14</f>
        <v/>
      </c>
      <c r="CX52" s="100">
        <f>FS_Annual!CX14</f>
        <v/>
      </c>
      <c r="CY52" s="100">
        <f>FS_Annual!CY14</f>
        <v/>
      </c>
      <c r="CZ52" s="100">
        <f>FS_Annual!CZ14</f>
        <v/>
      </c>
      <c r="DA52" s="100">
        <f>FS_Annual!DA14</f>
        <v/>
      </c>
      <c r="DB52" s="100">
        <f>FS_Annual!DB14</f>
        <v/>
      </c>
    </row>
    <row r="53">
      <c r="A53" t="inlineStr">
        <is>
          <t>Yr 18 exit — Seller Equity CF</t>
        </is>
      </c>
      <c r="C53" s="100">
        <f>FS_Annual!C15</f>
        <v/>
      </c>
      <c r="D53" s="100">
        <f>FS_Annual!D15</f>
        <v/>
      </c>
      <c r="E53" s="100">
        <f>FS_Annual!E15</f>
        <v/>
      </c>
      <c r="F53" s="100">
        <f>FS_Annual!F15</f>
        <v/>
      </c>
      <c r="G53" s="100">
        <f>FS_Annual!G15</f>
        <v/>
      </c>
      <c r="H53" s="100">
        <f>FS_Annual!H15</f>
        <v/>
      </c>
      <c r="I53" s="100">
        <f>FS_Annual!I15</f>
        <v/>
      </c>
      <c r="J53" s="100">
        <f>FS_Annual!J15</f>
        <v/>
      </c>
      <c r="K53" s="100">
        <f>FS_Annual!K15</f>
        <v/>
      </c>
      <c r="L53" s="100">
        <f>FS_Annual!L15</f>
        <v/>
      </c>
      <c r="M53" s="100">
        <f>FS_Annual!M15</f>
        <v/>
      </c>
      <c r="N53" s="100">
        <f>FS_Annual!N15</f>
        <v/>
      </c>
      <c r="O53" s="100">
        <f>FS_Annual!O15</f>
        <v/>
      </c>
      <c r="P53" s="100">
        <f>FS_Annual!P15</f>
        <v/>
      </c>
      <c r="Q53" s="100">
        <f>FS_Annual!Q15</f>
        <v/>
      </c>
      <c r="R53" s="100">
        <f>FS_Annual!R15</f>
        <v/>
      </c>
      <c r="S53" s="100">
        <f>FS_Annual!S15</f>
        <v/>
      </c>
      <c r="T53" s="100">
        <f>FS_Annual!T15</f>
        <v/>
      </c>
      <c r="U53" s="100">
        <f>FS_Annual!U15</f>
        <v/>
      </c>
      <c r="V53" s="100">
        <f>FS_Annual!V15</f>
        <v/>
      </c>
      <c r="W53" s="100">
        <f>FS_Annual!W15</f>
        <v/>
      </c>
      <c r="X53" s="100">
        <f>FS_Annual!X15</f>
        <v/>
      </c>
      <c r="Y53" s="100">
        <f>FS_Annual!Y15</f>
        <v/>
      </c>
      <c r="Z53" s="100">
        <f>FS_Annual!Z15</f>
        <v/>
      </c>
      <c r="AA53" s="100">
        <f>FS_Annual!AA15</f>
        <v/>
      </c>
      <c r="AB53" s="100">
        <f>FS_Annual!AB15</f>
        <v/>
      </c>
      <c r="AC53" s="100">
        <f>FS_Annual!AC15</f>
        <v/>
      </c>
      <c r="AD53" s="100">
        <f>FS_Annual!AD15</f>
        <v/>
      </c>
      <c r="AE53" s="100">
        <f>FS_Annual!AE15</f>
        <v/>
      </c>
      <c r="AF53" s="100">
        <f>FS_Annual!AF15</f>
        <v/>
      </c>
      <c r="AG53" s="100">
        <f>FS_Annual!AG15</f>
        <v/>
      </c>
      <c r="AH53" s="100">
        <f>FS_Annual!AH15</f>
        <v/>
      </c>
      <c r="AI53" s="100">
        <f>FS_Annual!AI15</f>
        <v/>
      </c>
      <c r="AJ53" s="100">
        <f>FS_Annual!AJ15</f>
        <v/>
      </c>
      <c r="AK53" s="100">
        <f>FS_Annual!AK15</f>
        <v/>
      </c>
      <c r="AL53" s="100">
        <f>FS_Annual!AL15</f>
        <v/>
      </c>
      <c r="AM53" s="100">
        <f>FS_Annual!AM15</f>
        <v/>
      </c>
      <c r="AN53" s="100">
        <f>FS_Annual!AN15</f>
        <v/>
      </c>
      <c r="AO53" s="100">
        <f>FS_Annual!AO15</f>
        <v/>
      </c>
      <c r="AP53" s="100">
        <f>FS_Annual!AP15</f>
        <v/>
      </c>
      <c r="AQ53" s="100">
        <f>FS_Annual!AQ15</f>
        <v/>
      </c>
      <c r="AR53" s="100">
        <f>FS_Annual!AR15</f>
        <v/>
      </c>
      <c r="AS53" s="100">
        <f>FS_Annual!AS15</f>
        <v/>
      </c>
      <c r="AT53" s="100">
        <f>FS_Annual!AT15</f>
        <v/>
      </c>
      <c r="AU53" s="100">
        <f>FS_Annual!AU15</f>
        <v/>
      </c>
      <c r="AV53" s="100">
        <f>FS_Annual!AV15</f>
        <v/>
      </c>
      <c r="AW53" s="100">
        <f>FS_Annual!AW15</f>
        <v/>
      </c>
      <c r="AX53" s="100">
        <f>FS_Annual!AX15</f>
        <v/>
      </c>
      <c r="AY53" s="100">
        <f>FS_Annual!AY15</f>
        <v/>
      </c>
      <c r="AZ53" s="100">
        <f>FS_Annual!AZ15</f>
        <v/>
      </c>
      <c r="BA53" s="100">
        <f>FS_Annual!BA15</f>
        <v/>
      </c>
      <c r="BB53" s="100">
        <f>FS_Annual!BB15</f>
        <v/>
      </c>
      <c r="BC53" s="100">
        <f>FS_Annual!BC15</f>
        <v/>
      </c>
      <c r="BD53" s="100">
        <f>FS_Annual!BD15</f>
        <v/>
      </c>
      <c r="BE53" s="100">
        <f>FS_Annual!BE15</f>
        <v/>
      </c>
      <c r="BF53" s="100">
        <f>FS_Annual!BF15</f>
        <v/>
      </c>
      <c r="BG53" s="100">
        <f>FS_Annual!BG15</f>
        <v/>
      </c>
      <c r="BH53" s="100">
        <f>FS_Annual!BH15</f>
        <v/>
      </c>
      <c r="BI53" s="100">
        <f>FS_Annual!BI15</f>
        <v/>
      </c>
      <c r="BJ53" s="100">
        <f>FS_Annual!BJ15</f>
        <v/>
      </c>
      <c r="BK53" s="100">
        <f>FS_Annual!BK15</f>
        <v/>
      </c>
      <c r="BL53" s="100">
        <f>FS_Annual!BL15</f>
        <v/>
      </c>
      <c r="BM53" s="100">
        <f>FS_Annual!BM15</f>
        <v/>
      </c>
      <c r="BN53" s="100">
        <f>FS_Annual!BN15</f>
        <v/>
      </c>
      <c r="BO53" s="100">
        <f>FS_Annual!BO15</f>
        <v/>
      </c>
      <c r="BP53" s="100">
        <f>FS_Annual!BP15</f>
        <v/>
      </c>
      <c r="BQ53" s="100">
        <f>FS_Annual!BQ15</f>
        <v/>
      </c>
      <c r="BR53" s="100">
        <f>FS_Annual!BR15</f>
        <v/>
      </c>
      <c r="BS53" s="100">
        <f>FS_Annual!BS15</f>
        <v/>
      </c>
      <c r="BT53" s="100">
        <f>FS_Annual!BT15</f>
        <v/>
      </c>
      <c r="BU53" s="100">
        <f>FS_Annual!BU15</f>
        <v/>
      </c>
      <c r="BV53" s="100">
        <f>FS_Annual!BV15</f>
        <v/>
      </c>
      <c r="BW53" s="100">
        <f>FS_Annual!BW15</f>
        <v/>
      </c>
      <c r="BX53" s="100">
        <f>FS_Annual!BX15</f>
        <v/>
      </c>
      <c r="BY53" s="100">
        <f>FS_Annual!BY15</f>
        <v/>
      </c>
      <c r="BZ53" s="100">
        <f>FS_Annual!BZ15</f>
        <v/>
      </c>
      <c r="CA53" s="100">
        <f>FS_Annual!CA15</f>
        <v/>
      </c>
      <c r="CB53" s="100">
        <f>FS_Annual!CB15</f>
        <v/>
      </c>
      <c r="CC53" s="100">
        <f>FS_Annual!CC15</f>
        <v/>
      </c>
      <c r="CD53" s="100">
        <f>FS_Annual!CD15</f>
        <v/>
      </c>
      <c r="CE53" s="100">
        <f>FS_Annual!CE15</f>
        <v/>
      </c>
      <c r="CF53" s="100">
        <f>FS_Annual!CF15</f>
        <v/>
      </c>
      <c r="CG53" s="100">
        <f>FS_Annual!CG15</f>
        <v/>
      </c>
      <c r="CH53" s="100">
        <f>FS_Annual!CH15</f>
        <v/>
      </c>
      <c r="CI53" s="100">
        <f>FS_Annual!CI15</f>
        <v/>
      </c>
      <c r="CJ53" s="100">
        <f>FS_Annual!CJ15</f>
        <v/>
      </c>
      <c r="CK53" s="100">
        <f>FS_Annual!CK15</f>
        <v/>
      </c>
      <c r="CL53" s="100">
        <f>FS_Annual!CL15</f>
        <v/>
      </c>
      <c r="CM53" s="100">
        <f>FS_Annual!CM15</f>
        <v/>
      </c>
      <c r="CN53" s="100">
        <f>FS_Annual!CN15</f>
        <v/>
      </c>
      <c r="CO53" s="100">
        <f>FS_Annual!CO15</f>
        <v/>
      </c>
      <c r="CP53" s="100">
        <f>FS_Annual!CP15</f>
        <v/>
      </c>
      <c r="CQ53" s="100">
        <f>FS_Annual!CQ15</f>
        <v/>
      </c>
      <c r="CR53" s="100">
        <f>FS_Annual!CR15</f>
        <v/>
      </c>
      <c r="CS53" s="100">
        <f>FS_Annual!CS15</f>
        <v/>
      </c>
      <c r="CT53" s="100">
        <f>FS_Annual!CT15+T8</f>
        <v/>
      </c>
      <c r="CU53" s="100" t="n">
        <v>0</v>
      </c>
      <c r="CV53" s="100" t="n">
        <v>0</v>
      </c>
      <c r="CW53" s="100" t="n">
        <v>0</v>
      </c>
      <c r="CX53" s="100" t="n">
        <v>0</v>
      </c>
      <c r="CY53" s="100" t="n">
        <v>0</v>
      </c>
      <c r="CZ53" s="100" t="n">
        <v>0</v>
      </c>
      <c r="DA53" s="100" t="n">
        <v>0</v>
      </c>
      <c r="DB53" s="100" t="n">
        <v>0</v>
      </c>
    </row>
    <row r="54">
      <c r="A54" t="inlineStr">
        <is>
          <t>Yr 18 exit — Buyer Project CF</t>
        </is>
      </c>
      <c r="C54" s="100" t="n">
        <v>0</v>
      </c>
      <c r="D54" s="100" t="n">
        <v>0</v>
      </c>
      <c r="E54" s="100" t="n">
        <v>0</v>
      </c>
      <c r="F54" s="100" t="n">
        <v>0</v>
      </c>
      <c r="G54" s="100" t="n">
        <v>0</v>
      </c>
      <c r="H54" s="100" t="n">
        <v>0</v>
      </c>
      <c r="I54" s="100" t="n">
        <v>0</v>
      </c>
      <c r="J54" s="100" t="n">
        <v>0</v>
      </c>
      <c r="K54" s="100" t="n">
        <v>0</v>
      </c>
      <c r="L54" s="100" t="n">
        <v>0</v>
      </c>
      <c r="M54" s="100" t="n">
        <v>0</v>
      </c>
      <c r="N54" s="100" t="n">
        <v>0</v>
      </c>
      <c r="O54" s="100" t="n">
        <v>0</v>
      </c>
      <c r="P54" s="100" t="n">
        <v>0</v>
      </c>
      <c r="Q54" s="100" t="n">
        <v>0</v>
      </c>
      <c r="R54" s="100" t="n">
        <v>0</v>
      </c>
      <c r="S54" s="100" t="n">
        <v>0</v>
      </c>
      <c r="T54" s="100" t="n">
        <v>0</v>
      </c>
      <c r="U54" s="100" t="n">
        <v>0</v>
      </c>
      <c r="V54" s="100" t="n">
        <v>0</v>
      </c>
      <c r="W54" s="100" t="n">
        <v>0</v>
      </c>
      <c r="X54" s="100" t="n">
        <v>0</v>
      </c>
      <c r="Y54" s="100" t="n">
        <v>0</v>
      </c>
      <c r="Z54" s="100" t="n">
        <v>0</v>
      </c>
      <c r="AA54" s="100" t="n">
        <v>0</v>
      </c>
      <c r="AB54" s="100" t="n">
        <v>0</v>
      </c>
      <c r="AC54" s="100" t="n">
        <v>0</v>
      </c>
      <c r="AD54" s="100" t="n">
        <v>0</v>
      </c>
      <c r="AE54" s="100" t="n">
        <v>0</v>
      </c>
      <c r="AF54" s="100" t="n">
        <v>0</v>
      </c>
      <c r="AG54" s="100" t="n">
        <v>0</v>
      </c>
      <c r="AH54" s="100" t="n">
        <v>0</v>
      </c>
      <c r="AI54" s="100" t="n">
        <v>0</v>
      </c>
      <c r="AJ54" s="100" t="n">
        <v>0</v>
      </c>
      <c r="AK54" s="100" t="n">
        <v>0</v>
      </c>
      <c r="AL54" s="100" t="n">
        <v>0</v>
      </c>
      <c r="AM54" s="100" t="n">
        <v>0</v>
      </c>
      <c r="AN54" s="100" t="n">
        <v>0</v>
      </c>
      <c r="AO54" s="100" t="n">
        <v>0</v>
      </c>
      <c r="AP54" s="100" t="n">
        <v>0</v>
      </c>
      <c r="AQ54" s="100" t="n">
        <v>0</v>
      </c>
      <c r="AR54" s="100" t="n">
        <v>0</v>
      </c>
      <c r="AS54" s="100" t="n">
        <v>0</v>
      </c>
      <c r="AT54" s="100" t="n">
        <v>0</v>
      </c>
      <c r="AU54" s="100" t="n">
        <v>0</v>
      </c>
      <c r="AV54" s="100" t="n">
        <v>0</v>
      </c>
      <c r="AW54" s="100" t="n">
        <v>0</v>
      </c>
      <c r="AX54" s="100" t="n">
        <v>0</v>
      </c>
      <c r="AY54" s="100" t="n">
        <v>0</v>
      </c>
      <c r="AZ54" s="100" t="n">
        <v>0</v>
      </c>
      <c r="BA54" s="100" t="n">
        <v>0</v>
      </c>
      <c r="BB54" s="100" t="n">
        <v>0</v>
      </c>
      <c r="BC54" s="100" t="n">
        <v>0</v>
      </c>
      <c r="BD54" s="100" t="n">
        <v>0</v>
      </c>
      <c r="BE54" s="100" t="n">
        <v>0</v>
      </c>
      <c r="BF54" s="100" t="n">
        <v>0</v>
      </c>
      <c r="BG54" s="100" t="n">
        <v>0</v>
      </c>
      <c r="BH54" s="100" t="n">
        <v>0</v>
      </c>
      <c r="BI54" s="100" t="n">
        <v>0</v>
      </c>
      <c r="BJ54" s="100" t="n">
        <v>0</v>
      </c>
      <c r="BK54" s="100" t="n">
        <v>0</v>
      </c>
      <c r="BL54" s="100" t="n">
        <v>0</v>
      </c>
      <c r="BM54" s="100" t="n">
        <v>0</v>
      </c>
      <c r="BN54" s="100" t="n">
        <v>0</v>
      </c>
      <c r="BO54" s="100" t="n">
        <v>0</v>
      </c>
      <c r="BP54" s="100" t="n">
        <v>0</v>
      </c>
      <c r="BQ54" s="100" t="n">
        <v>0</v>
      </c>
      <c r="BR54" s="100" t="n">
        <v>0</v>
      </c>
      <c r="BS54" s="100" t="n">
        <v>0</v>
      </c>
      <c r="BT54" s="100" t="n">
        <v>0</v>
      </c>
      <c r="BU54" s="100" t="n">
        <v>0</v>
      </c>
      <c r="BV54" s="100" t="n">
        <v>0</v>
      </c>
      <c r="BW54" s="100" t="n">
        <v>0</v>
      </c>
      <c r="BX54" s="100" t="n">
        <v>0</v>
      </c>
      <c r="BY54" s="100" t="n">
        <v>0</v>
      </c>
      <c r="BZ54" s="100" t="n">
        <v>0</v>
      </c>
      <c r="CA54" s="100" t="n">
        <v>0</v>
      </c>
      <c r="CB54" s="100" t="n">
        <v>0</v>
      </c>
      <c r="CC54" s="100" t="n">
        <v>0</v>
      </c>
      <c r="CD54" s="100" t="n">
        <v>0</v>
      </c>
      <c r="CE54" s="100" t="n">
        <v>0</v>
      </c>
      <c r="CF54" s="100" t="n">
        <v>0</v>
      </c>
      <c r="CG54" s="100" t="n">
        <v>0</v>
      </c>
      <c r="CH54" s="100" t="n">
        <v>0</v>
      </c>
      <c r="CI54" s="100" t="n">
        <v>0</v>
      </c>
      <c r="CJ54" s="100" t="n">
        <v>0</v>
      </c>
      <c r="CK54" s="100" t="n">
        <v>0</v>
      </c>
      <c r="CL54" s="100" t="n">
        <v>0</v>
      </c>
      <c r="CM54" s="100" t="n">
        <v>0</v>
      </c>
      <c r="CN54" s="100" t="n">
        <v>0</v>
      </c>
      <c r="CO54" s="100" t="n">
        <v>0</v>
      </c>
      <c r="CP54" s="100" t="n">
        <v>0</v>
      </c>
      <c r="CQ54" s="100" t="n">
        <v>0</v>
      </c>
      <c r="CR54" s="100" t="n">
        <v>0</v>
      </c>
      <c r="CS54" s="100" t="n">
        <v>0</v>
      </c>
      <c r="CT54" s="100">
        <f>-T10</f>
        <v/>
      </c>
      <c r="CU54" s="100">
        <f>FS_Annual!CU14</f>
        <v/>
      </c>
      <c r="CV54" s="100">
        <f>FS_Annual!CV14</f>
        <v/>
      </c>
      <c r="CW54" s="100">
        <f>FS_Annual!CW14</f>
        <v/>
      </c>
      <c r="CX54" s="100">
        <f>FS_Annual!CX14</f>
        <v/>
      </c>
      <c r="CY54" s="100">
        <f>FS_Annual!CY14</f>
        <v/>
      </c>
      <c r="CZ54" s="100">
        <f>FS_Annual!CZ14</f>
        <v/>
      </c>
      <c r="DA54" s="100">
        <f>FS_Annual!DA14</f>
        <v/>
      </c>
      <c r="DB54" s="100">
        <f>FS_Annual!DB14</f>
        <v/>
      </c>
    </row>
    <row r="55">
      <c r="A55" t="inlineStr">
        <is>
          <t>Yr 19 exit — Seller Equity CF</t>
        </is>
      </c>
      <c r="C55" s="100">
        <f>FS_Annual!C15</f>
        <v/>
      </c>
      <c r="D55" s="100">
        <f>FS_Annual!D15</f>
        <v/>
      </c>
      <c r="E55" s="100">
        <f>FS_Annual!E15</f>
        <v/>
      </c>
      <c r="F55" s="100">
        <f>FS_Annual!F15</f>
        <v/>
      </c>
      <c r="G55" s="100">
        <f>FS_Annual!G15</f>
        <v/>
      </c>
      <c r="H55" s="100">
        <f>FS_Annual!H15</f>
        <v/>
      </c>
      <c r="I55" s="100">
        <f>FS_Annual!I15</f>
        <v/>
      </c>
      <c r="J55" s="100">
        <f>FS_Annual!J15</f>
        <v/>
      </c>
      <c r="K55" s="100">
        <f>FS_Annual!K15</f>
        <v/>
      </c>
      <c r="L55" s="100">
        <f>FS_Annual!L15</f>
        <v/>
      </c>
      <c r="M55" s="100">
        <f>FS_Annual!M15</f>
        <v/>
      </c>
      <c r="N55" s="100">
        <f>FS_Annual!N15</f>
        <v/>
      </c>
      <c r="O55" s="100">
        <f>FS_Annual!O15</f>
        <v/>
      </c>
      <c r="P55" s="100">
        <f>FS_Annual!P15</f>
        <v/>
      </c>
      <c r="Q55" s="100">
        <f>FS_Annual!Q15</f>
        <v/>
      </c>
      <c r="R55" s="100">
        <f>FS_Annual!R15</f>
        <v/>
      </c>
      <c r="S55" s="100">
        <f>FS_Annual!S15</f>
        <v/>
      </c>
      <c r="T55" s="100">
        <f>FS_Annual!T15</f>
        <v/>
      </c>
      <c r="U55" s="100">
        <f>FS_Annual!U15</f>
        <v/>
      </c>
      <c r="V55" s="100">
        <f>FS_Annual!V15</f>
        <v/>
      </c>
      <c r="W55" s="100">
        <f>FS_Annual!W15</f>
        <v/>
      </c>
      <c r="X55" s="100">
        <f>FS_Annual!X15</f>
        <v/>
      </c>
      <c r="Y55" s="100">
        <f>FS_Annual!Y15</f>
        <v/>
      </c>
      <c r="Z55" s="100">
        <f>FS_Annual!Z15</f>
        <v/>
      </c>
      <c r="AA55" s="100">
        <f>FS_Annual!AA15</f>
        <v/>
      </c>
      <c r="AB55" s="100">
        <f>FS_Annual!AB15</f>
        <v/>
      </c>
      <c r="AC55" s="100">
        <f>FS_Annual!AC15</f>
        <v/>
      </c>
      <c r="AD55" s="100">
        <f>FS_Annual!AD15</f>
        <v/>
      </c>
      <c r="AE55" s="100">
        <f>FS_Annual!AE15</f>
        <v/>
      </c>
      <c r="AF55" s="100">
        <f>FS_Annual!AF15</f>
        <v/>
      </c>
      <c r="AG55" s="100">
        <f>FS_Annual!AG15</f>
        <v/>
      </c>
      <c r="AH55" s="100">
        <f>FS_Annual!AH15</f>
        <v/>
      </c>
      <c r="AI55" s="100">
        <f>FS_Annual!AI15</f>
        <v/>
      </c>
      <c r="AJ55" s="100">
        <f>FS_Annual!AJ15</f>
        <v/>
      </c>
      <c r="AK55" s="100">
        <f>FS_Annual!AK15</f>
        <v/>
      </c>
      <c r="AL55" s="100">
        <f>FS_Annual!AL15</f>
        <v/>
      </c>
      <c r="AM55" s="100">
        <f>FS_Annual!AM15</f>
        <v/>
      </c>
      <c r="AN55" s="100">
        <f>FS_Annual!AN15</f>
        <v/>
      </c>
      <c r="AO55" s="100">
        <f>FS_Annual!AO15</f>
        <v/>
      </c>
      <c r="AP55" s="100">
        <f>FS_Annual!AP15</f>
        <v/>
      </c>
      <c r="AQ55" s="100">
        <f>FS_Annual!AQ15</f>
        <v/>
      </c>
      <c r="AR55" s="100">
        <f>FS_Annual!AR15</f>
        <v/>
      </c>
      <c r="AS55" s="100">
        <f>FS_Annual!AS15</f>
        <v/>
      </c>
      <c r="AT55" s="100">
        <f>FS_Annual!AT15</f>
        <v/>
      </c>
      <c r="AU55" s="100">
        <f>FS_Annual!AU15</f>
        <v/>
      </c>
      <c r="AV55" s="100">
        <f>FS_Annual!AV15</f>
        <v/>
      </c>
      <c r="AW55" s="100">
        <f>FS_Annual!AW15</f>
        <v/>
      </c>
      <c r="AX55" s="100">
        <f>FS_Annual!AX15</f>
        <v/>
      </c>
      <c r="AY55" s="100">
        <f>FS_Annual!AY15</f>
        <v/>
      </c>
      <c r="AZ55" s="100">
        <f>FS_Annual!AZ15</f>
        <v/>
      </c>
      <c r="BA55" s="100">
        <f>FS_Annual!BA15</f>
        <v/>
      </c>
      <c r="BB55" s="100">
        <f>FS_Annual!BB15</f>
        <v/>
      </c>
      <c r="BC55" s="100">
        <f>FS_Annual!BC15</f>
        <v/>
      </c>
      <c r="BD55" s="100">
        <f>FS_Annual!BD15</f>
        <v/>
      </c>
      <c r="BE55" s="100">
        <f>FS_Annual!BE15</f>
        <v/>
      </c>
      <c r="BF55" s="100">
        <f>FS_Annual!BF15</f>
        <v/>
      </c>
      <c r="BG55" s="100">
        <f>FS_Annual!BG15</f>
        <v/>
      </c>
      <c r="BH55" s="100">
        <f>FS_Annual!BH15</f>
        <v/>
      </c>
      <c r="BI55" s="100">
        <f>FS_Annual!BI15</f>
        <v/>
      </c>
      <c r="BJ55" s="100">
        <f>FS_Annual!BJ15</f>
        <v/>
      </c>
      <c r="BK55" s="100">
        <f>FS_Annual!BK15</f>
        <v/>
      </c>
      <c r="BL55" s="100">
        <f>FS_Annual!BL15</f>
        <v/>
      </c>
      <c r="BM55" s="100">
        <f>FS_Annual!BM15</f>
        <v/>
      </c>
      <c r="BN55" s="100">
        <f>FS_Annual!BN15</f>
        <v/>
      </c>
      <c r="BO55" s="100">
        <f>FS_Annual!BO15</f>
        <v/>
      </c>
      <c r="BP55" s="100">
        <f>FS_Annual!BP15</f>
        <v/>
      </c>
      <c r="BQ55" s="100">
        <f>FS_Annual!BQ15</f>
        <v/>
      </c>
      <c r="BR55" s="100">
        <f>FS_Annual!BR15</f>
        <v/>
      </c>
      <c r="BS55" s="100">
        <f>FS_Annual!BS15</f>
        <v/>
      </c>
      <c r="BT55" s="100">
        <f>FS_Annual!BT15</f>
        <v/>
      </c>
      <c r="BU55" s="100">
        <f>FS_Annual!BU15</f>
        <v/>
      </c>
      <c r="BV55" s="100">
        <f>FS_Annual!BV15</f>
        <v/>
      </c>
      <c r="BW55" s="100">
        <f>FS_Annual!BW15</f>
        <v/>
      </c>
      <c r="BX55" s="100">
        <f>FS_Annual!BX15</f>
        <v/>
      </c>
      <c r="BY55" s="100">
        <f>FS_Annual!BY15</f>
        <v/>
      </c>
      <c r="BZ55" s="100">
        <f>FS_Annual!BZ15</f>
        <v/>
      </c>
      <c r="CA55" s="100">
        <f>FS_Annual!CA15</f>
        <v/>
      </c>
      <c r="CB55" s="100">
        <f>FS_Annual!CB15</f>
        <v/>
      </c>
      <c r="CC55" s="100">
        <f>FS_Annual!CC15</f>
        <v/>
      </c>
      <c r="CD55" s="100">
        <f>FS_Annual!CD15</f>
        <v/>
      </c>
      <c r="CE55" s="100">
        <f>FS_Annual!CE15</f>
        <v/>
      </c>
      <c r="CF55" s="100">
        <f>FS_Annual!CF15</f>
        <v/>
      </c>
      <c r="CG55" s="100">
        <f>FS_Annual!CG15</f>
        <v/>
      </c>
      <c r="CH55" s="100">
        <f>FS_Annual!CH15</f>
        <v/>
      </c>
      <c r="CI55" s="100">
        <f>FS_Annual!CI15</f>
        <v/>
      </c>
      <c r="CJ55" s="100">
        <f>FS_Annual!CJ15</f>
        <v/>
      </c>
      <c r="CK55" s="100">
        <f>FS_Annual!CK15</f>
        <v/>
      </c>
      <c r="CL55" s="100">
        <f>FS_Annual!CL15</f>
        <v/>
      </c>
      <c r="CM55" s="100">
        <f>FS_Annual!CM15</f>
        <v/>
      </c>
      <c r="CN55" s="100">
        <f>FS_Annual!CN15</f>
        <v/>
      </c>
      <c r="CO55" s="100">
        <f>FS_Annual!CO15</f>
        <v/>
      </c>
      <c r="CP55" s="100">
        <f>FS_Annual!CP15</f>
        <v/>
      </c>
      <c r="CQ55" s="100">
        <f>FS_Annual!CQ15</f>
        <v/>
      </c>
      <c r="CR55" s="100">
        <f>FS_Annual!CR15</f>
        <v/>
      </c>
      <c r="CS55" s="100">
        <f>FS_Annual!CS15</f>
        <v/>
      </c>
      <c r="CT55" s="100">
        <f>FS_Annual!CT15</f>
        <v/>
      </c>
      <c r="CU55" s="100">
        <f>FS_Annual!CU15</f>
        <v/>
      </c>
      <c r="CV55" s="100">
        <f>FS_Annual!CV15</f>
        <v/>
      </c>
      <c r="CW55" s="100">
        <f>FS_Annual!CW15</f>
        <v/>
      </c>
      <c r="CX55" s="100">
        <f>FS_Annual!CX15+U8</f>
        <v/>
      </c>
      <c r="CY55" s="100" t="n">
        <v>0</v>
      </c>
      <c r="CZ55" s="100" t="n">
        <v>0</v>
      </c>
      <c r="DA55" s="100" t="n">
        <v>0</v>
      </c>
      <c r="DB55" s="100" t="n">
        <v>0</v>
      </c>
    </row>
    <row r="56">
      <c r="A56" t="inlineStr">
        <is>
          <t>Yr 19 exit — Buyer Project CF</t>
        </is>
      </c>
      <c r="C56" s="100" t="n">
        <v>0</v>
      </c>
      <c r="D56" s="100" t="n">
        <v>0</v>
      </c>
      <c r="E56" s="100" t="n">
        <v>0</v>
      </c>
      <c r="F56" s="100" t="n">
        <v>0</v>
      </c>
      <c r="G56" s="100" t="n">
        <v>0</v>
      </c>
      <c r="H56" s="100" t="n">
        <v>0</v>
      </c>
      <c r="I56" s="100" t="n">
        <v>0</v>
      </c>
      <c r="J56" s="100" t="n">
        <v>0</v>
      </c>
      <c r="K56" s="100" t="n">
        <v>0</v>
      </c>
      <c r="L56" s="100" t="n">
        <v>0</v>
      </c>
      <c r="M56" s="100" t="n">
        <v>0</v>
      </c>
      <c r="N56" s="100" t="n">
        <v>0</v>
      </c>
      <c r="O56" s="100" t="n">
        <v>0</v>
      </c>
      <c r="P56" s="100" t="n">
        <v>0</v>
      </c>
      <c r="Q56" s="100" t="n">
        <v>0</v>
      </c>
      <c r="R56" s="100" t="n">
        <v>0</v>
      </c>
      <c r="S56" s="100" t="n">
        <v>0</v>
      </c>
      <c r="T56" s="100" t="n">
        <v>0</v>
      </c>
      <c r="U56" s="100" t="n">
        <v>0</v>
      </c>
      <c r="V56" s="100" t="n">
        <v>0</v>
      </c>
      <c r="W56" s="100" t="n">
        <v>0</v>
      </c>
      <c r="X56" s="100" t="n">
        <v>0</v>
      </c>
      <c r="Y56" s="100" t="n">
        <v>0</v>
      </c>
      <c r="Z56" s="100" t="n">
        <v>0</v>
      </c>
      <c r="AA56" s="100" t="n">
        <v>0</v>
      </c>
      <c r="AB56" s="100" t="n">
        <v>0</v>
      </c>
      <c r="AC56" s="100" t="n">
        <v>0</v>
      </c>
      <c r="AD56" s="100" t="n">
        <v>0</v>
      </c>
      <c r="AE56" s="100" t="n">
        <v>0</v>
      </c>
      <c r="AF56" s="100" t="n">
        <v>0</v>
      </c>
      <c r="AG56" s="100" t="n">
        <v>0</v>
      </c>
      <c r="AH56" s="100" t="n">
        <v>0</v>
      </c>
      <c r="AI56" s="100" t="n">
        <v>0</v>
      </c>
      <c r="AJ56" s="100" t="n">
        <v>0</v>
      </c>
      <c r="AK56" s="100" t="n">
        <v>0</v>
      </c>
      <c r="AL56" s="100" t="n">
        <v>0</v>
      </c>
      <c r="AM56" s="100" t="n">
        <v>0</v>
      </c>
      <c r="AN56" s="100" t="n">
        <v>0</v>
      </c>
      <c r="AO56" s="100" t="n">
        <v>0</v>
      </c>
      <c r="AP56" s="100" t="n">
        <v>0</v>
      </c>
      <c r="AQ56" s="100" t="n">
        <v>0</v>
      </c>
      <c r="AR56" s="100" t="n">
        <v>0</v>
      </c>
      <c r="AS56" s="100" t="n">
        <v>0</v>
      </c>
      <c r="AT56" s="100" t="n">
        <v>0</v>
      </c>
      <c r="AU56" s="100" t="n">
        <v>0</v>
      </c>
      <c r="AV56" s="100" t="n">
        <v>0</v>
      </c>
      <c r="AW56" s="100" t="n">
        <v>0</v>
      </c>
      <c r="AX56" s="100" t="n">
        <v>0</v>
      </c>
      <c r="AY56" s="100" t="n">
        <v>0</v>
      </c>
      <c r="AZ56" s="100" t="n">
        <v>0</v>
      </c>
      <c r="BA56" s="100" t="n">
        <v>0</v>
      </c>
      <c r="BB56" s="100" t="n">
        <v>0</v>
      </c>
      <c r="BC56" s="100" t="n">
        <v>0</v>
      </c>
      <c r="BD56" s="100" t="n">
        <v>0</v>
      </c>
      <c r="BE56" s="100" t="n">
        <v>0</v>
      </c>
      <c r="BF56" s="100" t="n">
        <v>0</v>
      </c>
      <c r="BG56" s="100" t="n">
        <v>0</v>
      </c>
      <c r="BH56" s="100" t="n">
        <v>0</v>
      </c>
      <c r="BI56" s="100" t="n">
        <v>0</v>
      </c>
      <c r="BJ56" s="100" t="n">
        <v>0</v>
      </c>
      <c r="BK56" s="100" t="n">
        <v>0</v>
      </c>
      <c r="BL56" s="100" t="n">
        <v>0</v>
      </c>
      <c r="BM56" s="100" t="n">
        <v>0</v>
      </c>
      <c r="BN56" s="100" t="n">
        <v>0</v>
      </c>
      <c r="BO56" s="100" t="n">
        <v>0</v>
      </c>
      <c r="BP56" s="100" t="n">
        <v>0</v>
      </c>
      <c r="BQ56" s="100" t="n">
        <v>0</v>
      </c>
      <c r="BR56" s="100" t="n">
        <v>0</v>
      </c>
      <c r="BS56" s="100" t="n">
        <v>0</v>
      </c>
      <c r="BT56" s="100" t="n">
        <v>0</v>
      </c>
      <c r="BU56" s="100" t="n">
        <v>0</v>
      </c>
      <c r="BV56" s="100" t="n">
        <v>0</v>
      </c>
      <c r="BW56" s="100" t="n">
        <v>0</v>
      </c>
      <c r="BX56" s="100" t="n">
        <v>0</v>
      </c>
      <c r="BY56" s="100" t="n">
        <v>0</v>
      </c>
      <c r="BZ56" s="100" t="n">
        <v>0</v>
      </c>
      <c r="CA56" s="100" t="n">
        <v>0</v>
      </c>
      <c r="CB56" s="100" t="n">
        <v>0</v>
      </c>
      <c r="CC56" s="100" t="n">
        <v>0</v>
      </c>
      <c r="CD56" s="100" t="n">
        <v>0</v>
      </c>
      <c r="CE56" s="100" t="n">
        <v>0</v>
      </c>
      <c r="CF56" s="100" t="n">
        <v>0</v>
      </c>
      <c r="CG56" s="100" t="n">
        <v>0</v>
      </c>
      <c r="CH56" s="100" t="n">
        <v>0</v>
      </c>
      <c r="CI56" s="100" t="n">
        <v>0</v>
      </c>
      <c r="CJ56" s="100" t="n">
        <v>0</v>
      </c>
      <c r="CK56" s="100" t="n">
        <v>0</v>
      </c>
      <c r="CL56" s="100" t="n">
        <v>0</v>
      </c>
      <c r="CM56" s="100" t="n">
        <v>0</v>
      </c>
      <c r="CN56" s="100" t="n">
        <v>0</v>
      </c>
      <c r="CO56" s="100" t="n">
        <v>0</v>
      </c>
      <c r="CP56" s="100" t="n">
        <v>0</v>
      </c>
      <c r="CQ56" s="100" t="n">
        <v>0</v>
      </c>
      <c r="CR56" s="100" t="n">
        <v>0</v>
      </c>
      <c r="CS56" s="100" t="n">
        <v>0</v>
      </c>
      <c r="CT56" s="100" t="n">
        <v>0</v>
      </c>
      <c r="CU56" s="100" t="n">
        <v>0</v>
      </c>
      <c r="CV56" s="100" t="n">
        <v>0</v>
      </c>
      <c r="CW56" s="100" t="n">
        <v>0</v>
      </c>
      <c r="CX56" s="100">
        <f>-U10</f>
        <v/>
      </c>
      <c r="CY56" s="100">
        <f>FS_Annual!CY14</f>
        <v/>
      </c>
      <c r="CZ56" s="100">
        <f>FS_Annual!CZ14</f>
        <v/>
      </c>
      <c r="DA56" s="100">
        <f>FS_Annual!DA14</f>
        <v/>
      </c>
      <c r="DB56" s="100">
        <f>FS_Annual!DB14</f>
        <v/>
      </c>
    </row>
    <row r="57">
      <c r="A57" t="inlineStr">
        <is>
          <t>Yr 20 exit — Seller Equity CF</t>
        </is>
      </c>
      <c r="C57" s="100">
        <f>FS_Annual!C15</f>
        <v/>
      </c>
      <c r="D57" s="100">
        <f>FS_Annual!D15</f>
        <v/>
      </c>
      <c r="E57" s="100">
        <f>FS_Annual!E15</f>
        <v/>
      </c>
      <c r="F57" s="100">
        <f>FS_Annual!F15</f>
        <v/>
      </c>
      <c r="G57" s="100">
        <f>FS_Annual!G15</f>
        <v/>
      </c>
      <c r="H57" s="100">
        <f>FS_Annual!H15</f>
        <v/>
      </c>
      <c r="I57" s="100">
        <f>FS_Annual!I15</f>
        <v/>
      </c>
      <c r="J57" s="100">
        <f>FS_Annual!J15</f>
        <v/>
      </c>
      <c r="K57" s="100">
        <f>FS_Annual!K15</f>
        <v/>
      </c>
      <c r="L57" s="100">
        <f>FS_Annual!L15</f>
        <v/>
      </c>
      <c r="M57" s="100">
        <f>FS_Annual!M15</f>
        <v/>
      </c>
      <c r="N57" s="100">
        <f>FS_Annual!N15</f>
        <v/>
      </c>
      <c r="O57" s="100">
        <f>FS_Annual!O15</f>
        <v/>
      </c>
      <c r="P57" s="100">
        <f>FS_Annual!P15</f>
        <v/>
      </c>
      <c r="Q57" s="100">
        <f>FS_Annual!Q15</f>
        <v/>
      </c>
      <c r="R57" s="100">
        <f>FS_Annual!R15</f>
        <v/>
      </c>
      <c r="S57" s="100">
        <f>FS_Annual!S15</f>
        <v/>
      </c>
      <c r="T57" s="100">
        <f>FS_Annual!T15</f>
        <v/>
      </c>
      <c r="U57" s="100">
        <f>FS_Annual!U15</f>
        <v/>
      </c>
      <c r="V57" s="100">
        <f>FS_Annual!V15</f>
        <v/>
      </c>
      <c r="W57" s="100">
        <f>FS_Annual!W15</f>
        <v/>
      </c>
      <c r="X57" s="100">
        <f>FS_Annual!X15</f>
        <v/>
      </c>
      <c r="Y57" s="100">
        <f>FS_Annual!Y15</f>
        <v/>
      </c>
      <c r="Z57" s="100">
        <f>FS_Annual!Z15</f>
        <v/>
      </c>
      <c r="AA57" s="100">
        <f>FS_Annual!AA15</f>
        <v/>
      </c>
      <c r="AB57" s="100">
        <f>FS_Annual!AB15</f>
        <v/>
      </c>
      <c r="AC57" s="100">
        <f>FS_Annual!AC15</f>
        <v/>
      </c>
      <c r="AD57" s="100">
        <f>FS_Annual!AD15</f>
        <v/>
      </c>
      <c r="AE57" s="100">
        <f>FS_Annual!AE15</f>
        <v/>
      </c>
      <c r="AF57" s="100">
        <f>FS_Annual!AF15</f>
        <v/>
      </c>
      <c r="AG57" s="100">
        <f>FS_Annual!AG15</f>
        <v/>
      </c>
      <c r="AH57" s="100">
        <f>FS_Annual!AH15</f>
        <v/>
      </c>
      <c r="AI57" s="100">
        <f>FS_Annual!AI15</f>
        <v/>
      </c>
      <c r="AJ57" s="100">
        <f>FS_Annual!AJ15</f>
        <v/>
      </c>
      <c r="AK57" s="100">
        <f>FS_Annual!AK15</f>
        <v/>
      </c>
      <c r="AL57" s="100">
        <f>FS_Annual!AL15</f>
        <v/>
      </c>
      <c r="AM57" s="100">
        <f>FS_Annual!AM15</f>
        <v/>
      </c>
      <c r="AN57" s="100">
        <f>FS_Annual!AN15</f>
        <v/>
      </c>
      <c r="AO57" s="100">
        <f>FS_Annual!AO15</f>
        <v/>
      </c>
      <c r="AP57" s="100">
        <f>FS_Annual!AP15</f>
        <v/>
      </c>
      <c r="AQ57" s="100">
        <f>FS_Annual!AQ15</f>
        <v/>
      </c>
      <c r="AR57" s="100">
        <f>FS_Annual!AR15</f>
        <v/>
      </c>
      <c r="AS57" s="100">
        <f>FS_Annual!AS15</f>
        <v/>
      </c>
      <c r="AT57" s="100">
        <f>FS_Annual!AT15</f>
        <v/>
      </c>
      <c r="AU57" s="100">
        <f>FS_Annual!AU15</f>
        <v/>
      </c>
      <c r="AV57" s="100">
        <f>FS_Annual!AV15</f>
        <v/>
      </c>
      <c r="AW57" s="100">
        <f>FS_Annual!AW15</f>
        <v/>
      </c>
      <c r="AX57" s="100">
        <f>FS_Annual!AX15</f>
        <v/>
      </c>
      <c r="AY57" s="100">
        <f>FS_Annual!AY15</f>
        <v/>
      </c>
      <c r="AZ57" s="100">
        <f>FS_Annual!AZ15</f>
        <v/>
      </c>
      <c r="BA57" s="100">
        <f>FS_Annual!BA15</f>
        <v/>
      </c>
      <c r="BB57" s="100">
        <f>FS_Annual!BB15</f>
        <v/>
      </c>
      <c r="BC57" s="100">
        <f>FS_Annual!BC15</f>
        <v/>
      </c>
      <c r="BD57" s="100">
        <f>FS_Annual!BD15</f>
        <v/>
      </c>
      <c r="BE57" s="100">
        <f>FS_Annual!BE15</f>
        <v/>
      </c>
      <c r="BF57" s="100">
        <f>FS_Annual!BF15</f>
        <v/>
      </c>
      <c r="BG57" s="100">
        <f>FS_Annual!BG15</f>
        <v/>
      </c>
      <c r="BH57" s="100">
        <f>FS_Annual!BH15</f>
        <v/>
      </c>
      <c r="BI57" s="100">
        <f>FS_Annual!BI15</f>
        <v/>
      </c>
      <c r="BJ57" s="100">
        <f>FS_Annual!BJ15</f>
        <v/>
      </c>
      <c r="BK57" s="100">
        <f>FS_Annual!BK15</f>
        <v/>
      </c>
      <c r="BL57" s="100">
        <f>FS_Annual!BL15</f>
        <v/>
      </c>
      <c r="BM57" s="100">
        <f>FS_Annual!BM15</f>
        <v/>
      </c>
      <c r="BN57" s="100">
        <f>FS_Annual!BN15</f>
        <v/>
      </c>
      <c r="BO57" s="100">
        <f>FS_Annual!BO15</f>
        <v/>
      </c>
      <c r="BP57" s="100">
        <f>FS_Annual!BP15</f>
        <v/>
      </c>
      <c r="BQ57" s="100">
        <f>FS_Annual!BQ15</f>
        <v/>
      </c>
      <c r="BR57" s="100">
        <f>FS_Annual!BR15</f>
        <v/>
      </c>
      <c r="BS57" s="100">
        <f>FS_Annual!BS15</f>
        <v/>
      </c>
      <c r="BT57" s="100">
        <f>FS_Annual!BT15</f>
        <v/>
      </c>
      <c r="BU57" s="100">
        <f>FS_Annual!BU15</f>
        <v/>
      </c>
      <c r="BV57" s="100">
        <f>FS_Annual!BV15</f>
        <v/>
      </c>
      <c r="BW57" s="100">
        <f>FS_Annual!BW15</f>
        <v/>
      </c>
      <c r="BX57" s="100">
        <f>FS_Annual!BX15</f>
        <v/>
      </c>
      <c r="BY57" s="100">
        <f>FS_Annual!BY15</f>
        <v/>
      </c>
      <c r="BZ57" s="100">
        <f>FS_Annual!BZ15</f>
        <v/>
      </c>
      <c r="CA57" s="100">
        <f>FS_Annual!CA15</f>
        <v/>
      </c>
      <c r="CB57" s="100">
        <f>FS_Annual!CB15</f>
        <v/>
      </c>
      <c r="CC57" s="100">
        <f>FS_Annual!CC15</f>
        <v/>
      </c>
      <c r="CD57" s="100">
        <f>FS_Annual!CD15</f>
        <v/>
      </c>
      <c r="CE57" s="100">
        <f>FS_Annual!CE15</f>
        <v/>
      </c>
      <c r="CF57" s="100">
        <f>FS_Annual!CF15</f>
        <v/>
      </c>
      <c r="CG57" s="100">
        <f>FS_Annual!CG15</f>
        <v/>
      </c>
      <c r="CH57" s="100">
        <f>FS_Annual!CH15</f>
        <v/>
      </c>
      <c r="CI57" s="100">
        <f>FS_Annual!CI15</f>
        <v/>
      </c>
      <c r="CJ57" s="100">
        <f>FS_Annual!CJ15</f>
        <v/>
      </c>
      <c r="CK57" s="100">
        <f>FS_Annual!CK15</f>
        <v/>
      </c>
      <c r="CL57" s="100">
        <f>FS_Annual!CL15</f>
        <v/>
      </c>
      <c r="CM57" s="100">
        <f>FS_Annual!CM15</f>
        <v/>
      </c>
      <c r="CN57" s="100">
        <f>FS_Annual!CN15</f>
        <v/>
      </c>
      <c r="CO57" s="100">
        <f>FS_Annual!CO15</f>
        <v/>
      </c>
      <c r="CP57" s="100">
        <f>FS_Annual!CP15</f>
        <v/>
      </c>
      <c r="CQ57" s="100">
        <f>FS_Annual!CQ15</f>
        <v/>
      </c>
      <c r="CR57" s="100">
        <f>FS_Annual!CR15</f>
        <v/>
      </c>
      <c r="CS57" s="100">
        <f>FS_Annual!CS15</f>
        <v/>
      </c>
      <c r="CT57" s="100">
        <f>FS_Annual!CT15</f>
        <v/>
      </c>
      <c r="CU57" s="100">
        <f>FS_Annual!CU15</f>
        <v/>
      </c>
      <c r="CV57" s="100">
        <f>FS_Annual!CV15</f>
        <v/>
      </c>
      <c r="CW57" s="100">
        <f>FS_Annual!CW15</f>
        <v/>
      </c>
      <c r="CX57" s="100">
        <f>FS_Annual!CX15</f>
        <v/>
      </c>
      <c r="CY57" s="100">
        <f>FS_Annual!CY15</f>
        <v/>
      </c>
      <c r="CZ57" s="100">
        <f>FS_Annual!CZ15</f>
        <v/>
      </c>
      <c r="DA57" s="100">
        <f>FS_Annual!DA15</f>
        <v/>
      </c>
      <c r="DB57" s="100">
        <f>FS_Annual!DB15+V8</f>
        <v/>
      </c>
    </row>
    <row r="58">
      <c r="A58" t="inlineStr">
        <is>
          <t>Yr 20 exit — Buyer Project CF</t>
        </is>
      </c>
      <c r="C58" s="100" t="n">
        <v>0</v>
      </c>
      <c r="D58" s="100" t="n">
        <v>0</v>
      </c>
      <c r="E58" s="100" t="n">
        <v>0</v>
      </c>
      <c r="F58" s="100" t="n">
        <v>0</v>
      </c>
      <c r="G58" s="100" t="n">
        <v>0</v>
      </c>
      <c r="H58" s="100" t="n">
        <v>0</v>
      </c>
      <c r="I58" s="100" t="n">
        <v>0</v>
      </c>
      <c r="J58" s="100" t="n">
        <v>0</v>
      </c>
      <c r="K58" s="100" t="n">
        <v>0</v>
      </c>
      <c r="L58" s="100" t="n">
        <v>0</v>
      </c>
      <c r="M58" s="100" t="n">
        <v>0</v>
      </c>
      <c r="N58" s="100" t="n">
        <v>0</v>
      </c>
      <c r="O58" s="100" t="n">
        <v>0</v>
      </c>
      <c r="P58" s="100" t="n">
        <v>0</v>
      </c>
      <c r="Q58" s="100" t="n">
        <v>0</v>
      </c>
      <c r="R58" s="100" t="n">
        <v>0</v>
      </c>
      <c r="S58" s="100" t="n">
        <v>0</v>
      </c>
      <c r="T58" s="100" t="n">
        <v>0</v>
      </c>
      <c r="U58" s="100" t="n">
        <v>0</v>
      </c>
      <c r="V58" s="100" t="n">
        <v>0</v>
      </c>
      <c r="W58" s="100" t="n">
        <v>0</v>
      </c>
      <c r="X58" s="100" t="n">
        <v>0</v>
      </c>
      <c r="Y58" s="100" t="n">
        <v>0</v>
      </c>
      <c r="Z58" s="100" t="n">
        <v>0</v>
      </c>
      <c r="AA58" s="100" t="n">
        <v>0</v>
      </c>
      <c r="AB58" s="100" t="n">
        <v>0</v>
      </c>
      <c r="AC58" s="100" t="n">
        <v>0</v>
      </c>
      <c r="AD58" s="100" t="n">
        <v>0</v>
      </c>
      <c r="AE58" s="100" t="n">
        <v>0</v>
      </c>
      <c r="AF58" s="100" t="n">
        <v>0</v>
      </c>
      <c r="AG58" s="100" t="n">
        <v>0</v>
      </c>
      <c r="AH58" s="100" t="n">
        <v>0</v>
      </c>
      <c r="AI58" s="100" t="n">
        <v>0</v>
      </c>
      <c r="AJ58" s="100" t="n">
        <v>0</v>
      </c>
      <c r="AK58" s="100" t="n">
        <v>0</v>
      </c>
      <c r="AL58" s="100" t="n">
        <v>0</v>
      </c>
      <c r="AM58" s="100" t="n">
        <v>0</v>
      </c>
      <c r="AN58" s="100" t="n">
        <v>0</v>
      </c>
      <c r="AO58" s="100" t="n">
        <v>0</v>
      </c>
      <c r="AP58" s="100" t="n">
        <v>0</v>
      </c>
      <c r="AQ58" s="100" t="n">
        <v>0</v>
      </c>
      <c r="AR58" s="100" t="n">
        <v>0</v>
      </c>
      <c r="AS58" s="100" t="n">
        <v>0</v>
      </c>
      <c r="AT58" s="100" t="n">
        <v>0</v>
      </c>
      <c r="AU58" s="100" t="n">
        <v>0</v>
      </c>
      <c r="AV58" s="100" t="n">
        <v>0</v>
      </c>
      <c r="AW58" s="100" t="n">
        <v>0</v>
      </c>
      <c r="AX58" s="100" t="n">
        <v>0</v>
      </c>
      <c r="AY58" s="100" t="n">
        <v>0</v>
      </c>
      <c r="AZ58" s="100" t="n">
        <v>0</v>
      </c>
      <c r="BA58" s="100" t="n">
        <v>0</v>
      </c>
      <c r="BB58" s="100" t="n">
        <v>0</v>
      </c>
      <c r="BC58" s="100" t="n">
        <v>0</v>
      </c>
      <c r="BD58" s="100" t="n">
        <v>0</v>
      </c>
      <c r="BE58" s="100" t="n">
        <v>0</v>
      </c>
      <c r="BF58" s="100" t="n">
        <v>0</v>
      </c>
      <c r="BG58" s="100" t="n">
        <v>0</v>
      </c>
      <c r="BH58" s="100" t="n">
        <v>0</v>
      </c>
      <c r="BI58" s="100" t="n">
        <v>0</v>
      </c>
      <c r="BJ58" s="100" t="n">
        <v>0</v>
      </c>
      <c r="BK58" s="100" t="n">
        <v>0</v>
      </c>
      <c r="BL58" s="100" t="n">
        <v>0</v>
      </c>
      <c r="BM58" s="100" t="n">
        <v>0</v>
      </c>
      <c r="BN58" s="100" t="n">
        <v>0</v>
      </c>
      <c r="BO58" s="100" t="n">
        <v>0</v>
      </c>
      <c r="BP58" s="100" t="n">
        <v>0</v>
      </c>
      <c r="BQ58" s="100" t="n">
        <v>0</v>
      </c>
      <c r="BR58" s="100" t="n">
        <v>0</v>
      </c>
      <c r="BS58" s="100" t="n">
        <v>0</v>
      </c>
      <c r="BT58" s="100" t="n">
        <v>0</v>
      </c>
      <c r="BU58" s="100" t="n">
        <v>0</v>
      </c>
      <c r="BV58" s="100" t="n">
        <v>0</v>
      </c>
      <c r="BW58" s="100" t="n">
        <v>0</v>
      </c>
      <c r="BX58" s="100" t="n">
        <v>0</v>
      </c>
      <c r="BY58" s="100" t="n">
        <v>0</v>
      </c>
      <c r="BZ58" s="100" t="n">
        <v>0</v>
      </c>
      <c r="CA58" s="100" t="n">
        <v>0</v>
      </c>
      <c r="CB58" s="100" t="n">
        <v>0</v>
      </c>
      <c r="CC58" s="100" t="n">
        <v>0</v>
      </c>
      <c r="CD58" s="100" t="n">
        <v>0</v>
      </c>
      <c r="CE58" s="100" t="n">
        <v>0</v>
      </c>
      <c r="CF58" s="100" t="n">
        <v>0</v>
      </c>
      <c r="CG58" s="100" t="n">
        <v>0</v>
      </c>
      <c r="CH58" s="100" t="n">
        <v>0</v>
      </c>
      <c r="CI58" s="100" t="n">
        <v>0</v>
      </c>
      <c r="CJ58" s="100" t="n">
        <v>0</v>
      </c>
      <c r="CK58" s="100" t="n">
        <v>0</v>
      </c>
      <c r="CL58" s="100" t="n">
        <v>0</v>
      </c>
      <c r="CM58" s="100" t="n">
        <v>0</v>
      </c>
      <c r="CN58" s="100" t="n">
        <v>0</v>
      </c>
      <c r="CO58" s="100" t="n">
        <v>0</v>
      </c>
      <c r="CP58" s="100" t="n">
        <v>0</v>
      </c>
      <c r="CQ58" s="100" t="n">
        <v>0</v>
      </c>
      <c r="CR58" s="100" t="n">
        <v>0</v>
      </c>
      <c r="CS58" s="100" t="n">
        <v>0</v>
      </c>
      <c r="CT58" s="100" t="n">
        <v>0</v>
      </c>
      <c r="CU58" s="100" t="n">
        <v>0</v>
      </c>
      <c r="CV58" s="100" t="n">
        <v>0</v>
      </c>
      <c r="CW58" s="100" t="n">
        <v>0</v>
      </c>
      <c r="CX58" s="100" t="n">
        <v>0</v>
      </c>
      <c r="CY58" s="100" t="n">
        <v>0</v>
      </c>
      <c r="CZ58" s="100" t="n">
        <v>0</v>
      </c>
      <c r="DA58" s="100" t="n">
        <v>0</v>
      </c>
      <c r="DB58" s="100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1" t="n"/>
      <c r="G7" s="102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1" t="n"/>
      <c r="G8" s="102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1" t="n"/>
      <c r="G9" s="102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1" t="n"/>
      <c r="G10" s="102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1" t="n"/>
      <c r="G11" s="102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1" t="n"/>
      <c r="G12" s="102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1" t="n"/>
      <c r="G13" s="102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1" t="n"/>
      <c r="G14" s="102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1" t="n"/>
      <c r="G15" s="102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1" t="n"/>
      <c r="G16" s="102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5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03">
        <f>IF(COUNTIF(E6:E45,"FAIL")=0,"MODEL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'FS_Quarterly'!CD56</t>
        </is>
      </c>
      <c r="D41" s="89">
        <f>'FS_Quarterly'!CD56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'FS_Quarterly'!CD57</t>
        </is>
      </c>
      <c r="D42" s="89">
        <f>'FS_Quarterly'!CD57</f>
        <v/>
      </c>
      <c r="E42" s="8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'FS_Quarterly'!CD58</t>
        </is>
      </c>
      <c r="D43" s="89">
        <f>'FS_Quarterly'!CD58</f>
        <v/>
      </c>
      <c r="E43" s="89">
        <f>IF(D43=0,"OK","FAIL")</f>
        <v/>
      </c>
    </row>
    <row r="44">
      <c r="A44" t="inlineStr">
        <is>
          <t>FS_Annual</t>
        </is>
      </c>
      <c r="B44" t="inlineStr">
        <is>
          <t>Construction-period BS balances every year</t>
        </is>
      </c>
      <c r="C44" t="inlineStr">
        <is>
          <t>'FS_Annual'!D45</t>
        </is>
      </c>
      <c r="D44" s="89">
        <f>'FS_Annual'!D45</f>
        <v/>
      </c>
      <c r="E44" s="89">
        <f>IF(D44=0,"OK","FAIL")</f>
        <v/>
      </c>
    </row>
    <row r="45">
      <c r="A45" t="inlineStr">
        <is>
          <t>Valuation_SellDown</t>
        </is>
      </c>
      <c r="B45" t="inlineStr">
        <is>
          <t>Sale price is 0 at the final exit year</t>
        </is>
      </c>
      <c r="C45" t="inlineStr">
        <is>
          <t>'Valuation_SellDown'!B15</t>
        </is>
      </c>
      <c r="D45" s="89">
        <f>'Valuation_SellDown'!B15</f>
        <v/>
      </c>
      <c r="E45" s="89">
        <f>IF(D45=1,"OK","FAIL")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2026-08-01T08:07:07Z</dcterms:modified>
  <cp:lastModifiedBy>mirza zilan</cp:lastModifiedBy>
</cp:coreProperties>
</file>