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-98" yWindow="-98" windowWidth="21795" windowHeight="12975" tabRatio="600" firstSheet="4" activeTab="12" autoFilterDateGrouping="1"/>
  </bookViews>
  <sheets>
    <sheet name="Cover" sheetId="1" state="visible" r:id="rId1"/>
    <sheet name="Assumptions_Model" sheetId="2" state="visible" r:id="rId2"/>
    <sheet name="Assumptions_Constant" sheetId="3" state="visible" r:id="rId3"/>
    <sheet name="Assumptions_Periodic_Capex" sheetId="4" state="visible" r:id="rId4"/>
    <sheet name="Assumptions_Periodic_Ops" sheetId="5" state="visible" r:id="rId5"/>
    <sheet name="Calc_Capex" sheetId="6" state="visible" r:id="rId6"/>
    <sheet name="Calc_Financing_Cons" sheetId="7" state="visible" r:id="rId7"/>
    <sheet name="Calc_Revenue_Opex" sheetId="8" state="visible" r:id="rId8"/>
    <sheet name="Calc_Tax" sheetId="9" state="visible" r:id="rId9"/>
    <sheet name="Calc_Financing_Ops" sheetId="10" state="visible" r:id="rId10"/>
    <sheet name="Calc_CFADS" sheetId="11" state="visible" r:id="rId11"/>
    <sheet name="FS_Quarterly" sheetId="12" state="visible" r:id="rId12"/>
    <sheet name="FS_Annual" sheetId="13" state="visible" r:id="rId13"/>
    <sheet name="Batch_Results" sheetId="14" state="visible" r:id="rId14"/>
    <sheet name="Check_Control" sheetId="15" state="visible" r:id="rId15"/>
  </sheets>
  <definedNames>
    <definedName name="GoalSeek_TargetEIRR">'Cover'!$B$27</definedName>
    <definedName name="GoalSeek_TargetPIRR">'Cover'!$B$28</definedName>
    <definedName name="Live_EIRR">'Cover'!$B$29</definedName>
    <definedName name="Live_PIRR">'Cover'!$B$30</definedName>
    <definedName name="GoalSeek_Status">'Cover'!$B$33</definedName>
    <definedName name="GoalSeek_MinMultiple">'Cover'!$B$37</definedName>
    <definedName name="GoalSeek_MaxMultiple">'Cover'!$B$38</definedName>
    <definedName name="GoalSeek_Tolerance">'Cover'!$B$39</definedName>
    <definedName name="GoalSeek_MaxIterations">'Cover'!$B$40</definedName>
    <definedName name="Cover_BatchMode">'Cover'!$B$41</definedName>
    <definedName name="Live_TPC">'Cover'!$B$45</definedName>
    <definedName name="Live_DebtFacility">'Cover'!$B$46</definedName>
    <definedName name="Live_Gearing">'Cover'!$B$47</definedName>
    <definedName name="Live_MinDSCR">'Cover'!$B$48</definedName>
    <definedName name="Live_MinLLCR">'Cover'!$B$49</definedName>
    <definedName name="ButtonSpec">'Cover'!$H$3:$I$12</definedName>
    <definedName name="LastSolvedStamp">'Cover'!$B$53</definedName>
    <definedName name="SolveStatus">'Cover'!$B$54</definedName>
    <definedName name="SolveFreshnessFlag">'Cover'!$D$75</definedName>
    <definedName name="SnapshotLive">'Cover'!$B$57:$B$73</definedName>
    <definedName name="SnapshotStored">'Cover'!$C$57:$C$73</definedName>
    <definedName name="SnapshotMatchFlags">'Cover'!$D$57:$D$73</definedName>
    <definedName name="Cover_CircTolerance">'Cover'!$B$4</definedName>
    <definedName name="Cover_DebtSizingMode">'Cover'!$B$17</definedName>
    <definedName name="Cover_MaxIterations">'Cover'!$B$5</definedName>
    <definedName name="Cover_DebtSizingTolerance">'Cover'!$B$6</definedName>
    <definedName name="Cover_DrawdownMethod">'Cover'!$B$14</definedName>
    <definedName name="Cover_DSRAMethod">'Cover'!$B$23</definedName>
    <definedName name="ActiveScenario">'Cover'!$B$20</definedName>
    <definedName name="Const_ActiveResolvesCheck">'Assumptions_Constant'!$B$24</definedName>
    <definedName name="Const_AllPopulatedCheck">'Assumptions_Constant'!$B$25</definedName>
    <definedName name="ScenarioRevenueRow">'Assumptions_Constant'!$C$11:$L$11</definedName>
    <definedName name="PerCapex_ActiveSumCheck">'Assumptions_Periodic_Capex'!$B$34</definedName>
    <definedName name="PerCapex_AllSumCheck">'Assumptions_Periodic_Capex'!$B$35</definedName>
    <definedName name="PerOps_EscBaseCheck">'Assumptions_Periodic_Ops'!$B$62</definedName>
    <definedName name="PerOps_VolumePositiveCheck">'Assumptions_Periodic_Ops'!$B$63</definedName>
    <definedName name="PerOps_MaintNonNegCheck">'Assumptions_Periodic_Ops'!$B$64</definedName>
    <definedName name="TotalCapex">'Calc_Capex'!$B$4</definedName>
    <definedName name="Capex_FundingTiesCheck">'Calc_Capex'!$Z$21</definedName>
    <definedName name="Capex_TotalMatchesInputCheck">'Calc_Capex'!$Z$22</definedName>
    <definedName name="Capex_LastCol">'Calc_Capex'!$Z$1</definedName>
    <definedName name="Capex_CumTotal_Last">'Calc_Capex'!$Z$7</definedName>
    <definedName name="Capex_TotalProjectCost_Last">'Calc_Capex'!$Z$17</definedName>
    <definedName name="StagedIDC">'Calc_Financing_Cons'!$B$6</definedName>
    <definedName name="CalculatedIDC">'Calc_Financing_Cons'!$B$10</definedName>
    <definedName name="IDCConvergenceGap">'Calc_Financing_Cons'!$B$11</definedName>
    <definedName name="FinCons_ClosingBalance_Last">'Calc_Financing_Cons'!$Z$25</definedName>
    <definedName name="FinCons_LastCol">'Calc_Financing_Cons'!$Z$1</definedName>
    <definedName name="RevOpex_LastCol">'Calc_Revenue_Opex'!$CD$1</definedName>
    <definedName name="RevOpex_Year1Check">'Calc_Revenue_Opex'!$F$20</definedName>
    <definedName name="RevOpex_MaintNonNegCheck">'Calc_Revenue_Opex'!$CD$22</definedName>
    <definedName name="Tax_LastCol">'Calc_Tax'!$CD$1</definedName>
    <definedName name="Tax_AccumDeprCheck">'Calc_Tax'!$CD$22</definedName>
    <definedName name="Tax_AccumMaintDeprCheck">'Calc_Tax'!$CD$23</definedName>
    <definedName name="StagedDebtSize">'Calc_Financing_Ops'!$B$7</definedName>
    <definedName name="SculptedDebtCapacity">'Calc_Financing_Ops'!$B$8</definedName>
    <definedName name="DebtSizeConvergenceGap">'Calc_Financing_Ops'!$B$10</definedName>
    <definedName name="ImpliedGearing">'Calc_Financing_Ops'!$B$11</definedName>
    <definedName name="FinOps_LastCol">'Calc_Financing_Ops'!$CD$1</definedName>
    <definedName name="FinOps_TenorEndCol">'Calc_Financing_Ops'!$BJ$1</definedName>
    <definedName name="CFADS_LastCol">'Calc_CFADS'!$CD$1</definedName>
    <definedName name="CFADS_NegFCFECount">'Calc_CFADS'!$CD$21</definedName>
    <definedName name="CFADS_MRAWindsDownCheck">'Calc_CFADS'!$CD$22</definedName>
    <definedName name="CFADS_MRAFundsCapexCheck">'Calc_CFADS'!$CD$23</definedName>
    <definedName name="FSQ_LastCol">'FS_Quarterly'!$CD$1</definedName>
    <definedName name="FSQ_BSBalancesFailCount">'FS_Quarterly'!$CD$42</definedName>
    <definedName name="FSA_PIRR">'FS_Annual'!$A$19</definedName>
    <definedName name="FSA_EIRR">'FS_Annual'!$A$21</definedName>
    <definedName name="BatchResults_Anchor">'Batch_Results'!$A$7</definedName>
    <definedName name="BatchResults_LastRun">'Batch_Results'!$B$3</definedName>
    <definedName name="BatchResults_Mode">'Batch_Results'!$B$4</definedName>
    <definedName name="CheckControl_MasterFlag">'Check_Control'!$B$3</definedName>
  </definedNames>
  <calcPr calcId="191029" fullCalcOnLoad="1"/>
</workbook>
</file>

<file path=xl/styles.xml><?xml version="1.0" encoding="utf-8"?>
<styleSheet xmlns="http://schemas.openxmlformats.org/spreadsheetml/2006/main">
  <numFmts count="6">
    <numFmt numFmtId="164" formatCode="0.00\x"/>
    <numFmt numFmtId="165" formatCode="0.0000%"/>
    <numFmt numFmtId="166" formatCode="0.000"/>
    <numFmt numFmtId="167" formatCode="0.0000"/>
    <numFmt numFmtId="168" formatCode="0.00x"/>
    <numFmt numFmtId="169" formatCode="yyyy-mm-dd"/>
  </numFmts>
  <fonts count="32">
    <font>
      <name val="Calibri"/>
      <family val="2"/>
      <color theme="1"/>
      <sz val="11"/>
      <scheme val="minor"/>
    </font>
    <font>
      <name val="Calibri"/>
      <b val="1"/>
      <sz val="14"/>
    </font>
    <font>
      <name val="Calibri"/>
      <b val="1"/>
      <sz val="11"/>
    </font>
    <font>
      <name val="Calibri"/>
      <color rgb="FF0000FF"/>
      <sz val="11"/>
    </font>
    <font>
      <name val="Calibri"/>
      <i val="1"/>
      <sz val="11"/>
    </font>
    <font>
      <name val="Calibri"/>
      <i val="1"/>
      <sz val="9"/>
    </font>
    <font>
      <name val="Calibri"/>
      <b val="1"/>
      <color rgb="FF0000FF"/>
      <sz val="11"/>
    </font>
    <font>
      <name val="Calibri"/>
      <i val="1"/>
      <color rgb="FF008000"/>
      <sz val="11"/>
    </font>
    <font>
      <name val="Calibri"/>
      <b val="1"/>
      <sz val="9"/>
    </font>
    <font>
      <name val="Calibri"/>
      <color rgb="FF0000FF"/>
      <sz val="9"/>
    </font>
    <font>
      <name val="Calibri"/>
      <b val="1"/>
      <sz val="12"/>
    </font>
    <font>
      <name val="Calibri"/>
      <color rgb="FF008000"/>
      <sz val="11"/>
    </font>
    <font>
      <name val="Calibri"/>
      <b val="1"/>
      <color rgb="FF000000"/>
      <sz val="11"/>
    </font>
    <font>
      <name val="Calibri"/>
      <color rgb="FF000000"/>
      <sz val="11"/>
    </font>
    <font>
      <name val="Calibri"/>
      <b val="1"/>
      <color rgb="FF000000"/>
      <sz val="14"/>
    </font>
    <font>
      <b val="1"/>
      <sz val="14"/>
    </font>
    <font>
      <b val="1"/>
    </font>
    <font>
      <color rgb="FF0000FF"/>
    </font>
    <font>
      <i val="1"/>
    </font>
    <font>
      <i val="1"/>
      <sz val="9"/>
    </font>
    <font>
      <b val="1"/>
      <color rgb="FF0000FF"/>
    </font>
    <font>
      <i val="1"/>
      <color rgb="FF008000"/>
    </font>
    <font>
      <b val="1"/>
      <color rgb="FF008000"/>
    </font>
    <font/>
    <font>
      <i val="1"/>
      <color rgb="FF0000FF"/>
    </font>
    <font>
      <color rgb="FF008000"/>
    </font>
    <font>
      <b val="1"/>
      <sz val="9"/>
    </font>
    <font>
      <color rgb="FF0000FF"/>
      <sz val="9"/>
    </font>
    <font>
      <b val="1"/>
      <sz val="12"/>
    </font>
    <font>
      <b val="1"/>
      <color rgb="FF000000"/>
    </font>
    <font>
      <color rgb="FF000000"/>
    </font>
    <font>
      <b val="1"/>
      <color rgb="FF000000"/>
      <sz val="14"/>
    </font>
  </fonts>
  <fills count="2">
    <fill>
      <patternFill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4">
    <xf numFmtId="0" fontId="0" fillId="0" borderId="0" pivotButton="0" quotePrefix="0" xfId="0"/>
    <xf numFmtId="0" fontId="1" fillId="0" borderId="0" pivotButton="0" quotePrefix="0" xfId="0"/>
    <xf numFmtId="0" fontId="8" fillId="0" borderId="0" pivotButton="0" quotePrefix="0" xfId="0"/>
    <xf numFmtId="0" fontId="2" fillId="0" borderId="0" pivotButton="0" quotePrefix="0" xfId="0"/>
    <xf numFmtId="0" fontId="9" fillId="0" borderId="0" pivotButton="0" quotePrefix="0" xfId="0"/>
    <xf numFmtId="0" fontId="3" fillId="0" borderId="0" pivotButton="0" quotePrefix="0" xfId="0"/>
    <xf numFmtId="0" fontId="4" fillId="0" borderId="0" pivotButton="0" quotePrefix="0" xfId="0"/>
    <xf numFmtId="0" fontId="5" fillId="0" borderId="0" pivotButton="0" quotePrefix="0" xfId="0"/>
    <xf numFmtId="0" fontId="6" fillId="0" borderId="0" pivotButton="0" quotePrefix="0" xfId="0"/>
    <xf numFmtId="0" fontId="7" fillId="0" borderId="0" pivotButton="0" quotePrefix="0" xfId="0"/>
    <xf numFmtId="0" fontId="10" fillId="0" borderId="0" pivotButton="0" quotePrefix="0" xfId="0"/>
    <xf numFmtId="0" fontId="11" fillId="0" borderId="0" pivotButton="0" quotePrefix="0" xfId="0"/>
    <xf numFmtId="3" fontId="11" fillId="0" borderId="0" pivotButton="0" quotePrefix="0" xfId="0"/>
    <xf numFmtId="10" fontId="11" fillId="0" borderId="0" pivotButton="0" quotePrefix="0" xfId="0"/>
    <xf numFmtId="1" fontId="11" fillId="0" borderId="0" pivotButton="0" quotePrefix="0" xfId="0"/>
    <xf numFmtId="164" fontId="11" fillId="0" borderId="0" pivotButton="0" quotePrefix="0" xfId="0"/>
    <xf numFmtId="17" fontId="0" fillId="0" borderId="0" pivotButton="0" quotePrefix="0" xfId="0"/>
    <xf numFmtId="0" fontId="12" fillId="0" borderId="0" pivotButton="0" quotePrefix="0" xfId="0"/>
    <xf numFmtId="3" fontId="13" fillId="0" borderId="0" pivotButton="0" quotePrefix="0" xfId="0"/>
    <xf numFmtId="3" fontId="3" fillId="0" borderId="0" pivotButton="0" quotePrefix="0" xfId="0"/>
    <xf numFmtId="10" fontId="13" fillId="0" borderId="0" pivotButton="0" quotePrefix="0" xfId="0"/>
    <xf numFmtId="10" fontId="3" fillId="0" borderId="0" pivotButton="0" quotePrefix="0" xfId="0"/>
    <xf numFmtId="1" fontId="13" fillId="0" borderId="0" pivotButton="0" quotePrefix="0" xfId="0"/>
    <xf numFmtId="1" fontId="3" fillId="0" borderId="0" pivotButton="0" quotePrefix="0" xfId="0"/>
    <xf numFmtId="164" fontId="13" fillId="0" borderId="0" pivotButton="0" quotePrefix="0" xfId="0"/>
    <xf numFmtId="164" fontId="3" fillId="0" borderId="0" pivotButton="0" quotePrefix="0" xfId="0"/>
    <xf numFmtId="0" fontId="13" fillId="0" borderId="0" pivotButton="0" quotePrefix="0" xfId="0"/>
    <xf numFmtId="165" fontId="13" fillId="0" borderId="0" pivotButton="0" quotePrefix="0" xfId="0"/>
    <xf numFmtId="166" fontId="3" fillId="0" borderId="0" pivotButton="0" quotePrefix="0" xfId="0"/>
    <xf numFmtId="166" fontId="13" fillId="0" borderId="0" pivotButton="0" quotePrefix="0" xfId="0"/>
    <xf numFmtId="167" fontId="13" fillId="0" borderId="0" pivotButton="0" quotePrefix="0" xfId="0"/>
    <xf numFmtId="3" fontId="6" fillId="0" borderId="0" pivotButton="0" quotePrefix="0" xfId="0"/>
    <xf numFmtId="3" fontId="12" fillId="0" borderId="0" pivotButton="0" quotePrefix="0" xfId="0"/>
    <xf numFmtId="4" fontId="12" fillId="0" borderId="0" pivotButton="0" quotePrefix="0" xfId="0"/>
    <xf numFmtId="167" fontId="11" fillId="0" borderId="0" pivotButton="0" quotePrefix="0" xfId="0"/>
    <xf numFmtId="10" fontId="12" fillId="0" borderId="0" pivotButton="0" quotePrefix="0" xfId="0"/>
    <xf numFmtId="17" fontId="11" fillId="0" borderId="0" pivotButton="0" quotePrefix="0" xfId="0"/>
    <xf numFmtId="0" fontId="14" fillId="0" borderId="0" pivotButton="0" quotePrefix="0" xfId="0"/>
    <xf numFmtId="22" fontId="3" fillId="0" borderId="0" pivotButton="0" quotePrefix="0" xfId="0"/>
    <xf numFmtId="0" fontId="15" fillId="0" borderId="0" pivotButton="0" quotePrefix="0" xfId="0"/>
    <xf numFmtId="0" fontId="26" fillId="0" borderId="0" pivotButton="0" quotePrefix="0" xfId="0"/>
    <xf numFmtId="0" fontId="16" fillId="0" borderId="0" pivotButton="0" quotePrefix="0" xfId="0"/>
    <xf numFmtId="0" fontId="27" fillId="0" borderId="0" pivotButton="0" quotePrefix="0" xfId="0"/>
    <xf numFmtId="0" fontId="17" fillId="0" borderId="0" pivotButton="0" quotePrefix="0" xfId="0"/>
    <xf numFmtId="0" fontId="18" fillId="0" borderId="0" pivotButton="0" quotePrefix="0" xfId="0"/>
    <xf numFmtId="0" fontId="19" fillId="0" borderId="0" pivotButton="0" quotePrefix="0" xfId="0"/>
    <xf numFmtId="0" fontId="20" fillId="0" borderId="0" pivotButton="0" quotePrefix="0" xfId="0"/>
    <xf numFmtId="0" fontId="21" fillId="0" borderId="0" pivotButton="0" quotePrefix="0" xfId="0"/>
    <xf numFmtId="10" fontId="17" fillId="0" borderId="0" pivotButton="0" quotePrefix="0" xfId="0"/>
    <xf numFmtId="10" fontId="22" fillId="0" borderId="0" pivotButton="0" quotePrefix="0" xfId="0"/>
    <xf numFmtId="10" fontId="23" fillId="0" borderId="0" pivotButton="0" quotePrefix="0" xfId="0"/>
    <xf numFmtId="0" fontId="24" fillId="0" borderId="0" pivotButton="0" quotePrefix="0" xfId="0"/>
    <xf numFmtId="168" fontId="17" fillId="0" borderId="0" pivotButton="0" quotePrefix="0" xfId="0"/>
    <xf numFmtId="165" fontId="17" fillId="0" borderId="0" pivotButton="0" quotePrefix="0" xfId="0"/>
    <xf numFmtId="1" fontId="17" fillId="0" borderId="0" pivotButton="0" quotePrefix="0" xfId="0"/>
    <xf numFmtId="3" fontId="25" fillId="0" borderId="0" pivotButton="0" quotePrefix="0" xfId="0"/>
    <xf numFmtId="10" fontId="25" fillId="0" borderId="0" pivotButton="0" quotePrefix="0" xfId="0"/>
    <xf numFmtId="167" fontId="25" fillId="0" borderId="0" pivotButton="0" quotePrefix="0" xfId="0"/>
    <xf numFmtId="166" fontId="25" fillId="0" borderId="0" pivotButton="0" quotePrefix="0" xfId="0"/>
    <xf numFmtId="0" fontId="28" fillId="0" borderId="0" pivotButton="0" quotePrefix="0" xfId="0"/>
    <xf numFmtId="0" fontId="25" fillId="0" borderId="0" pivotButton="0" quotePrefix="0" xfId="0"/>
    <xf numFmtId="1" fontId="25" fillId="0" borderId="0" pivotButton="0" quotePrefix="0" xfId="0"/>
    <xf numFmtId="168" fontId="25" fillId="0" borderId="0" pivotButton="0" quotePrefix="0" xfId="0"/>
    <xf numFmtId="0" fontId="29" fillId="0" borderId="0" pivotButton="0" quotePrefix="0" xfId="0"/>
    <xf numFmtId="3" fontId="30" fillId="0" borderId="0" pivotButton="0" quotePrefix="0" xfId="0"/>
    <xf numFmtId="3" fontId="17" fillId="0" borderId="0" pivotButton="0" quotePrefix="0" xfId="0"/>
    <xf numFmtId="10" fontId="30" fillId="0" borderId="0" pivotButton="0" quotePrefix="0" xfId="0"/>
    <xf numFmtId="1" fontId="30" fillId="0" borderId="0" pivotButton="0" quotePrefix="0" xfId="0"/>
    <xf numFmtId="168" fontId="30" fillId="0" borderId="0" pivotButton="0" quotePrefix="0" xfId="0"/>
    <xf numFmtId="0" fontId="30" fillId="0" borderId="0" pivotButton="0" quotePrefix="0" xfId="0"/>
    <xf numFmtId="165" fontId="30" fillId="0" borderId="0" pivotButton="0" quotePrefix="0" xfId="0"/>
    <xf numFmtId="166" fontId="17" fillId="0" borderId="0" pivotButton="0" quotePrefix="0" xfId="0"/>
    <xf numFmtId="166" fontId="30" fillId="0" borderId="0" pivotButton="0" quotePrefix="0" xfId="0"/>
    <xf numFmtId="167" fontId="30" fillId="0" borderId="0" pivotButton="0" quotePrefix="0" xfId="0"/>
    <xf numFmtId="3" fontId="20" fillId="0" borderId="0" pivotButton="0" quotePrefix="0" xfId="0"/>
    <xf numFmtId="3" fontId="29" fillId="0" borderId="0" pivotButton="0" quotePrefix="0" xfId="0"/>
    <xf numFmtId="4" fontId="29" fillId="0" borderId="0" pivotButton="0" quotePrefix="0" xfId="0"/>
    <xf numFmtId="10" fontId="29" fillId="0" borderId="0" pivotButton="0" quotePrefix="0" xfId="0"/>
    <xf numFmtId="17" fontId="25" fillId="0" borderId="0" pivotButton="0" quotePrefix="0" xfId="0"/>
    <xf numFmtId="3" fontId="0" fillId="0" borderId="0" pivotButton="0" quotePrefix="0" xfId="0"/>
    <xf numFmtId="10" fontId="0" fillId="0" borderId="0" pivotButton="0" quotePrefix="0" xfId="0"/>
    <xf numFmtId="167" fontId="0" fillId="0" borderId="0" pivotButton="0" quotePrefix="0" xfId="0"/>
    <xf numFmtId="166" fontId="0" fillId="0" borderId="0" pivotButton="0" quotePrefix="0" xfId="0"/>
    <xf numFmtId="0" fontId="31" fillId="0" borderId="0" pivotButton="0" quotePrefix="0" xfId="0"/>
  </cellXfs>
  <cellStyles count="1">
    <cellStyle name="Normal" xfId="0" builtinId="0"/>
  </cellStyle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worksheet" Target="/xl/worksheets/sheet5.xml" Id="rId5" /><Relationship Type="http://schemas.openxmlformats.org/officeDocument/2006/relationships/worksheet" Target="/xl/worksheets/sheet6.xml" Id="rId6" /><Relationship Type="http://schemas.openxmlformats.org/officeDocument/2006/relationships/worksheet" Target="/xl/worksheets/sheet7.xml" Id="rId7" /><Relationship Type="http://schemas.openxmlformats.org/officeDocument/2006/relationships/worksheet" Target="/xl/worksheets/sheet8.xml" Id="rId8" /><Relationship Type="http://schemas.openxmlformats.org/officeDocument/2006/relationships/worksheet" Target="/xl/worksheets/sheet9.xml" Id="rId9" /><Relationship Type="http://schemas.openxmlformats.org/officeDocument/2006/relationships/worksheet" Target="/xl/worksheets/sheet10.xml" Id="rId10" /><Relationship Type="http://schemas.openxmlformats.org/officeDocument/2006/relationships/worksheet" Target="/xl/worksheets/sheet11.xml" Id="rId11" /><Relationship Type="http://schemas.openxmlformats.org/officeDocument/2006/relationships/worksheet" Target="/xl/worksheets/sheet12.xml" Id="rId12" /><Relationship Type="http://schemas.openxmlformats.org/officeDocument/2006/relationships/worksheet" Target="/xl/worksheets/sheet13.xml" Id="rId13" /><Relationship Type="http://schemas.openxmlformats.org/officeDocument/2006/relationships/worksheet" Target="/xl/worksheets/sheet14.xml" Id="rId14" /><Relationship Type="http://schemas.openxmlformats.org/officeDocument/2006/relationships/worksheet" Target="/xl/worksheets/sheet15.xml" Id="rId15" /><Relationship Type="http://schemas.openxmlformats.org/officeDocument/2006/relationships/styles" Target="styles.xml" Id="rId16" /><Relationship Type="http://schemas.openxmlformats.org/officeDocument/2006/relationships/theme" Target="theme/theme1.xml" Id="rId17" /><Relationship Type="http://schemas.microsoft.com/office/2006/relationships/vbaProject" Target="vbaProject.bin" Id="rId18" 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>
  <sheetPr>
    <tabColor rgb="000000FF"/>
    <outlinePr summaryBelow="1" summaryRight="1"/>
    <pageSetUpPr/>
  </sheetPr>
  <dimension ref="A1:I75"/>
  <sheetViews>
    <sheetView workbookViewId="0">
      <selection activeCell="A1" sqref="A1"/>
    </sheetView>
  </sheetViews>
  <sheetFormatPr baseColWidth="8" defaultRowHeight="15"/>
  <cols>
    <col width="45" customWidth="1" min="1" max="1"/>
    <col width="28" customWidth="1" min="8" max="8"/>
    <col width="28" customWidth="1" min="9" max="9"/>
  </cols>
  <sheetData>
    <row r="1">
      <c r="A1" s="39" t="inlineStr">
        <is>
          <t>Project 123 — Cover</t>
        </is>
      </c>
    </row>
    <row r="2">
      <c r="H2" s="40" t="inlineStr">
        <is>
          <t>Control Panel — Workbook_Open redraws the buttons from this table</t>
        </is>
      </c>
    </row>
    <row r="3">
      <c r="A3" s="41" t="inlineStr">
        <is>
          <t>VBA Solve Settings (used from Stage 1b onward)</t>
        </is>
      </c>
      <c r="H3" s="42" t="inlineStr">
        <is>
          <t>SolveAllCurrentScenario</t>
        </is>
      </c>
      <c r="I3" s="42" t="inlineStr">
        <is>
          <t>Solve All (Current Scenario)</t>
        </is>
      </c>
    </row>
    <row r="4">
      <c r="A4" t="inlineStr">
        <is>
          <t>Circularity Tolerance ($)</t>
        </is>
      </c>
      <c r="B4" s="43" t="n">
        <v>1</v>
      </c>
      <c r="H4" s="42" t="inlineStr">
        <is>
          <t>GoalSeekEIRR</t>
        </is>
      </c>
      <c r="I4" s="42" t="inlineStr">
        <is>
          <t>Goal Seek -&gt; Target EIRR</t>
        </is>
      </c>
    </row>
    <row r="5">
      <c r="A5" t="inlineStr">
        <is>
          <t>Max Iterations (per convergence loop)</t>
        </is>
      </c>
      <c r="B5" s="43" t="n">
        <v>100</v>
      </c>
      <c r="H5" s="42" t="inlineStr">
        <is>
          <t>GoalSeekPIRR</t>
        </is>
      </c>
      <c r="I5" s="42" t="inlineStr">
        <is>
          <t>Goal Seek -&gt; Target PIRR</t>
        </is>
      </c>
    </row>
    <row r="6">
      <c r="A6" t="inlineStr">
        <is>
          <t>Debt Sizing Tolerance ($, outer root-find on debt size D)</t>
        </is>
      </c>
      <c r="B6" s="43" t="n">
        <v>100</v>
      </c>
      <c r="H6" s="42" t="inlineStr">
        <is>
          <t>RunAllScenarios</t>
        </is>
      </c>
      <c r="I6" s="42" t="inlineStr">
        <is>
          <t>Run All 10 Scenarios (Batch)</t>
        </is>
      </c>
    </row>
    <row r="7">
      <c r="H7" s="42" t="inlineStr">
        <is>
          <t>SolveConstructionIDC</t>
        </is>
      </c>
      <c r="I7" s="42" t="inlineStr">
        <is>
          <t>Solve Construction IDC</t>
        </is>
      </c>
    </row>
    <row r="8">
      <c r="A8" s="41" t="inlineStr">
        <is>
          <t>Model Status</t>
        </is>
      </c>
      <c r="H8" s="42" t="inlineStr">
        <is>
          <t>SolveDebtSculpting</t>
        </is>
      </c>
      <c r="I8" s="42" t="inlineStr">
        <is>
          <t>Solve Debt Sculpting</t>
        </is>
      </c>
    </row>
    <row r="9">
      <c r="B9" s="39">
        <f>Check_Control!B3</f>
        <v/>
      </c>
      <c r="H9" s="42" t="inlineStr">
        <is>
          <t>ResetAllStagedValues</t>
        </is>
      </c>
      <c r="I9" s="42" t="inlineStr">
        <is>
          <t>Reset Staged Values</t>
        </is>
      </c>
    </row>
    <row r="10">
      <c r="H10" s="42" t="inlineStr">
        <is>
          <t>InvalidateSolveSnapshot</t>
        </is>
      </c>
      <c r="I10" s="42" t="inlineStr">
        <is>
          <t>Invalidate Solve</t>
        </is>
      </c>
    </row>
    <row r="11">
      <c r="A11" s="44" t="inlineStr">
        <is>
          <t>Buttons (Stage 1b+): Solve Construction IDC | Solve Debt Sculpting | Goal Seek -&gt; EIRR | Goal Seek -&gt; PIRR</t>
        </is>
      </c>
      <c r="H11" s="42" t="inlineStr"/>
      <c r="I11" s="42" t="inlineStr"/>
    </row>
    <row r="12">
      <c r="A12" s="45" t="inlineStr">
        <is>
          <t>Placeholder rows only — Form Control buttons + macro assignment are a manual, one-time step (see VBA hand-off docs).</t>
        </is>
      </c>
      <c r="H12" s="42" t="inlineStr"/>
      <c r="I12" s="42" t="inlineStr"/>
    </row>
    <row r="14">
      <c r="A14" s="41" t="inlineStr">
        <is>
          <t>Construction Drawdown Method</t>
        </is>
      </c>
      <c r="B14" s="43" t="inlineStr">
        <is>
          <t>Pari Passu</t>
        </is>
      </c>
    </row>
    <row r="15">
      <c r="A15" s="45" t="inlineStr">
        <is>
          <t>Debt First: draw debt until facility exhausted, then equity. Equity First: draw equity until commitment exhausted, then debt. Pari Passu: draw both proportionally each month.</t>
        </is>
      </c>
    </row>
    <row r="17">
      <c r="A17" s="41" t="inlineStr">
        <is>
          <t>Debt Sizing Mode</t>
        </is>
      </c>
      <c r="B17" s="43" t="inlineStr">
        <is>
          <t>DSCR Sculpted</t>
        </is>
      </c>
    </row>
    <row r="18">
      <c r="A18" s="45" t="inlineStr">
        <is>
          <t>Fixed Gearing: debt = gearing x Total Project Cost, level (PMT) amortisation. DSCR Sculpted: repayment locked to Target DSCR, debt size solved so the balance amortises to zero exactly at tenor end.</t>
        </is>
      </c>
    </row>
    <row r="20">
      <c r="A20" s="41" t="inlineStr">
        <is>
          <t>Active Scenario (1-10)</t>
        </is>
      </c>
      <c r="B20" s="46" t="n">
        <v>1</v>
      </c>
      <c r="C20" s="47">
        <f>Assumptions_Constant!$B$4</f>
        <v/>
      </c>
    </row>
    <row r="21">
      <c r="A21" s="45" t="inlineStr">
        <is>
          <t>Drives the Active column on Assumptions_Constant and the Active row on both Periodic sheets — one switch moves every scenario-varying input together.</t>
        </is>
      </c>
    </row>
    <row r="23">
      <c r="A23" s="41" t="inlineStr">
        <is>
          <t>DSRA Funding Method</t>
        </is>
      </c>
      <c r="B23" s="43" t="inlineStr">
        <is>
          <t>Cash Funded</t>
        </is>
      </c>
    </row>
    <row r="24">
      <c r="A24" s="45" t="inlineStr">
        <is>
          <t>Cash Funded: CFADS is trapped to hold the reserve at target, released as the requirement falls. LC-Backed: no cash trapped — a recurring LC fee is charged on the requirement instead, and the fee is a tax-deductible P&amp;L cost.</t>
        </is>
      </c>
    </row>
    <row r="26">
      <c r="A26" s="41" t="inlineStr">
        <is>
          <t>Goal Seek &amp; Live Returns</t>
        </is>
      </c>
    </row>
    <row r="27">
      <c r="A27" t="inlineStr">
        <is>
          <t>Target EIRR</t>
        </is>
      </c>
      <c r="B27" s="48" t="n">
        <v>0.12</v>
      </c>
    </row>
    <row r="28">
      <c r="A28" t="inlineStr">
        <is>
          <t>Target PIRR</t>
        </is>
      </c>
      <c r="B28" s="48" t="n">
        <v>0.08</v>
      </c>
    </row>
    <row r="29">
      <c r="A29" t="inlineStr">
        <is>
          <t>Current EIRR (live)</t>
        </is>
      </c>
      <c r="B29" s="49">
        <f>FS_Annual!$A$21</f>
        <v/>
      </c>
    </row>
    <row r="30">
      <c r="A30" t="inlineStr">
        <is>
          <t>Current PIRR (live)</t>
        </is>
      </c>
      <c r="B30" s="49">
        <f>FS_Annual!$A$19</f>
        <v/>
      </c>
    </row>
    <row r="31">
      <c r="A31" t="inlineStr">
        <is>
          <t>EIRR less Target</t>
        </is>
      </c>
      <c r="B31" s="50">
        <f>B29-B27</f>
        <v/>
      </c>
    </row>
    <row r="32">
      <c r="A32" t="inlineStr">
        <is>
          <t>PIRR less Target</t>
        </is>
      </c>
      <c r="B32" s="50">
        <f>B30-B28</f>
        <v/>
      </c>
    </row>
    <row r="33">
      <c r="A33" t="inlineStr">
        <is>
          <t>Goal Seek Status</t>
        </is>
      </c>
      <c r="B33" s="51" t="inlineStr">
        <is>
          <t>(not run)</t>
        </is>
      </c>
    </row>
    <row r="34">
      <c r="A34" t="inlineStr">
        <is>
          <t>EIRR on target?</t>
        </is>
      </c>
      <c r="B34" s="41">
        <f>IF(ABS(B31)&lt;=B39,"ON TARGET","OFF TARGET")</f>
        <v/>
      </c>
    </row>
    <row r="36">
      <c r="A36" t="inlineStr">
        <is>
          <t>Goal Seek Driver</t>
        </is>
      </c>
      <c r="B36" s="45" t="inlineStr">
        <is>
          <t>Annual Revenue (active scenario column)</t>
        </is>
      </c>
    </row>
    <row r="37">
      <c r="A37" t="inlineStr">
        <is>
          <t>Search Bound: Revenue Min (x current)</t>
        </is>
      </c>
      <c r="B37" s="52" t="n">
        <v>0.5</v>
      </c>
    </row>
    <row r="38">
      <c r="A38" t="inlineStr">
        <is>
          <t>Search Bound: Revenue Max (x current)</t>
        </is>
      </c>
      <c r="B38" s="52" t="n">
        <v>2</v>
      </c>
    </row>
    <row r="39">
      <c r="A39" t="inlineStr">
        <is>
          <t>Goal Seek Tolerance (IRR)</t>
        </is>
      </c>
      <c r="B39" s="53" t="n">
        <v>0.0001</v>
      </c>
    </row>
    <row r="40">
      <c r="A40" t="inlineStr">
        <is>
          <t>Goal Seek Max Iterations</t>
        </is>
      </c>
      <c r="B40" s="54" t="n">
        <v>60</v>
      </c>
    </row>
    <row r="41">
      <c r="A41" s="41" t="inlineStr">
        <is>
          <t>Batch Mode (Run All 10 Scenarios)</t>
        </is>
      </c>
      <c r="B41" s="43" t="inlineStr">
        <is>
          <t>Solve Only</t>
        </is>
      </c>
    </row>
    <row r="44">
      <c r="A44" s="41" t="inlineStr">
        <is>
          <t>Live Model Readings (what the batch runner records)</t>
        </is>
      </c>
    </row>
    <row r="45">
      <c r="A45" t="inlineStr">
        <is>
          <t>Total Project Cost ($)</t>
        </is>
      </c>
      <c r="B45" s="55">
        <f>Calc_Capex!$Z$17</f>
        <v/>
      </c>
    </row>
    <row r="46">
      <c r="A46" t="inlineStr">
        <is>
          <t>Debt Facility ($)</t>
        </is>
      </c>
      <c r="B46" s="55">
        <f>Calc_Financing_Cons!$B$8</f>
        <v/>
      </c>
    </row>
    <row r="47">
      <c r="A47" t="inlineStr">
        <is>
          <t>Implied Gearing</t>
        </is>
      </c>
      <c r="B47" s="56">
        <f>Calc_Financing_Ops!$B$11</f>
        <v/>
      </c>
    </row>
    <row r="48">
      <c r="A48" t="inlineStr">
        <is>
          <t>Min DSCR over tenor</t>
        </is>
      </c>
      <c r="B48" s="57">
        <f>MIN(Calc_Financing_Ops!C24:BJ24)</f>
        <v/>
      </c>
    </row>
    <row r="49">
      <c r="A49" t="inlineStr">
        <is>
          <t>Min LLCR while debt outstanding</t>
        </is>
      </c>
      <c r="B49" s="58">
        <f>IFERROR(SMALL(Calc_Financing_Ops!C32:CD32,COUNTIF(Calc_Financing_Ops!C32:CD32,"&lt;=0")+1),0)</f>
        <v/>
      </c>
    </row>
    <row r="52">
      <c r="A52" s="41" t="inlineStr">
        <is>
          <t>Solve Freshness</t>
        </is>
      </c>
    </row>
    <row r="53">
      <c r="A53" t="inlineStr">
        <is>
          <t>Last Solved</t>
        </is>
      </c>
      <c r="B53" s="43" t="inlineStr">
        <is>
          <t>(never)</t>
        </is>
      </c>
    </row>
    <row r="54">
      <c r="A54" s="41" t="inlineStr">
        <is>
          <t>Solve Status</t>
        </is>
      </c>
      <c r="B54" s="59">
        <f>IF(COUNTIF(D57:D73,0)=0,"SOLVED - current","RE-RUN SOLVE - assumptions changed")</f>
        <v/>
      </c>
    </row>
    <row r="56">
      <c r="A56" s="41" t="inlineStr">
        <is>
          <t>Tracked Input</t>
        </is>
      </c>
      <c r="B56" s="41" t="inlineStr">
        <is>
          <t>Live</t>
        </is>
      </c>
      <c r="C56" s="41" t="inlineStr">
        <is>
          <t>At Last Solve</t>
        </is>
      </c>
      <c r="D56" s="41" t="inlineStr">
        <is>
          <t>Match</t>
        </is>
      </c>
    </row>
    <row r="57">
      <c r="A57" t="inlineStr">
        <is>
          <t>Total Capex</t>
        </is>
      </c>
      <c r="B57" s="60">
        <f>Assumptions_Model!$B$3</f>
        <v/>
      </c>
      <c r="C57" s="43" t="n">
        <v>0</v>
      </c>
      <c r="D57">
        <f>IF(B57=C57,1,0)</f>
        <v/>
      </c>
    </row>
    <row r="58">
      <c r="A58" t="inlineStr">
        <is>
          <t>Gearing</t>
        </is>
      </c>
      <c r="B58" s="60">
        <f>Assumptions_Model!$B$4</f>
        <v/>
      </c>
      <c r="C58" s="43" t="n">
        <v>0</v>
      </c>
      <c r="D58">
        <f>IF(B58=C58,1,0)</f>
        <v/>
      </c>
    </row>
    <row r="59">
      <c r="A59" t="inlineStr">
        <is>
          <t>Interest Rate</t>
        </is>
      </c>
      <c r="B59" s="60">
        <f>Assumptions_Model!$B$5</f>
        <v/>
      </c>
      <c r="C59" s="43" t="n">
        <v>0</v>
      </c>
      <c r="D59">
        <f>IF(B59=C59,1,0)</f>
        <v/>
      </c>
    </row>
    <row r="60">
      <c r="A60" t="inlineStr">
        <is>
          <t>Debt Tenor (Years)</t>
        </is>
      </c>
      <c r="B60" s="60">
        <f>Assumptions_Model!$B$6</f>
        <v/>
      </c>
      <c r="C60" s="43" t="n">
        <v>0</v>
      </c>
      <c r="D60">
        <f>IF(B60=C60,1,0)</f>
        <v/>
      </c>
    </row>
    <row r="61">
      <c r="A61" t="inlineStr">
        <is>
          <t>Target DSCR</t>
        </is>
      </c>
      <c r="B61" s="60">
        <f>Assumptions_Model!$B$7</f>
        <v/>
      </c>
      <c r="C61" s="43" t="n">
        <v>0</v>
      </c>
      <c r="D61">
        <f>IF(B61=C61,1,0)</f>
        <v/>
      </c>
    </row>
    <row r="62">
      <c r="A62" t="inlineStr">
        <is>
          <t>Annual Revenue</t>
        </is>
      </c>
      <c r="B62" s="60">
        <f>Assumptions_Model!$B$8</f>
        <v/>
      </c>
      <c r="C62" s="43" t="n">
        <v>0</v>
      </c>
      <c r="D62">
        <f>IF(B62=C62,1,0)</f>
        <v/>
      </c>
    </row>
    <row r="63">
      <c r="A63" t="inlineStr">
        <is>
          <t>Opex % of Revenue</t>
        </is>
      </c>
      <c r="B63" s="60">
        <f>Assumptions_Model!$B$9</f>
        <v/>
      </c>
      <c r="C63" s="43" t="n">
        <v>0</v>
      </c>
      <c r="D63">
        <f>IF(B63=C63,1,0)</f>
        <v/>
      </c>
    </row>
    <row r="64">
      <c r="A64" t="inlineStr">
        <is>
          <t>Tax Rate</t>
        </is>
      </c>
      <c r="B64" s="60">
        <f>Assumptions_Model!$B$10</f>
        <v/>
      </c>
      <c r="C64" s="43" t="n">
        <v>0</v>
      </c>
      <c r="D64">
        <f>IF(B64=C64,1,0)</f>
        <v/>
      </c>
    </row>
    <row r="65">
      <c r="A65" t="inlineStr">
        <is>
          <t>Useful Life (Years)</t>
        </is>
      </c>
      <c r="B65" s="60">
        <f>Assumptions_Model!$B$11</f>
        <v/>
      </c>
      <c r="C65" s="43" t="n">
        <v>0</v>
      </c>
      <c r="D65">
        <f>IF(B65=C65,1,0)</f>
        <v/>
      </c>
    </row>
    <row r="66">
      <c r="A66" t="inlineStr">
        <is>
          <t>Max Gearing</t>
        </is>
      </c>
      <c r="B66" s="60">
        <f>Assumptions_Model!$B$12</f>
        <v/>
      </c>
      <c r="C66" s="43" t="n">
        <v>0</v>
      </c>
      <c r="D66">
        <f>IF(B66=C66,1,0)</f>
        <v/>
      </c>
    </row>
    <row r="67">
      <c r="A67" t="inlineStr">
        <is>
          <t>Routine Maint Capex %</t>
        </is>
      </c>
      <c r="B67" s="60">
        <f>Assumptions_Model!$B$13</f>
        <v/>
      </c>
      <c r="C67" s="43" t="n">
        <v>0</v>
      </c>
      <c r="D67">
        <f>IF(B67=C67,1,0)</f>
        <v/>
      </c>
    </row>
    <row r="68">
      <c r="A68" t="inlineStr">
        <is>
          <t>DSRA LC Fee</t>
        </is>
      </c>
      <c r="B68" s="60">
        <f>Assumptions_Model!$B$14</f>
        <v/>
      </c>
      <c r="C68" s="43" t="n">
        <v>0</v>
      </c>
      <c r="D68">
        <f>IF(B68=C68,1,0)</f>
        <v/>
      </c>
    </row>
    <row r="69">
      <c r="A69" t="inlineStr">
        <is>
          <t>Drawdown Method</t>
        </is>
      </c>
      <c r="B69" s="60">
        <f>$B$14</f>
        <v/>
      </c>
      <c r="C69" s="43" t="n">
        <v>0</v>
      </c>
      <c r="D69">
        <f>IF(B69=C69,1,0)</f>
        <v/>
      </c>
    </row>
    <row r="70">
      <c r="A70" t="inlineStr">
        <is>
          <t>Debt Sizing Mode</t>
        </is>
      </c>
      <c r="B70" s="60">
        <f>$B$17</f>
        <v/>
      </c>
      <c r="C70" s="43" t="n">
        <v>0</v>
      </c>
      <c r="D70">
        <f>IF(B70=C70,1,0)</f>
        <v/>
      </c>
    </row>
    <row r="71">
      <c r="A71" t="inlineStr">
        <is>
          <t>DSRA Funding Method</t>
        </is>
      </c>
      <c r="B71" s="60">
        <f>$B$23</f>
        <v/>
      </c>
      <c r="C71" s="43" t="n">
        <v>0</v>
      </c>
      <c r="D71">
        <f>IF(B71=C71,1,0)</f>
        <v/>
      </c>
    </row>
    <row r="72">
      <c r="A72" t="inlineStr">
        <is>
          <t>Active Scenario</t>
        </is>
      </c>
      <c r="B72" s="60">
        <f>$B$20</f>
        <v/>
      </c>
      <c r="C72" s="43" t="n">
        <v>0</v>
      </c>
      <c r="D72">
        <f>IF(B72=C72,1,0)</f>
        <v/>
      </c>
    </row>
    <row r="73">
      <c r="A73" t="inlineStr">
        <is>
          <t>Capex Phasing (signature)</t>
        </is>
      </c>
      <c r="B73" s="60">
        <f>SUMPRODUCT(Assumptions_Model!$C$18:$Z$18,COLUMN(Assumptions_Model!$C$18:$Z$18))</f>
        <v/>
      </c>
      <c r="C73" s="43" t="n">
        <v>0</v>
      </c>
      <c r="D73">
        <f>IF(B73=C73,1,0)</f>
        <v/>
      </c>
    </row>
    <row r="75">
      <c r="A75" t="inlineStr">
        <is>
          <t>Check: Solve is current</t>
        </is>
      </c>
      <c r="D75">
        <f>IF(COUNTIF(D57:D73,0)=0,1,0)</f>
        <v/>
      </c>
    </row>
  </sheetData>
  <dataValidations count="5">
    <dataValidation sqref="B14" showDropDown="0" showInputMessage="0" showErrorMessage="0" allowBlank="0" type="list">
      <formula1>"Debt First,Equity First,Pari Passu"</formula1>
    </dataValidation>
    <dataValidation sqref="B17" showDropDown="0" showInputMessage="0" showErrorMessage="0" allowBlank="0" type="list">
      <formula1>"Fixed Gearing,DSCR Sculpted"</formula1>
    </dataValidation>
    <dataValidation sqref="B20" showDropDown="0" showInputMessage="0" showErrorMessage="1" allowBlank="0" errorTitle="Invalid scenario" error="Enter a whole number between 1 and 10." type="whole" operator="between">
      <formula1>1</formula1>
      <formula2>10</formula2>
    </dataValidation>
    <dataValidation sqref="B23" showDropDown="0" showInputMessage="0" showErrorMessage="0" allowBlank="0" type="list">
      <formula1>"Cash Funded,LC-Backed"</formula1>
    </dataValidation>
    <dataValidation sqref="B41" showDropDown="0" showInputMessage="0" showErrorMessage="0" allowBlank="0" type="list">
      <formula1>"Solve Only,Solve + Goal Seek EIRR,Solve + Goal Seek PIRR"</formula1>
    </dataValidation>
  </dataValidations>
  <pageMargins left="0.75" right="0.75" top="1" bottom="1" header="0.5" footer="0.5"/>
</worksheet>
</file>

<file path=xl/worksheets/sheet2.xml><?xml version="1.0" encoding="utf-8"?>
<worksheet xmlns="http://schemas.openxmlformats.org/spreadsheetml/2006/main">
  <sheetPr>
    <tabColor rgb="000000FF"/>
    <outlinePr summaryBelow="1" summaryRight="1"/>
    <pageSetUpPr/>
  </sheetPr>
  <dimension ref="A1:Z19"/>
  <sheetViews>
    <sheetView workbookViewId="0">
      <pane xSplit="2" ySplit="18" topLeftCell="C19" activePane="bottomRight" state="frozen"/>
      <selection pane="topRight"/>
      <selection pane="bottomLeft"/>
      <selection pane="bottomRight" activeCell="A1" sqref="A1"/>
    </sheetView>
  </sheetViews>
  <sheetFormatPr baseColWidth="8" defaultRowHeight="15"/>
  <sheetData>
    <row r="1">
      <c r="A1" s="59" t="inlineStr">
        <is>
          <t>Assumptions_Model — Resolved Inputs for the Active Scenario</t>
        </is>
      </c>
    </row>
    <row r="2">
      <c r="A2" s="45" t="inlineStr">
        <is>
          <t>Every value here resolves from Assumptions_Constant's Active column. Change assumptions there, not here — this sheet is the live view the Calc sheets read.</t>
        </is>
      </c>
    </row>
    <row r="3">
      <c r="A3" t="inlineStr">
        <is>
          <t>Total Capex ($)</t>
        </is>
      </c>
      <c r="B3" s="55">
        <f>Assumptions_Constant!$B$6</f>
        <v/>
      </c>
    </row>
    <row r="4">
      <c r="A4" t="inlineStr">
        <is>
          <t>Gearing (Debt % of TPC)</t>
        </is>
      </c>
      <c r="B4" s="56">
        <f>Assumptions_Constant!$B$7</f>
        <v/>
      </c>
    </row>
    <row r="5">
      <c r="A5" t="inlineStr">
        <is>
          <t>Interest Rate (Annual)</t>
        </is>
      </c>
      <c r="B5" s="56">
        <f>Assumptions_Constant!$B$8</f>
        <v/>
      </c>
    </row>
    <row r="6">
      <c r="A6" t="inlineStr">
        <is>
          <t>Debt Tenor (Years)</t>
        </is>
      </c>
      <c r="B6" s="61">
        <f>Assumptions_Constant!$B$9</f>
        <v/>
      </c>
    </row>
    <row r="7">
      <c r="A7" t="inlineStr">
        <is>
          <t>Target DSCR</t>
        </is>
      </c>
      <c r="B7" s="62">
        <f>Assumptions_Constant!$B$10</f>
        <v/>
      </c>
    </row>
    <row r="8">
      <c r="A8" t="inlineStr">
        <is>
          <t>Annual Revenue ($) — base, pre-index and pre-escalation</t>
        </is>
      </c>
      <c r="B8" s="55">
        <f>Assumptions_Constant!$B$11</f>
        <v/>
      </c>
    </row>
    <row r="9">
      <c r="A9" t="inlineStr">
        <is>
          <t>Opex % of Revenue</t>
        </is>
      </c>
      <c r="B9" s="56">
        <f>Assumptions_Constant!$B$12</f>
        <v/>
      </c>
    </row>
    <row r="10">
      <c r="A10" t="inlineStr">
        <is>
          <t>Tax Rate</t>
        </is>
      </c>
      <c r="B10" s="56">
        <f>Assumptions_Constant!$B$13</f>
        <v/>
      </c>
    </row>
    <row r="11">
      <c r="A11" t="inlineStr">
        <is>
          <t>Useful Life (Years)</t>
        </is>
      </c>
      <c r="B11" s="61">
        <f>Assumptions_Constant!$B$14</f>
        <v/>
      </c>
    </row>
    <row r="12">
      <c r="A12" t="inlineStr">
        <is>
          <t>Max Gearing (cap on DSCR-sculpted debt size)</t>
        </is>
      </c>
      <c r="B12" s="56">
        <f>Assumptions_Constant!$B$15</f>
        <v/>
      </c>
    </row>
    <row r="13">
      <c r="A13" t="inlineStr">
        <is>
          <t>Routine Maint Capex (% of Revenue)</t>
        </is>
      </c>
      <c r="B13" s="56">
        <f>Assumptions_Constant!$B$20</f>
        <v/>
      </c>
    </row>
    <row r="14">
      <c r="A14" t="inlineStr">
        <is>
          <t>DSRA LC Fee (% p.a. on requirement)</t>
        </is>
      </c>
      <c r="B14" s="56">
        <f>Assumptions_Constant!$B$21</f>
        <v/>
      </c>
    </row>
    <row r="16">
      <c r="A16" s="41" t="inlineStr">
        <is>
          <t>Capex Phasing % — resolved from Assumptions_Periodic_Capex Active row</t>
        </is>
      </c>
    </row>
    <row r="17">
      <c r="A17" t="inlineStr">
        <is>
          <t>Period End Date</t>
        </is>
      </c>
      <c r="C17" s="16" t="n">
        <v>46418</v>
      </c>
      <c r="D17" s="16" t="n">
        <v>46446</v>
      </c>
      <c r="E17" s="16" t="n">
        <v>46477</v>
      </c>
      <c r="F17" s="16" t="n">
        <v>46507</v>
      </c>
      <c r="G17" s="16" t="n">
        <v>46538</v>
      </c>
      <c r="H17" s="16" t="n">
        <v>46568</v>
      </c>
      <c r="I17" s="16" t="n">
        <v>46599</v>
      </c>
      <c r="J17" s="16" t="n">
        <v>46630</v>
      </c>
      <c r="K17" s="16" t="n">
        <v>46660</v>
      </c>
      <c r="L17" s="16" t="n">
        <v>46691</v>
      </c>
      <c r="M17" s="16" t="n">
        <v>46721</v>
      </c>
      <c r="N17" s="16" t="n">
        <v>46752</v>
      </c>
      <c r="O17" s="16" t="n">
        <v>46783</v>
      </c>
      <c r="P17" s="16" t="n">
        <v>46812</v>
      </c>
      <c r="Q17" s="16" t="n">
        <v>46843</v>
      </c>
      <c r="R17" s="16" t="n">
        <v>46873</v>
      </c>
      <c r="S17" s="16" t="n">
        <v>46904</v>
      </c>
      <c r="T17" s="16" t="n">
        <v>46934</v>
      </c>
      <c r="U17" s="16" t="n">
        <v>46965</v>
      </c>
      <c r="V17" s="16" t="n">
        <v>46996</v>
      </c>
      <c r="W17" s="16" t="n">
        <v>47026</v>
      </c>
      <c r="X17" s="16" t="n">
        <v>47057</v>
      </c>
      <c r="Y17" s="16" t="n">
        <v>47087</v>
      </c>
      <c r="Z17" s="16" t="n">
        <v>47118</v>
      </c>
    </row>
    <row r="18">
      <c r="A18" t="inlineStr">
        <is>
          <t>Phasing %</t>
        </is>
      </c>
      <c r="C18" s="56">
        <f>Assumptions_Periodic_Capex!C18</f>
        <v/>
      </c>
      <c r="D18" s="56">
        <f>Assumptions_Periodic_Capex!D18</f>
        <v/>
      </c>
      <c r="E18" s="56">
        <f>Assumptions_Periodic_Capex!E18</f>
        <v/>
      </c>
      <c r="F18" s="56">
        <f>Assumptions_Periodic_Capex!F18</f>
        <v/>
      </c>
      <c r="G18" s="56">
        <f>Assumptions_Periodic_Capex!G18</f>
        <v/>
      </c>
      <c r="H18" s="56">
        <f>Assumptions_Periodic_Capex!H18</f>
        <v/>
      </c>
      <c r="I18" s="56">
        <f>Assumptions_Periodic_Capex!I18</f>
        <v/>
      </c>
      <c r="J18" s="56">
        <f>Assumptions_Periodic_Capex!J18</f>
        <v/>
      </c>
      <c r="K18" s="56">
        <f>Assumptions_Periodic_Capex!K18</f>
        <v/>
      </c>
      <c r="L18" s="56">
        <f>Assumptions_Periodic_Capex!L18</f>
        <v/>
      </c>
      <c r="M18" s="56">
        <f>Assumptions_Periodic_Capex!M18</f>
        <v/>
      </c>
      <c r="N18" s="56">
        <f>Assumptions_Periodic_Capex!N18</f>
        <v/>
      </c>
      <c r="O18" s="56">
        <f>Assumptions_Periodic_Capex!O18</f>
        <v/>
      </c>
      <c r="P18" s="56">
        <f>Assumptions_Periodic_Capex!P18</f>
        <v/>
      </c>
      <c r="Q18" s="56">
        <f>Assumptions_Periodic_Capex!Q18</f>
        <v/>
      </c>
      <c r="R18" s="56">
        <f>Assumptions_Periodic_Capex!R18</f>
        <v/>
      </c>
      <c r="S18" s="56">
        <f>Assumptions_Periodic_Capex!S18</f>
        <v/>
      </c>
      <c r="T18" s="56">
        <f>Assumptions_Periodic_Capex!T18</f>
        <v/>
      </c>
      <c r="U18" s="56">
        <f>Assumptions_Periodic_Capex!U18</f>
        <v/>
      </c>
      <c r="V18" s="56">
        <f>Assumptions_Periodic_Capex!V18</f>
        <v/>
      </c>
      <c r="W18" s="56">
        <f>Assumptions_Periodic_Capex!W18</f>
        <v/>
      </c>
      <c r="X18" s="56">
        <f>Assumptions_Periodic_Capex!X18</f>
        <v/>
      </c>
      <c r="Y18" s="56">
        <f>Assumptions_Periodic_Capex!Y18</f>
        <v/>
      </c>
      <c r="Z18" s="56">
        <f>Assumptions_Periodic_Capex!Z18</f>
        <v/>
      </c>
    </row>
    <row r="19"/>
  </sheetData>
  <pageMargins left="0.75" right="0.75" top="1" bottom="1" header="0.5" footer="0.5"/>
</worksheet>
</file>

<file path=xl/worksheets/sheet3.xml><?xml version="1.0" encoding="utf-8"?>
<worksheet xmlns="http://schemas.openxmlformats.org/spreadsheetml/2006/main">
  <sheetPr>
    <tabColor rgb="000000FF"/>
    <outlinePr summaryBelow="1" summaryRight="1"/>
    <pageSetUpPr/>
  </sheetPr>
  <dimension ref="A1:L25"/>
  <sheetViews>
    <sheetView workbookViewId="0">
      <pane xSplit="2" ySplit="5" topLeftCell="C6" activePane="bottomRight" state="frozen"/>
      <selection pane="topRight"/>
      <selection pane="bottomLeft"/>
      <selection pane="bottomRight" activeCell="A1" sqref="A1"/>
    </sheetView>
  </sheetViews>
  <sheetFormatPr baseColWidth="8" defaultRowHeight="15"/>
  <cols>
    <col width="34" customWidth="1" min="1" max="1"/>
  </cols>
  <sheetData>
    <row r="1">
      <c r="A1" s="59" t="inlineStr">
        <is>
          <t>Assumptions_Constant — Single-Value Drivers, Scenarios Across Columns</t>
        </is>
      </c>
    </row>
    <row r="3">
      <c r="A3" s="41" t="inlineStr">
        <is>
          <t>Driver</t>
        </is>
      </c>
      <c r="B3" s="41" t="inlineStr">
        <is>
          <t>Active</t>
        </is>
      </c>
      <c r="C3" s="41" t="n">
        <v>1</v>
      </c>
      <c r="D3" s="41" t="n">
        <v>2</v>
      </c>
      <c r="E3" s="41" t="n">
        <v>3</v>
      </c>
      <c r="F3" s="41" t="n">
        <v>4</v>
      </c>
      <c r="G3" s="41" t="n">
        <v>5</v>
      </c>
      <c r="H3" s="41" t="n">
        <v>6</v>
      </c>
      <c r="I3" s="41" t="n">
        <v>7</v>
      </c>
      <c r="J3" s="41" t="n">
        <v>8</v>
      </c>
      <c r="K3" s="41" t="n">
        <v>9</v>
      </c>
      <c r="L3" s="41" t="n">
        <v>10</v>
      </c>
    </row>
    <row r="4">
      <c r="A4" t="inlineStr">
        <is>
          <t>Scenario Name</t>
        </is>
      </c>
      <c r="B4" s="63">
        <f>INDEX($C$4:$L$4,1,Cover!$B$20)</f>
        <v/>
      </c>
      <c r="C4" s="43" t="inlineStr">
        <is>
          <t>Base</t>
        </is>
      </c>
      <c r="D4" s="43" t="inlineStr">
        <is>
          <t>Upside</t>
        </is>
      </c>
      <c r="E4" s="43" t="inlineStr">
        <is>
          <t>Downside</t>
        </is>
      </c>
      <c r="F4" s="43" t="inlineStr">
        <is>
          <t>Scenario 4</t>
        </is>
      </c>
      <c r="G4" s="43" t="inlineStr">
        <is>
          <t>Scenario 5</t>
        </is>
      </c>
      <c r="H4" s="43" t="inlineStr">
        <is>
          <t>Scenario 6</t>
        </is>
      </c>
      <c r="I4" s="43" t="inlineStr">
        <is>
          <t>Scenario 7</t>
        </is>
      </c>
      <c r="J4" s="43" t="inlineStr">
        <is>
          <t>Scenario 8</t>
        </is>
      </c>
      <c r="K4" s="43" t="inlineStr">
        <is>
          <t>Scenario 9</t>
        </is>
      </c>
      <c r="L4" s="43" t="inlineStr">
        <is>
          <t>Scenario 10</t>
        </is>
      </c>
    </row>
    <row r="6">
      <c r="A6" t="inlineStr">
        <is>
          <t>Total Capex ($)</t>
        </is>
      </c>
      <c r="B6" s="64">
        <f>INDEX($C$6:$L$6,1,Cover!$B$20)</f>
        <v/>
      </c>
      <c r="C6" s="65" t="n">
        <v>100000000</v>
      </c>
      <c r="D6" s="65" t="n">
        <v>95000000</v>
      </c>
      <c r="E6" s="65" t="n">
        <v>110000000</v>
      </c>
      <c r="F6" s="65" t="n">
        <v>100000000</v>
      </c>
      <c r="G6" s="65" t="n">
        <v>100000000</v>
      </c>
      <c r="H6" s="65" t="n">
        <v>100000000</v>
      </c>
      <c r="I6" s="65" t="n">
        <v>100000000</v>
      </c>
      <c r="J6" s="65" t="n">
        <v>100000000</v>
      </c>
      <c r="K6" s="65" t="n">
        <v>100000000</v>
      </c>
      <c r="L6" s="65" t="n">
        <v>100000000</v>
      </c>
    </row>
    <row r="7">
      <c r="A7" t="inlineStr">
        <is>
          <t>Gearing (Debt % of TPC)</t>
        </is>
      </c>
      <c r="B7" s="66">
        <f>INDEX($C$7:$L$7,1,Cover!$B$20)</f>
        <v/>
      </c>
      <c r="C7" s="48" t="n">
        <v>0.7</v>
      </c>
      <c r="D7" s="48" t="n">
        <v>0.75</v>
      </c>
      <c r="E7" s="48" t="n">
        <v>0.65</v>
      </c>
      <c r="F7" s="48" t="n">
        <v>0.7</v>
      </c>
      <c r="G7" s="48" t="n">
        <v>0.7</v>
      </c>
      <c r="H7" s="48" t="n">
        <v>0.7</v>
      </c>
      <c r="I7" s="48" t="n">
        <v>0.7</v>
      </c>
      <c r="J7" s="48" t="n">
        <v>0.7</v>
      </c>
      <c r="K7" s="48" t="n">
        <v>0.7</v>
      </c>
      <c r="L7" s="48" t="n">
        <v>0.7</v>
      </c>
    </row>
    <row r="8">
      <c r="A8" t="inlineStr">
        <is>
          <t>Interest Rate (Annual)</t>
        </is>
      </c>
      <c r="B8" s="66">
        <f>INDEX($C$8:$L$8,1,Cover!$B$20)</f>
        <v/>
      </c>
      <c r="C8" s="48" t="n">
        <v>0.06</v>
      </c>
      <c r="D8" s="48" t="n">
        <v>0.055</v>
      </c>
      <c r="E8" s="48" t="n">
        <v>0.07000000000000001</v>
      </c>
      <c r="F8" s="48" t="n">
        <v>0.06</v>
      </c>
      <c r="G8" s="48" t="n">
        <v>0.06</v>
      </c>
      <c r="H8" s="48" t="n">
        <v>0.06</v>
      </c>
      <c r="I8" s="48" t="n">
        <v>0.06</v>
      </c>
      <c r="J8" s="48" t="n">
        <v>0.06</v>
      </c>
      <c r="K8" s="48" t="n">
        <v>0.06</v>
      </c>
      <c r="L8" s="48" t="n">
        <v>0.06</v>
      </c>
    </row>
    <row r="9">
      <c r="A9" t="inlineStr">
        <is>
          <t>Debt Tenor (Years)</t>
        </is>
      </c>
      <c r="B9" s="67">
        <f>INDEX($C$9:$L$9,1,Cover!$B$20)</f>
        <v/>
      </c>
      <c r="C9" s="54" t="n">
        <v>15</v>
      </c>
      <c r="D9" s="54" t="n">
        <v>17</v>
      </c>
      <c r="E9" s="54" t="n">
        <v>12</v>
      </c>
      <c r="F9" s="54" t="n">
        <v>15</v>
      </c>
      <c r="G9" s="54" t="n">
        <v>15</v>
      </c>
      <c r="H9" s="54" t="n">
        <v>15</v>
      </c>
      <c r="I9" s="54" t="n">
        <v>15</v>
      </c>
      <c r="J9" s="54" t="n">
        <v>15</v>
      </c>
      <c r="K9" s="54" t="n">
        <v>15</v>
      </c>
      <c r="L9" s="54" t="n">
        <v>15</v>
      </c>
    </row>
    <row r="10">
      <c r="A10" t="inlineStr">
        <is>
          <t>Target DSCR</t>
        </is>
      </c>
      <c r="B10" s="68">
        <f>INDEX($C$10:$L$10,1,Cover!$B$20)</f>
        <v/>
      </c>
      <c r="C10" s="52" t="n">
        <v>1.3</v>
      </c>
      <c r="D10" s="52" t="n">
        <v>1.25</v>
      </c>
      <c r="E10" s="52" t="n">
        <v>1.4</v>
      </c>
      <c r="F10" s="52" t="n">
        <v>1.3</v>
      </c>
      <c r="G10" s="52" t="n">
        <v>1.3</v>
      </c>
      <c r="H10" s="52" t="n">
        <v>1.3</v>
      </c>
      <c r="I10" s="52" t="n">
        <v>1.3</v>
      </c>
      <c r="J10" s="52" t="n">
        <v>1.3</v>
      </c>
      <c r="K10" s="52" t="n">
        <v>1.3</v>
      </c>
      <c r="L10" s="52" t="n">
        <v>1.3</v>
      </c>
    </row>
    <row r="11">
      <c r="A11" t="inlineStr">
        <is>
          <t>Annual Revenue ($)</t>
        </is>
      </c>
      <c r="B11" s="64">
        <f>INDEX($C$11:$L$11,1,Cover!$B$20)</f>
        <v/>
      </c>
      <c r="C11" s="65" t="n">
        <v>15000000</v>
      </c>
      <c r="D11" s="65" t="n">
        <v>18000000</v>
      </c>
      <c r="E11" s="65" t="n">
        <v>12000000</v>
      </c>
      <c r="F11" s="65" t="n">
        <v>15000000</v>
      </c>
      <c r="G11" s="65" t="n">
        <v>15000000</v>
      </c>
      <c r="H11" s="65" t="n">
        <v>15000000</v>
      </c>
      <c r="I11" s="65" t="n">
        <v>15000000</v>
      </c>
      <c r="J11" s="65" t="n">
        <v>15000000</v>
      </c>
      <c r="K11" s="65" t="n">
        <v>15000000</v>
      </c>
      <c r="L11" s="65" t="n">
        <v>15000000</v>
      </c>
    </row>
    <row r="12">
      <c r="A12" t="inlineStr">
        <is>
          <t>Opex % of Revenue</t>
        </is>
      </c>
      <c r="B12" s="66">
        <f>INDEX($C$12:$L$12,1,Cover!$B$20)</f>
        <v/>
      </c>
      <c r="C12" s="48" t="n">
        <v>0.3</v>
      </c>
      <c r="D12" s="48" t="n">
        <v>0.27</v>
      </c>
      <c r="E12" s="48" t="n">
        <v>0.35</v>
      </c>
      <c r="F12" s="48" t="n">
        <v>0.3</v>
      </c>
      <c r="G12" s="48" t="n">
        <v>0.3</v>
      </c>
      <c r="H12" s="48" t="n">
        <v>0.3</v>
      </c>
      <c r="I12" s="48" t="n">
        <v>0.3</v>
      </c>
      <c r="J12" s="48" t="n">
        <v>0.3</v>
      </c>
      <c r="K12" s="48" t="n">
        <v>0.3</v>
      </c>
      <c r="L12" s="48" t="n">
        <v>0.3</v>
      </c>
    </row>
    <row r="13">
      <c r="A13" t="inlineStr">
        <is>
          <t>Tax Rate</t>
        </is>
      </c>
      <c r="B13" s="66">
        <f>INDEX($C$13:$L$13,1,Cover!$B$20)</f>
        <v/>
      </c>
      <c r="C13" s="48" t="n">
        <v>0.25</v>
      </c>
      <c r="D13" s="48" t="n">
        <v>0.25</v>
      </c>
      <c r="E13" s="48" t="n">
        <v>0.25</v>
      </c>
      <c r="F13" s="48" t="n">
        <v>0.25</v>
      </c>
      <c r="G13" s="48" t="n">
        <v>0.25</v>
      </c>
      <c r="H13" s="48" t="n">
        <v>0.25</v>
      </c>
      <c r="I13" s="48" t="n">
        <v>0.25</v>
      </c>
      <c r="J13" s="48" t="n">
        <v>0.25</v>
      </c>
      <c r="K13" s="48" t="n">
        <v>0.25</v>
      </c>
      <c r="L13" s="48" t="n">
        <v>0.25</v>
      </c>
    </row>
    <row r="14">
      <c r="A14" t="inlineStr">
        <is>
          <t>Useful Life (Years)</t>
        </is>
      </c>
      <c r="B14" s="67">
        <f>INDEX($C$14:$L$14,1,Cover!$B$20)</f>
        <v/>
      </c>
      <c r="C14" s="54" t="n">
        <v>20</v>
      </c>
      <c r="D14" s="54" t="n">
        <v>20</v>
      </c>
      <c r="E14" s="54" t="n">
        <v>20</v>
      </c>
      <c r="F14" s="54" t="n">
        <v>20</v>
      </c>
      <c r="G14" s="54" t="n">
        <v>20</v>
      </c>
      <c r="H14" s="54" t="n">
        <v>20</v>
      </c>
      <c r="I14" s="54" t="n">
        <v>20</v>
      </c>
      <c r="J14" s="54" t="n">
        <v>20</v>
      </c>
      <c r="K14" s="54" t="n">
        <v>20</v>
      </c>
      <c r="L14" s="54" t="n">
        <v>20</v>
      </c>
    </row>
    <row r="15">
      <c r="A15" t="inlineStr">
        <is>
          <t>Max Gearing (cap)</t>
        </is>
      </c>
      <c r="B15" s="66">
        <f>INDEX($C$15:$L$15,1,Cover!$B$20)</f>
        <v/>
      </c>
      <c r="C15" s="48" t="n">
        <v>0.85</v>
      </c>
      <c r="D15" s="48" t="n">
        <v>0.85</v>
      </c>
      <c r="E15" s="48" t="n">
        <v>0.85</v>
      </c>
      <c r="F15" s="48" t="n">
        <v>0.85</v>
      </c>
      <c r="G15" s="48" t="n">
        <v>0.85</v>
      </c>
      <c r="H15" s="48" t="n">
        <v>0.85</v>
      </c>
      <c r="I15" s="48" t="n">
        <v>0.85</v>
      </c>
      <c r="J15" s="48" t="n">
        <v>0.85</v>
      </c>
      <c r="K15" s="48" t="n">
        <v>0.85</v>
      </c>
      <c r="L15" s="48" t="n">
        <v>0.85</v>
      </c>
    </row>
    <row r="16">
      <c r="A16" t="inlineStr">
        <is>
          <t>Escalation Factor 1 (Annual %)</t>
        </is>
      </c>
      <c r="B16" s="66">
        <f>INDEX($C$16:$L$16,1,Cover!$B$20)</f>
        <v/>
      </c>
      <c r="C16" s="48" t="n">
        <v>0</v>
      </c>
      <c r="D16" s="48" t="n">
        <v>0</v>
      </c>
      <c r="E16" s="48" t="n">
        <v>0</v>
      </c>
      <c r="F16" s="48" t="n">
        <v>0</v>
      </c>
      <c r="G16" s="48" t="n">
        <v>0</v>
      </c>
      <c r="H16" s="48" t="n">
        <v>0</v>
      </c>
      <c r="I16" s="48" t="n">
        <v>0</v>
      </c>
      <c r="J16" s="48" t="n">
        <v>0</v>
      </c>
      <c r="K16" s="48" t="n">
        <v>0</v>
      </c>
      <c r="L16" s="48" t="n">
        <v>0</v>
      </c>
    </row>
    <row r="17">
      <c r="A17" t="inlineStr">
        <is>
          <t>Escalation Factor 2 (Annual %)</t>
        </is>
      </c>
      <c r="B17" s="66">
        <f>INDEX($C$17:$L$17,1,Cover!$B$20)</f>
        <v/>
      </c>
      <c r="C17" s="48" t="n">
        <v>0</v>
      </c>
      <c r="D17" s="48" t="n">
        <v>0</v>
      </c>
      <c r="E17" s="48" t="n">
        <v>0</v>
      </c>
      <c r="F17" s="48" t="n">
        <v>0</v>
      </c>
      <c r="G17" s="48" t="n">
        <v>0</v>
      </c>
      <c r="H17" s="48" t="n">
        <v>0</v>
      </c>
      <c r="I17" s="48" t="n">
        <v>0</v>
      </c>
      <c r="J17" s="48" t="n">
        <v>0</v>
      </c>
      <c r="K17" s="48" t="n">
        <v>0</v>
      </c>
      <c r="L17" s="48" t="n">
        <v>0</v>
      </c>
    </row>
    <row r="18">
      <c r="A18" t="inlineStr">
        <is>
          <t>Escalation Factor 3 (Annual %)</t>
        </is>
      </c>
      <c r="B18" s="66">
        <f>INDEX($C$18:$L$18,1,Cover!$B$20)</f>
        <v/>
      </c>
      <c r="C18" s="48" t="n">
        <v>0.025</v>
      </c>
      <c r="D18" s="48" t="n">
        <v>0.02</v>
      </c>
      <c r="E18" s="48" t="n">
        <v>0.04</v>
      </c>
      <c r="F18" s="48" t="n">
        <v>0.025</v>
      </c>
      <c r="G18" s="48" t="n">
        <v>0.025</v>
      </c>
      <c r="H18" s="48" t="n">
        <v>0.025</v>
      </c>
      <c r="I18" s="48" t="n">
        <v>0.025</v>
      </c>
      <c r="J18" s="48" t="n">
        <v>0.025</v>
      </c>
      <c r="K18" s="48" t="n">
        <v>0.025</v>
      </c>
      <c r="L18" s="48" t="n">
        <v>0.025</v>
      </c>
    </row>
    <row r="19">
      <c r="A19" t="inlineStr">
        <is>
          <t>Escalation Factor 4 (Annual %)</t>
        </is>
      </c>
      <c r="B19" s="66">
        <f>INDEX($C$19:$L$19,1,Cover!$B$20)</f>
        <v/>
      </c>
      <c r="C19" s="48" t="n">
        <v>0.03</v>
      </c>
      <c r="D19" s="48" t="n">
        <v>0.025</v>
      </c>
      <c r="E19" s="48" t="n">
        <v>0.045</v>
      </c>
      <c r="F19" s="48" t="n">
        <v>0.03</v>
      </c>
      <c r="G19" s="48" t="n">
        <v>0.03</v>
      </c>
      <c r="H19" s="48" t="n">
        <v>0.03</v>
      </c>
      <c r="I19" s="48" t="n">
        <v>0.03</v>
      </c>
      <c r="J19" s="48" t="n">
        <v>0.03</v>
      </c>
      <c r="K19" s="48" t="n">
        <v>0.03</v>
      </c>
      <c r="L19" s="48" t="n">
        <v>0.03</v>
      </c>
    </row>
    <row r="20">
      <c r="A20" t="inlineStr">
        <is>
          <t>Routine Maint Capex (% of Revenue)</t>
        </is>
      </c>
      <c r="B20" s="66">
        <f>INDEX($C$20:$L$20,1,Cover!$B$20)</f>
        <v/>
      </c>
      <c r="C20" s="48" t="n">
        <v>0.015</v>
      </c>
      <c r="D20" s="48" t="n">
        <v>0.012</v>
      </c>
      <c r="E20" s="48" t="n">
        <v>0.02</v>
      </c>
      <c r="F20" s="48" t="n">
        <v>0.015</v>
      </c>
      <c r="G20" s="48" t="n">
        <v>0.015</v>
      </c>
      <c r="H20" s="48" t="n">
        <v>0.015</v>
      </c>
      <c r="I20" s="48" t="n">
        <v>0.015</v>
      </c>
      <c r="J20" s="48" t="n">
        <v>0.015</v>
      </c>
      <c r="K20" s="48" t="n">
        <v>0.015</v>
      </c>
      <c r="L20" s="48" t="n">
        <v>0.015</v>
      </c>
    </row>
    <row r="21">
      <c r="A21" t="inlineStr">
        <is>
          <t>DSRA LC Fee (% p.a. on requirement)</t>
        </is>
      </c>
      <c r="B21" s="66">
        <f>INDEX($C$21:$L$21,1,Cover!$B$20)</f>
        <v/>
      </c>
      <c r="C21" s="48" t="n">
        <v>0.015</v>
      </c>
      <c r="D21" s="48" t="n">
        <v>0.015</v>
      </c>
      <c r="E21" s="48" t="n">
        <v>0.02</v>
      </c>
      <c r="F21" s="48" t="n">
        <v>0.015</v>
      </c>
      <c r="G21" s="48" t="n">
        <v>0.015</v>
      </c>
      <c r="H21" s="48" t="n">
        <v>0.015</v>
      </c>
      <c r="I21" s="48" t="n">
        <v>0.015</v>
      </c>
      <c r="J21" s="48" t="n">
        <v>0.015</v>
      </c>
      <c r="K21" s="48" t="n">
        <v>0.015</v>
      </c>
      <c r="L21" s="48" t="n">
        <v>0.015</v>
      </c>
    </row>
    <row r="23">
      <c r="A23" s="41" t="inlineStr">
        <is>
          <t>Checks</t>
        </is>
      </c>
    </row>
    <row r="24">
      <c r="A24" t="inlineStr">
        <is>
          <t>Check: Active column resolves (Total Capex &gt; 0)</t>
        </is>
      </c>
      <c r="B24" s="69">
        <f>IF(AND(ISNUMBER(B6),B6&gt;0),1,0)</f>
        <v/>
      </c>
    </row>
    <row r="25">
      <c r="A25" t="inlineStr">
        <is>
          <t>Check: All scenario cells populated</t>
        </is>
      </c>
      <c r="B25" s="69">
        <f>IF(COUNT(C6:L21)=160,1,0)</f>
        <v/>
      </c>
    </row>
  </sheetData>
  <pageMargins left="0.75" right="0.75" top="1" bottom="1" header="0.5" footer="0.5"/>
</worksheet>
</file>

<file path=xl/worksheets/sheet4.xml><?xml version="1.0" encoding="utf-8"?>
<worksheet xmlns="http://schemas.openxmlformats.org/spreadsheetml/2006/main">
  <sheetPr>
    <tabColor rgb="000000FF"/>
    <outlinePr summaryBelow="1" summaryRight="1"/>
    <pageSetUpPr/>
  </sheetPr>
  <dimension ref="A1:Z35"/>
  <sheetViews>
    <sheetView workbookViewId="0">
      <pane xSplit="2" ySplit="7" topLeftCell="C8" activePane="bottomRight" state="frozen"/>
      <selection pane="topRight"/>
      <selection pane="bottomLeft"/>
      <selection pane="bottomRight" activeCell="A1" sqref="A1"/>
    </sheetView>
  </sheetViews>
  <sheetFormatPr baseColWidth="8" defaultRowHeight="15"/>
  <cols>
    <col width="40" customWidth="1" min="1" max="1"/>
  </cols>
  <sheetData>
    <row r="1">
      <c r="A1" s="59" t="inlineStr">
        <is>
          <t>Assumptions_Periodic_Capex — Monthly, Scenarios as Row Blocks</t>
        </is>
      </c>
    </row>
    <row r="2">
      <c r="A2" s="45" t="inlineStr">
        <is>
          <t>Time runs across columns, as everywhere else in the model; scenarios stack downward. The Active row resolves the selection on Cover.</t>
        </is>
      </c>
    </row>
    <row r="4">
      <c r="A4" t="inlineStr">
        <is>
          <t>Period End Date</t>
        </is>
      </c>
      <c r="C4" s="16" t="n">
        <v>46418</v>
      </c>
      <c r="D4" s="16" t="n">
        <v>46446</v>
      </c>
      <c r="E4" s="16" t="n">
        <v>46477</v>
      </c>
      <c r="F4" s="16" t="n">
        <v>46507</v>
      </c>
      <c r="G4" s="16" t="n">
        <v>46538</v>
      </c>
      <c r="H4" s="16" t="n">
        <v>46568</v>
      </c>
      <c r="I4" s="16" t="n">
        <v>46599</v>
      </c>
      <c r="J4" s="16" t="n">
        <v>46630</v>
      </c>
      <c r="K4" s="16" t="n">
        <v>46660</v>
      </c>
      <c r="L4" s="16" t="n">
        <v>46691</v>
      </c>
      <c r="M4" s="16" t="n">
        <v>46721</v>
      </c>
      <c r="N4" s="16" t="n">
        <v>46752</v>
      </c>
      <c r="O4" s="16" t="n">
        <v>46783</v>
      </c>
      <c r="P4" s="16" t="n">
        <v>46812</v>
      </c>
      <c r="Q4" s="16" t="n">
        <v>46843</v>
      </c>
      <c r="R4" s="16" t="n">
        <v>46873</v>
      </c>
      <c r="S4" s="16" t="n">
        <v>46904</v>
      </c>
      <c r="T4" s="16" t="n">
        <v>46934</v>
      </c>
      <c r="U4" s="16" t="n">
        <v>46965</v>
      </c>
      <c r="V4" s="16" t="n">
        <v>46996</v>
      </c>
      <c r="W4" s="16" t="n">
        <v>47026</v>
      </c>
      <c r="X4" s="16" t="n">
        <v>47057</v>
      </c>
      <c r="Y4" s="16" t="n">
        <v>47087</v>
      </c>
      <c r="Z4" s="16" t="n">
        <v>47118</v>
      </c>
    </row>
    <row r="5">
      <c r="A5" t="inlineStr">
        <is>
          <t>Construction Month #</t>
        </is>
      </c>
      <c r="C5" t="n">
        <v>1</v>
      </c>
      <c r="D5" t="n">
        <v>2</v>
      </c>
      <c r="E5" t="n">
        <v>3</v>
      </c>
      <c r="F5" t="n">
        <v>4</v>
      </c>
      <c r="G5" t="n">
        <v>5</v>
      </c>
      <c r="H5" t="n">
        <v>6</v>
      </c>
      <c r="I5" t="n">
        <v>7</v>
      </c>
      <c r="J5" t="n">
        <v>8</v>
      </c>
      <c r="K5" t="n">
        <v>9</v>
      </c>
      <c r="L5" t="n">
        <v>10</v>
      </c>
      <c r="M5" t="n">
        <v>11</v>
      </c>
      <c r="N5" t="n">
        <v>12</v>
      </c>
      <c r="O5" t="n">
        <v>13</v>
      </c>
      <c r="P5" t="n">
        <v>14</v>
      </c>
      <c r="Q5" t="n">
        <v>15</v>
      </c>
      <c r="R5" t="n">
        <v>16</v>
      </c>
      <c r="S5" t="n">
        <v>17</v>
      </c>
      <c r="T5" t="n">
        <v>18</v>
      </c>
      <c r="U5" t="n">
        <v>19</v>
      </c>
      <c r="V5" t="n">
        <v>20</v>
      </c>
      <c r="W5" t="n">
        <v>21</v>
      </c>
      <c r="X5" t="n">
        <v>22</v>
      </c>
      <c r="Y5" t="n">
        <v>23</v>
      </c>
      <c r="Z5" t="n">
        <v>24</v>
      </c>
    </row>
    <row r="7">
      <c r="A7" s="41" t="inlineStr">
        <is>
          <t>Capex Phasing % (by scenario)</t>
        </is>
      </c>
    </row>
    <row r="8">
      <c r="A8" t="inlineStr">
        <is>
          <t>Scenario 1</t>
        </is>
      </c>
      <c r="C8" s="48" t="n">
        <v>0.06307818833421686</v>
      </c>
      <c r="D8" s="48" t="n">
        <v>0.01655674808200606</v>
      </c>
      <c r="E8" s="48" t="n">
        <v>0.02046169881065777</v>
      </c>
      <c r="F8" s="48" t="n">
        <v>0.02504105082360117</v>
      </c>
      <c r="G8" s="48" t="n">
        <v>0.03028034795128202</v>
      </c>
      <c r="H8" s="48" t="n">
        <v>0.03608992183038291</v>
      </c>
      <c r="I8" s="48" t="n">
        <v>0.04227977003039048</v>
      </c>
      <c r="J8" s="48" t="n">
        <v>0.04854350044015626</v>
      </c>
      <c r="K8" s="48" t="n">
        <v>0.05446282655993522</v>
      </c>
      <c r="L8" s="48" t="n">
        <v>0.05954325902461896</v>
      </c>
      <c r="M8" s="48" t="n">
        <v>0.06328413571041036</v>
      </c>
      <c r="N8" s="48" t="n">
        <v>0.06527208658627384</v>
      </c>
      <c r="O8" s="48" t="n">
        <v>0.06527208658627384</v>
      </c>
      <c r="P8" s="48" t="n">
        <v>0.06328413571041036</v>
      </c>
      <c r="Q8" s="48" t="n">
        <v>0.05954325902461896</v>
      </c>
      <c r="R8" s="48" t="n">
        <v>0.05446282655993522</v>
      </c>
      <c r="S8" s="48" t="n">
        <v>0.04854350044015618</v>
      </c>
      <c r="T8" s="48" t="n">
        <v>0.04227977003039056</v>
      </c>
      <c r="U8" s="48" t="n">
        <v>0.03608992183038297</v>
      </c>
      <c r="V8" s="48" t="n">
        <v>0.03028034795128182</v>
      </c>
      <c r="W8" s="48" t="n">
        <v>0.02504105082360136</v>
      </c>
      <c r="X8" s="48" t="n">
        <v>0.02046169881065782</v>
      </c>
      <c r="Y8" s="48" t="n">
        <v>0.01655674808200598</v>
      </c>
      <c r="Z8" s="48" t="n">
        <v>0.01329111996635305</v>
      </c>
    </row>
    <row r="9">
      <c r="A9" t="inlineStr">
        <is>
          <t>Scenario 2</t>
        </is>
      </c>
      <c r="C9" s="48" t="n">
        <v>0.06307818833421686</v>
      </c>
      <c r="D9" s="48" t="n">
        <v>0.01655674808200606</v>
      </c>
      <c r="E9" s="48" t="n">
        <v>0.02046169881065777</v>
      </c>
      <c r="F9" s="48" t="n">
        <v>0.02504105082360117</v>
      </c>
      <c r="G9" s="48" t="n">
        <v>0.03028034795128202</v>
      </c>
      <c r="H9" s="48" t="n">
        <v>0.03608992183038291</v>
      </c>
      <c r="I9" s="48" t="n">
        <v>0.04227977003039048</v>
      </c>
      <c r="J9" s="48" t="n">
        <v>0.04854350044015626</v>
      </c>
      <c r="K9" s="48" t="n">
        <v>0.05446282655993522</v>
      </c>
      <c r="L9" s="48" t="n">
        <v>0.05954325902461896</v>
      </c>
      <c r="M9" s="48" t="n">
        <v>0.06328413571041036</v>
      </c>
      <c r="N9" s="48" t="n">
        <v>0.06527208658627384</v>
      </c>
      <c r="O9" s="48" t="n">
        <v>0.06527208658627384</v>
      </c>
      <c r="P9" s="48" t="n">
        <v>0.06328413571041036</v>
      </c>
      <c r="Q9" s="48" t="n">
        <v>0.05954325902461896</v>
      </c>
      <c r="R9" s="48" t="n">
        <v>0.05446282655993522</v>
      </c>
      <c r="S9" s="48" t="n">
        <v>0.04854350044015618</v>
      </c>
      <c r="T9" s="48" t="n">
        <v>0.04227977003039056</v>
      </c>
      <c r="U9" s="48" t="n">
        <v>0.03608992183038297</v>
      </c>
      <c r="V9" s="48" t="n">
        <v>0.03028034795128182</v>
      </c>
      <c r="W9" s="48" t="n">
        <v>0.02504105082360136</v>
      </c>
      <c r="X9" s="48" t="n">
        <v>0.02046169881065782</v>
      </c>
      <c r="Y9" s="48" t="n">
        <v>0.01655674808200598</v>
      </c>
      <c r="Z9" s="48" t="n">
        <v>0.01329111996635305</v>
      </c>
    </row>
    <row r="10">
      <c r="A10" t="inlineStr">
        <is>
          <t>Scenario 3</t>
        </is>
      </c>
      <c r="C10" s="48" t="n">
        <v>0.06307818833421686</v>
      </c>
      <c r="D10" s="48" t="n">
        <v>0.01655674808200606</v>
      </c>
      <c r="E10" s="48" t="n">
        <v>0.02046169881065777</v>
      </c>
      <c r="F10" s="48" t="n">
        <v>0.02504105082360117</v>
      </c>
      <c r="G10" s="48" t="n">
        <v>0.03028034795128202</v>
      </c>
      <c r="H10" s="48" t="n">
        <v>0.03608992183038291</v>
      </c>
      <c r="I10" s="48" t="n">
        <v>0.04227977003039048</v>
      </c>
      <c r="J10" s="48" t="n">
        <v>0.04854350044015626</v>
      </c>
      <c r="K10" s="48" t="n">
        <v>0.05446282655993522</v>
      </c>
      <c r="L10" s="48" t="n">
        <v>0.05954325902461896</v>
      </c>
      <c r="M10" s="48" t="n">
        <v>0.06328413571041036</v>
      </c>
      <c r="N10" s="48" t="n">
        <v>0.06527208658627384</v>
      </c>
      <c r="O10" s="48" t="n">
        <v>0.06527208658627384</v>
      </c>
      <c r="P10" s="48" t="n">
        <v>0.06328413571041036</v>
      </c>
      <c r="Q10" s="48" t="n">
        <v>0.05954325902461896</v>
      </c>
      <c r="R10" s="48" t="n">
        <v>0.05446282655993522</v>
      </c>
      <c r="S10" s="48" t="n">
        <v>0.04854350044015618</v>
      </c>
      <c r="T10" s="48" t="n">
        <v>0.04227977003039056</v>
      </c>
      <c r="U10" s="48" t="n">
        <v>0.03608992183038297</v>
      </c>
      <c r="V10" s="48" t="n">
        <v>0.03028034795128182</v>
      </c>
      <c r="W10" s="48" t="n">
        <v>0.02504105082360136</v>
      </c>
      <c r="X10" s="48" t="n">
        <v>0.02046169881065782</v>
      </c>
      <c r="Y10" s="48" t="n">
        <v>0.01655674808200598</v>
      </c>
      <c r="Z10" s="48" t="n">
        <v>0.01329111996635305</v>
      </c>
    </row>
    <row r="11">
      <c r="A11" t="inlineStr">
        <is>
          <t>Scenario 4</t>
        </is>
      </c>
      <c r="C11" s="48" t="n">
        <v>0.06307818833421686</v>
      </c>
      <c r="D11" s="48" t="n">
        <v>0.01655674808200606</v>
      </c>
      <c r="E11" s="48" t="n">
        <v>0.02046169881065777</v>
      </c>
      <c r="F11" s="48" t="n">
        <v>0.02504105082360117</v>
      </c>
      <c r="G11" s="48" t="n">
        <v>0.03028034795128202</v>
      </c>
      <c r="H11" s="48" t="n">
        <v>0.03608992183038291</v>
      </c>
      <c r="I11" s="48" t="n">
        <v>0.04227977003039048</v>
      </c>
      <c r="J11" s="48" t="n">
        <v>0.04854350044015626</v>
      </c>
      <c r="K11" s="48" t="n">
        <v>0.05446282655993522</v>
      </c>
      <c r="L11" s="48" t="n">
        <v>0.05954325902461896</v>
      </c>
      <c r="M11" s="48" t="n">
        <v>0.06328413571041036</v>
      </c>
      <c r="N11" s="48" t="n">
        <v>0.06527208658627384</v>
      </c>
      <c r="O11" s="48" t="n">
        <v>0.06527208658627384</v>
      </c>
      <c r="P11" s="48" t="n">
        <v>0.06328413571041036</v>
      </c>
      <c r="Q11" s="48" t="n">
        <v>0.05954325902461896</v>
      </c>
      <c r="R11" s="48" t="n">
        <v>0.05446282655993522</v>
      </c>
      <c r="S11" s="48" t="n">
        <v>0.04854350044015618</v>
      </c>
      <c r="T11" s="48" t="n">
        <v>0.04227977003039056</v>
      </c>
      <c r="U11" s="48" t="n">
        <v>0.03608992183038297</v>
      </c>
      <c r="V11" s="48" t="n">
        <v>0.03028034795128182</v>
      </c>
      <c r="W11" s="48" t="n">
        <v>0.02504105082360136</v>
      </c>
      <c r="X11" s="48" t="n">
        <v>0.02046169881065782</v>
      </c>
      <c r="Y11" s="48" t="n">
        <v>0.01655674808200598</v>
      </c>
      <c r="Z11" s="48" t="n">
        <v>0.01329111996635305</v>
      </c>
    </row>
    <row r="12">
      <c r="A12" t="inlineStr">
        <is>
          <t>Scenario 5</t>
        </is>
      </c>
      <c r="C12" s="48" t="n">
        <v>0.06307818833421686</v>
      </c>
      <c r="D12" s="48" t="n">
        <v>0.01655674808200606</v>
      </c>
      <c r="E12" s="48" t="n">
        <v>0.02046169881065777</v>
      </c>
      <c r="F12" s="48" t="n">
        <v>0.02504105082360117</v>
      </c>
      <c r="G12" s="48" t="n">
        <v>0.03028034795128202</v>
      </c>
      <c r="H12" s="48" t="n">
        <v>0.03608992183038291</v>
      </c>
      <c r="I12" s="48" t="n">
        <v>0.04227977003039048</v>
      </c>
      <c r="J12" s="48" t="n">
        <v>0.04854350044015626</v>
      </c>
      <c r="K12" s="48" t="n">
        <v>0.05446282655993522</v>
      </c>
      <c r="L12" s="48" t="n">
        <v>0.05954325902461896</v>
      </c>
      <c r="M12" s="48" t="n">
        <v>0.06328413571041036</v>
      </c>
      <c r="N12" s="48" t="n">
        <v>0.06527208658627384</v>
      </c>
      <c r="O12" s="48" t="n">
        <v>0.06527208658627384</v>
      </c>
      <c r="P12" s="48" t="n">
        <v>0.06328413571041036</v>
      </c>
      <c r="Q12" s="48" t="n">
        <v>0.05954325902461896</v>
      </c>
      <c r="R12" s="48" t="n">
        <v>0.05446282655993522</v>
      </c>
      <c r="S12" s="48" t="n">
        <v>0.04854350044015618</v>
      </c>
      <c r="T12" s="48" t="n">
        <v>0.04227977003039056</v>
      </c>
      <c r="U12" s="48" t="n">
        <v>0.03608992183038297</v>
      </c>
      <c r="V12" s="48" t="n">
        <v>0.03028034795128182</v>
      </c>
      <c r="W12" s="48" t="n">
        <v>0.02504105082360136</v>
      </c>
      <c r="X12" s="48" t="n">
        <v>0.02046169881065782</v>
      </c>
      <c r="Y12" s="48" t="n">
        <v>0.01655674808200598</v>
      </c>
      <c r="Z12" s="48" t="n">
        <v>0.01329111996635305</v>
      </c>
    </row>
    <row r="13">
      <c r="A13" t="inlineStr">
        <is>
          <t>Scenario 6</t>
        </is>
      </c>
      <c r="C13" s="48" t="n">
        <v>0.06307818833421686</v>
      </c>
      <c r="D13" s="48" t="n">
        <v>0.01655674808200606</v>
      </c>
      <c r="E13" s="48" t="n">
        <v>0.02046169881065777</v>
      </c>
      <c r="F13" s="48" t="n">
        <v>0.02504105082360117</v>
      </c>
      <c r="G13" s="48" t="n">
        <v>0.03028034795128202</v>
      </c>
      <c r="H13" s="48" t="n">
        <v>0.03608992183038291</v>
      </c>
      <c r="I13" s="48" t="n">
        <v>0.04227977003039048</v>
      </c>
      <c r="J13" s="48" t="n">
        <v>0.04854350044015626</v>
      </c>
      <c r="K13" s="48" t="n">
        <v>0.05446282655993522</v>
      </c>
      <c r="L13" s="48" t="n">
        <v>0.05954325902461896</v>
      </c>
      <c r="M13" s="48" t="n">
        <v>0.06328413571041036</v>
      </c>
      <c r="N13" s="48" t="n">
        <v>0.06527208658627384</v>
      </c>
      <c r="O13" s="48" t="n">
        <v>0.06527208658627384</v>
      </c>
      <c r="P13" s="48" t="n">
        <v>0.06328413571041036</v>
      </c>
      <c r="Q13" s="48" t="n">
        <v>0.05954325902461896</v>
      </c>
      <c r="R13" s="48" t="n">
        <v>0.05446282655993522</v>
      </c>
      <c r="S13" s="48" t="n">
        <v>0.04854350044015618</v>
      </c>
      <c r="T13" s="48" t="n">
        <v>0.04227977003039056</v>
      </c>
      <c r="U13" s="48" t="n">
        <v>0.03608992183038297</v>
      </c>
      <c r="V13" s="48" t="n">
        <v>0.03028034795128182</v>
      </c>
      <c r="W13" s="48" t="n">
        <v>0.02504105082360136</v>
      </c>
      <c r="X13" s="48" t="n">
        <v>0.02046169881065782</v>
      </c>
      <c r="Y13" s="48" t="n">
        <v>0.01655674808200598</v>
      </c>
      <c r="Z13" s="48" t="n">
        <v>0.01329111996635305</v>
      </c>
    </row>
    <row r="14">
      <c r="A14" t="inlineStr">
        <is>
          <t>Scenario 7</t>
        </is>
      </c>
      <c r="C14" s="48" t="n">
        <v>0.06307818833421686</v>
      </c>
      <c r="D14" s="48" t="n">
        <v>0.01655674808200606</v>
      </c>
      <c r="E14" s="48" t="n">
        <v>0.02046169881065777</v>
      </c>
      <c r="F14" s="48" t="n">
        <v>0.02504105082360117</v>
      </c>
      <c r="G14" s="48" t="n">
        <v>0.03028034795128202</v>
      </c>
      <c r="H14" s="48" t="n">
        <v>0.03608992183038291</v>
      </c>
      <c r="I14" s="48" t="n">
        <v>0.04227977003039048</v>
      </c>
      <c r="J14" s="48" t="n">
        <v>0.04854350044015626</v>
      </c>
      <c r="K14" s="48" t="n">
        <v>0.05446282655993522</v>
      </c>
      <c r="L14" s="48" t="n">
        <v>0.05954325902461896</v>
      </c>
      <c r="M14" s="48" t="n">
        <v>0.06328413571041036</v>
      </c>
      <c r="N14" s="48" t="n">
        <v>0.06527208658627384</v>
      </c>
      <c r="O14" s="48" t="n">
        <v>0.06527208658627384</v>
      </c>
      <c r="P14" s="48" t="n">
        <v>0.06328413571041036</v>
      </c>
      <c r="Q14" s="48" t="n">
        <v>0.05954325902461896</v>
      </c>
      <c r="R14" s="48" t="n">
        <v>0.05446282655993522</v>
      </c>
      <c r="S14" s="48" t="n">
        <v>0.04854350044015618</v>
      </c>
      <c r="T14" s="48" t="n">
        <v>0.04227977003039056</v>
      </c>
      <c r="U14" s="48" t="n">
        <v>0.03608992183038297</v>
      </c>
      <c r="V14" s="48" t="n">
        <v>0.03028034795128182</v>
      </c>
      <c r="W14" s="48" t="n">
        <v>0.02504105082360136</v>
      </c>
      <c r="X14" s="48" t="n">
        <v>0.02046169881065782</v>
      </c>
      <c r="Y14" s="48" t="n">
        <v>0.01655674808200598</v>
      </c>
      <c r="Z14" s="48" t="n">
        <v>0.01329111996635305</v>
      </c>
    </row>
    <row r="15">
      <c r="A15" t="inlineStr">
        <is>
          <t>Scenario 8</t>
        </is>
      </c>
      <c r="C15" s="48" t="n">
        <v>0.06307818833421686</v>
      </c>
      <c r="D15" s="48" t="n">
        <v>0.01655674808200606</v>
      </c>
      <c r="E15" s="48" t="n">
        <v>0.02046169881065777</v>
      </c>
      <c r="F15" s="48" t="n">
        <v>0.02504105082360117</v>
      </c>
      <c r="G15" s="48" t="n">
        <v>0.03028034795128202</v>
      </c>
      <c r="H15" s="48" t="n">
        <v>0.03608992183038291</v>
      </c>
      <c r="I15" s="48" t="n">
        <v>0.04227977003039048</v>
      </c>
      <c r="J15" s="48" t="n">
        <v>0.04854350044015626</v>
      </c>
      <c r="K15" s="48" t="n">
        <v>0.05446282655993522</v>
      </c>
      <c r="L15" s="48" t="n">
        <v>0.05954325902461896</v>
      </c>
      <c r="M15" s="48" t="n">
        <v>0.06328413571041036</v>
      </c>
      <c r="N15" s="48" t="n">
        <v>0.06527208658627384</v>
      </c>
      <c r="O15" s="48" t="n">
        <v>0.06527208658627384</v>
      </c>
      <c r="P15" s="48" t="n">
        <v>0.06328413571041036</v>
      </c>
      <c r="Q15" s="48" t="n">
        <v>0.05954325902461896</v>
      </c>
      <c r="R15" s="48" t="n">
        <v>0.05446282655993522</v>
      </c>
      <c r="S15" s="48" t="n">
        <v>0.04854350044015618</v>
      </c>
      <c r="T15" s="48" t="n">
        <v>0.04227977003039056</v>
      </c>
      <c r="U15" s="48" t="n">
        <v>0.03608992183038297</v>
      </c>
      <c r="V15" s="48" t="n">
        <v>0.03028034795128182</v>
      </c>
      <c r="W15" s="48" t="n">
        <v>0.02504105082360136</v>
      </c>
      <c r="X15" s="48" t="n">
        <v>0.02046169881065782</v>
      </c>
      <c r="Y15" s="48" t="n">
        <v>0.01655674808200598</v>
      </c>
      <c r="Z15" s="48" t="n">
        <v>0.01329111996635305</v>
      </c>
    </row>
    <row r="16">
      <c r="A16" t="inlineStr">
        <is>
          <t>Scenario 9</t>
        </is>
      </c>
      <c r="C16" s="48" t="n">
        <v>0.06307818833421686</v>
      </c>
      <c r="D16" s="48" t="n">
        <v>0.01655674808200606</v>
      </c>
      <c r="E16" s="48" t="n">
        <v>0.02046169881065777</v>
      </c>
      <c r="F16" s="48" t="n">
        <v>0.02504105082360117</v>
      </c>
      <c r="G16" s="48" t="n">
        <v>0.03028034795128202</v>
      </c>
      <c r="H16" s="48" t="n">
        <v>0.03608992183038291</v>
      </c>
      <c r="I16" s="48" t="n">
        <v>0.04227977003039048</v>
      </c>
      <c r="J16" s="48" t="n">
        <v>0.04854350044015626</v>
      </c>
      <c r="K16" s="48" t="n">
        <v>0.05446282655993522</v>
      </c>
      <c r="L16" s="48" t="n">
        <v>0.05954325902461896</v>
      </c>
      <c r="M16" s="48" t="n">
        <v>0.06328413571041036</v>
      </c>
      <c r="N16" s="48" t="n">
        <v>0.06527208658627384</v>
      </c>
      <c r="O16" s="48" t="n">
        <v>0.06527208658627384</v>
      </c>
      <c r="P16" s="48" t="n">
        <v>0.06328413571041036</v>
      </c>
      <c r="Q16" s="48" t="n">
        <v>0.05954325902461896</v>
      </c>
      <c r="R16" s="48" t="n">
        <v>0.05446282655993522</v>
      </c>
      <c r="S16" s="48" t="n">
        <v>0.04854350044015618</v>
      </c>
      <c r="T16" s="48" t="n">
        <v>0.04227977003039056</v>
      </c>
      <c r="U16" s="48" t="n">
        <v>0.03608992183038297</v>
      </c>
      <c r="V16" s="48" t="n">
        <v>0.03028034795128182</v>
      </c>
      <c r="W16" s="48" t="n">
        <v>0.02504105082360136</v>
      </c>
      <c r="X16" s="48" t="n">
        <v>0.02046169881065782</v>
      </c>
      <c r="Y16" s="48" t="n">
        <v>0.01655674808200598</v>
      </c>
      <c r="Z16" s="48" t="n">
        <v>0.01329111996635305</v>
      </c>
    </row>
    <row r="17">
      <c r="A17" t="inlineStr">
        <is>
          <t>Scenario 10</t>
        </is>
      </c>
      <c r="C17" s="48" t="n">
        <v>0.06307818833421686</v>
      </c>
      <c r="D17" s="48" t="n">
        <v>0.01655674808200606</v>
      </c>
      <c r="E17" s="48" t="n">
        <v>0.02046169881065777</v>
      </c>
      <c r="F17" s="48" t="n">
        <v>0.02504105082360117</v>
      </c>
      <c r="G17" s="48" t="n">
        <v>0.03028034795128202</v>
      </c>
      <c r="H17" s="48" t="n">
        <v>0.03608992183038291</v>
      </c>
      <c r="I17" s="48" t="n">
        <v>0.04227977003039048</v>
      </c>
      <c r="J17" s="48" t="n">
        <v>0.04854350044015626</v>
      </c>
      <c r="K17" s="48" t="n">
        <v>0.05446282655993522</v>
      </c>
      <c r="L17" s="48" t="n">
        <v>0.05954325902461896</v>
      </c>
      <c r="M17" s="48" t="n">
        <v>0.06328413571041036</v>
      </c>
      <c r="N17" s="48" t="n">
        <v>0.06527208658627384</v>
      </c>
      <c r="O17" s="48" t="n">
        <v>0.06527208658627384</v>
      </c>
      <c r="P17" s="48" t="n">
        <v>0.06328413571041036</v>
      </c>
      <c r="Q17" s="48" t="n">
        <v>0.05954325902461896</v>
      </c>
      <c r="R17" s="48" t="n">
        <v>0.05446282655993522</v>
      </c>
      <c r="S17" s="48" t="n">
        <v>0.04854350044015618</v>
      </c>
      <c r="T17" s="48" t="n">
        <v>0.04227977003039056</v>
      </c>
      <c r="U17" s="48" t="n">
        <v>0.03608992183038297</v>
      </c>
      <c r="V17" s="48" t="n">
        <v>0.03028034795128182</v>
      </c>
      <c r="W17" s="48" t="n">
        <v>0.02504105082360136</v>
      </c>
      <c r="X17" s="48" t="n">
        <v>0.02046169881065782</v>
      </c>
      <c r="Y17" s="48" t="n">
        <v>0.01655674808200598</v>
      </c>
      <c r="Z17" s="48" t="n">
        <v>0.01329111996635305</v>
      </c>
    </row>
    <row r="18">
      <c r="A18" s="41" t="inlineStr">
        <is>
          <t>ACTIVE — Capex Phasing %</t>
        </is>
      </c>
      <c r="C18" s="66">
        <f>INDEX(C$8:C$17,Cover!$B$20)</f>
        <v/>
      </c>
      <c r="D18" s="66">
        <f>INDEX(D$8:D$17,Cover!$B$20)</f>
        <v/>
      </c>
      <c r="E18" s="66">
        <f>INDEX(E$8:E$17,Cover!$B$20)</f>
        <v/>
      </c>
      <c r="F18" s="66">
        <f>INDEX(F$8:F$17,Cover!$B$20)</f>
        <v/>
      </c>
      <c r="G18" s="66">
        <f>INDEX(G$8:G$17,Cover!$B$20)</f>
        <v/>
      </c>
      <c r="H18" s="66">
        <f>INDEX(H$8:H$17,Cover!$B$20)</f>
        <v/>
      </c>
      <c r="I18" s="66">
        <f>INDEX(I$8:I$17,Cover!$B$20)</f>
        <v/>
      </c>
      <c r="J18" s="66">
        <f>INDEX(J$8:J$17,Cover!$B$20)</f>
        <v/>
      </c>
      <c r="K18" s="66">
        <f>INDEX(K$8:K$17,Cover!$B$20)</f>
        <v/>
      </c>
      <c r="L18" s="66">
        <f>INDEX(L$8:L$17,Cover!$B$20)</f>
        <v/>
      </c>
      <c r="M18" s="66">
        <f>INDEX(M$8:M$17,Cover!$B$20)</f>
        <v/>
      </c>
      <c r="N18" s="66">
        <f>INDEX(N$8:N$17,Cover!$B$20)</f>
        <v/>
      </c>
      <c r="O18" s="66">
        <f>INDEX(O$8:O$17,Cover!$B$20)</f>
        <v/>
      </c>
      <c r="P18" s="66">
        <f>INDEX(P$8:P$17,Cover!$B$20)</f>
        <v/>
      </c>
      <c r="Q18" s="66">
        <f>INDEX(Q$8:Q$17,Cover!$B$20)</f>
        <v/>
      </c>
      <c r="R18" s="66">
        <f>INDEX(R$8:R$17,Cover!$B$20)</f>
        <v/>
      </c>
      <c r="S18" s="66">
        <f>INDEX(S$8:S$17,Cover!$B$20)</f>
        <v/>
      </c>
      <c r="T18" s="66">
        <f>INDEX(T$8:T$17,Cover!$B$20)</f>
        <v/>
      </c>
      <c r="U18" s="66">
        <f>INDEX(U$8:U$17,Cover!$B$20)</f>
        <v/>
      </c>
      <c r="V18" s="66">
        <f>INDEX(V$8:V$17,Cover!$B$20)</f>
        <v/>
      </c>
      <c r="W18" s="66">
        <f>INDEX(W$8:W$17,Cover!$B$20)</f>
        <v/>
      </c>
      <c r="X18" s="66">
        <f>INDEX(X$8:X$17,Cover!$B$20)</f>
        <v/>
      </c>
      <c r="Y18" s="66">
        <f>INDEX(Y$8:Y$17,Cover!$B$20)</f>
        <v/>
      </c>
      <c r="Z18" s="66">
        <f>INDEX(Z$8:Z$17,Cover!$B$20)</f>
        <v/>
      </c>
    </row>
    <row r="20">
      <c r="A20" s="41" t="inlineStr">
        <is>
          <t>Phasing sum by scenario (each must be 100%)</t>
        </is>
      </c>
    </row>
    <row r="21">
      <c r="A21" t="inlineStr">
        <is>
          <t>Scenario 1 sum</t>
        </is>
      </c>
      <c r="B21" s="70">
        <f>SUM(C8:Z8)</f>
        <v/>
      </c>
    </row>
    <row r="22">
      <c r="A22" t="inlineStr">
        <is>
          <t>Scenario 2 sum</t>
        </is>
      </c>
      <c r="B22" s="70">
        <f>SUM(C9:Z9)</f>
        <v/>
      </c>
    </row>
    <row r="23">
      <c r="A23" t="inlineStr">
        <is>
          <t>Scenario 3 sum</t>
        </is>
      </c>
      <c r="B23" s="70">
        <f>SUM(C10:Z10)</f>
        <v/>
      </c>
    </row>
    <row r="24">
      <c r="A24" t="inlineStr">
        <is>
          <t>Scenario 4 sum</t>
        </is>
      </c>
      <c r="B24" s="70">
        <f>SUM(C11:Z11)</f>
        <v/>
      </c>
    </row>
    <row r="25">
      <c r="A25" t="inlineStr">
        <is>
          <t>Scenario 5 sum</t>
        </is>
      </c>
      <c r="B25" s="70">
        <f>SUM(C12:Z12)</f>
        <v/>
      </c>
    </row>
    <row r="26">
      <c r="A26" t="inlineStr">
        <is>
          <t>Scenario 6 sum</t>
        </is>
      </c>
      <c r="B26" s="70">
        <f>SUM(C13:Z13)</f>
        <v/>
      </c>
    </row>
    <row r="27">
      <c r="A27" t="inlineStr">
        <is>
          <t>Scenario 7 sum</t>
        </is>
      </c>
      <c r="B27" s="70">
        <f>SUM(C14:Z14)</f>
        <v/>
      </c>
    </row>
    <row r="28">
      <c r="A28" t="inlineStr">
        <is>
          <t>Scenario 8 sum</t>
        </is>
      </c>
      <c r="B28" s="70">
        <f>SUM(C15:Z15)</f>
        <v/>
      </c>
    </row>
    <row r="29">
      <c r="A29" t="inlineStr">
        <is>
          <t>Scenario 9 sum</t>
        </is>
      </c>
      <c r="B29" s="70">
        <f>SUM(C16:Z16)</f>
        <v/>
      </c>
    </row>
    <row r="30">
      <c r="A30" t="inlineStr">
        <is>
          <t>Scenario 10 sum</t>
        </is>
      </c>
      <c r="B30" s="70">
        <f>SUM(C17:Z17)</f>
        <v/>
      </c>
    </row>
    <row r="33">
      <c r="A33" s="41" t="inlineStr">
        <is>
          <t>Checks</t>
        </is>
      </c>
    </row>
    <row r="34">
      <c r="A34" t="inlineStr">
        <is>
          <t>Check: Active phasing sums to 100%</t>
        </is>
      </c>
      <c r="B34" s="69">
        <f>IF(ROUND(SUM(C18:Z18)-1,6)=0,1,0)</f>
        <v/>
      </c>
    </row>
    <row r="35">
      <c r="A35" t="inlineStr">
        <is>
          <t>Check: All 10 scenario phasings sum to 100%</t>
        </is>
      </c>
      <c r="B35" s="69">
        <f>IF(SUMPRODUCT(--(ROUND($B$21:$B$30-1,6)&lt;&gt;0))=0,1,0)</f>
        <v/>
      </c>
    </row>
  </sheetData>
  <pageMargins left="0.75" right="0.75" top="1" bottom="1" header="0.5" footer="0.5"/>
</worksheet>
</file>

<file path=xl/worksheets/sheet5.xml><?xml version="1.0" encoding="utf-8"?>
<worksheet xmlns="http://schemas.openxmlformats.org/spreadsheetml/2006/main">
  <sheetPr>
    <tabColor rgb="000000FF"/>
    <outlinePr summaryBelow="1" summaryRight="1"/>
    <pageSetUpPr/>
  </sheetPr>
  <dimension ref="A1:CD64"/>
  <sheetViews>
    <sheetView workbookViewId="0">
      <pane xSplit="2" ySplit="7" topLeftCell="C8" activePane="bottomRight" state="frozen"/>
      <selection pane="topRight"/>
      <selection pane="bottomLeft"/>
      <selection pane="bottomRight" activeCell="A1" sqref="A1"/>
    </sheetView>
  </sheetViews>
  <sheetFormatPr baseColWidth="8" defaultRowHeight="15"/>
  <cols>
    <col width="44" customWidth="1" min="1" max="1"/>
  </cols>
  <sheetData>
    <row r="1">
      <c r="A1" s="59" t="inlineStr">
        <is>
          <t>Assumptions_Periodic_Ops — Quarterly, Scenarios as Row Blocks</t>
        </is>
      </c>
    </row>
    <row r="2">
      <c r="A2" s="45" t="inlineStr">
        <is>
          <t>Volume indices default to 1.00 (flat). Escalation rates are scenario-varying and live on Assumptions_Constant; this sheet compounds them to a quarterly index.</t>
        </is>
      </c>
    </row>
    <row r="4">
      <c r="A4" t="inlineStr">
        <is>
          <t>Period End Date</t>
        </is>
      </c>
      <c r="C4" s="16" t="n">
        <v>47208</v>
      </c>
      <c r="D4" s="16" t="n">
        <v>47299</v>
      </c>
      <c r="E4" s="16" t="n">
        <v>47391</v>
      </c>
      <c r="F4" s="16" t="n">
        <v>47483</v>
      </c>
      <c r="G4" s="16" t="n">
        <v>47573</v>
      </c>
      <c r="H4" s="16" t="n">
        <v>47664</v>
      </c>
      <c r="I4" s="16" t="n">
        <v>47756</v>
      </c>
      <c r="J4" s="16" t="n">
        <v>47848</v>
      </c>
      <c r="K4" s="16" t="n">
        <v>47938</v>
      </c>
      <c r="L4" s="16" t="n">
        <v>48029</v>
      </c>
      <c r="M4" s="16" t="n">
        <v>48121</v>
      </c>
      <c r="N4" s="16" t="n">
        <v>48213</v>
      </c>
      <c r="O4" s="16" t="n">
        <v>48304</v>
      </c>
      <c r="P4" s="16" t="n">
        <v>48395</v>
      </c>
      <c r="Q4" s="16" t="n">
        <v>48487</v>
      </c>
      <c r="R4" s="16" t="n">
        <v>48579</v>
      </c>
      <c r="S4" s="16" t="n">
        <v>48669</v>
      </c>
      <c r="T4" s="16" t="n">
        <v>48760</v>
      </c>
      <c r="U4" s="16" t="n">
        <v>48852</v>
      </c>
      <c r="V4" s="16" t="n">
        <v>48944</v>
      </c>
      <c r="W4" s="16" t="n">
        <v>49034</v>
      </c>
      <c r="X4" s="16" t="n">
        <v>49125</v>
      </c>
      <c r="Y4" s="16" t="n">
        <v>49217</v>
      </c>
      <c r="Z4" s="16" t="n">
        <v>49309</v>
      </c>
      <c r="AA4" s="16" t="n">
        <v>49399</v>
      </c>
      <c r="AB4" s="16" t="n">
        <v>49490</v>
      </c>
      <c r="AC4" s="16" t="n">
        <v>49582</v>
      </c>
      <c r="AD4" s="16" t="n">
        <v>49674</v>
      </c>
      <c r="AE4" s="16" t="n">
        <v>49765</v>
      </c>
      <c r="AF4" s="16" t="n">
        <v>49856</v>
      </c>
      <c r="AG4" s="16" t="n">
        <v>49948</v>
      </c>
      <c r="AH4" s="16" t="n">
        <v>50040</v>
      </c>
      <c r="AI4" s="16" t="n">
        <v>50130</v>
      </c>
      <c r="AJ4" s="16" t="n">
        <v>50221</v>
      </c>
      <c r="AK4" s="16" t="n">
        <v>50313</v>
      </c>
      <c r="AL4" s="16" t="n">
        <v>50405</v>
      </c>
      <c r="AM4" s="16" t="n">
        <v>50495</v>
      </c>
      <c r="AN4" s="16" t="n">
        <v>50586</v>
      </c>
      <c r="AO4" s="16" t="n">
        <v>50678</v>
      </c>
      <c r="AP4" s="16" t="n">
        <v>50770</v>
      </c>
      <c r="AQ4" s="16" t="n">
        <v>50860</v>
      </c>
      <c r="AR4" s="16" t="n">
        <v>50951</v>
      </c>
      <c r="AS4" s="16" t="n">
        <v>51043</v>
      </c>
      <c r="AT4" s="16" t="n">
        <v>51135</v>
      </c>
      <c r="AU4" s="16" t="n">
        <v>51226</v>
      </c>
      <c r="AV4" s="16" t="n">
        <v>51317</v>
      </c>
      <c r="AW4" s="16" t="n">
        <v>51409</v>
      </c>
      <c r="AX4" s="16" t="n">
        <v>51501</v>
      </c>
      <c r="AY4" s="16" t="n">
        <v>51591</v>
      </c>
      <c r="AZ4" s="16" t="n">
        <v>51682</v>
      </c>
      <c r="BA4" s="16" t="n">
        <v>51774</v>
      </c>
      <c r="BB4" s="16" t="n">
        <v>51866</v>
      </c>
      <c r="BC4" s="16" t="n">
        <v>51956</v>
      </c>
      <c r="BD4" s="16" t="n">
        <v>52047</v>
      </c>
      <c r="BE4" s="16" t="n">
        <v>52139</v>
      </c>
      <c r="BF4" s="16" t="n">
        <v>52231</v>
      </c>
      <c r="BG4" s="16" t="n">
        <v>52321</v>
      </c>
      <c r="BH4" s="16" t="n">
        <v>52412</v>
      </c>
      <c r="BI4" s="16" t="n">
        <v>52504</v>
      </c>
      <c r="BJ4" s="16" t="n">
        <v>52596</v>
      </c>
      <c r="BK4" s="16" t="n">
        <v>52687</v>
      </c>
      <c r="BL4" s="16" t="n">
        <v>52778</v>
      </c>
      <c r="BM4" s="16" t="n">
        <v>52870</v>
      </c>
      <c r="BN4" s="16" t="n">
        <v>52962</v>
      </c>
      <c r="BO4" s="16" t="n">
        <v>53052</v>
      </c>
      <c r="BP4" s="16" t="n">
        <v>53143</v>
      </c>
      <c r="BQ4" s="16" t="n">
        <v>53235</v>
      </c>
      <c r="BR4" s="16" t="n">
        <v>53327</v>
      </c>
      <c r="BS4" s="16" t="n">
        <v>53417</v>
      </c>
      <c r="BT4" s="16" t="n">
        <v>53508</v>
      </c>
      <c r="BU4" s="16" t="n">
        <v>53600</v>
      </c>
      <c r="BV4" s="16" t="n">
        <v>53692</v>
      </c>
      <c r="BW4" s="16" t="n">
        <v>53782</v>
      </c>
      <c r="BX4" s="16" t="n">
        <v>53873</v>
      </c>
      <c r="BY4" s="16" t="n">
        <v>53965</v>
      </c>
      <c r="BZ4" s="16" t="n">
        <v>54057</v>
      </c>
      <c r="CA4" s="16" t="n">
        <v>54148</v>
      </c>
      <c r="CB4" s="16" t="n">
        <v>54239</v>
      </c>
      <c r="CC4" s="16" t="n">
        <v>54331</v>
      </c>
      <c r="CD4" s="16" t="n">
        <v>54423</v>
      </c>
    </row>
    <row r="5">
      <c r="A5" t="inlineStr">
        <is>
          <t>Operating Quarter #</t>
        </is>
      </c>
      <c r="C5" t="n">
        <v>1</v>
      </c>
      <c r="D5" t="n">
        <v>2</v>
      </c>
      <c r="E5" t="n">
        <v>3</v>
      </c>
      <c r="F5" t="n">
        <v>4</v>
      </c>
      <c r="G5" t="n">
        <v>5</v>
      </c>
      <c r="H5" t="n">
        <v>6</v>
      </c>
      <c r="I5" t="n">
        <v>7</v>
      </c>
      <c r="J5" t="n">
        <v>8</v>
      </c>
      <c r="K5" t="n">
        <v>9</v>
      </c>
      <c r="L5" t="n">
        <v>10</v>
      </c>
      <c r="M5" t="n">
        <v>11</v>
      </c>
      <c r="N5" t="n">
        <v>12</v>
      </c>
      <c r="O5" t="n">
        <v>13</v>
      </c>
      <c r="P5" t="n">
        <v>14</v>
      </c>
      <c r="Q5" t="n">
        <v>15</v>
      </c>
      <c r="R5" t="n">
        <v>16</v>
      </c>
      <c r="S5" t="n">
        <v>17</v>
      </c>
      <c r="T5" t="n">
        <v>18</v>
      </c>
      <c r="U5" t="n">
        <v>19</v>
      </c>
      <c r="V5" t="n">
        <v>20</v>
      </c>
      <c r="W5" t="n">
        <v>21</v>
      </c>
      <c r="X5" t="n">
        <v>22</v>
      </c>
      <c r="Y5" t="n">
        <v>23</v>
      </c>
      <c r="Z5" t="n">
        <v>24</v>
      </c>
      <c r="AA5" t="n">
        <v>25</v>
      </c>
      <c r="AB5" t="n">
        <v>26</v>
      </c>
      <c r="AC5" t="n">
        <v>27</v>
      </c>
      <c r="AD5" t="n">
        <v>28</v>
      </c>
      <c r="AE5" t="n">
        <v>29</v>
      </c>
      <c r="AF5" t="n">
        <v>30</v>
      </c>
      <c r="AG5" t="n">
        <v>31</v>
      </c>
      <c r="AH5" t="n">
        <v>32</v>
      </c>
      <c r="AI5" t="n">
        <v>33</v>
      </c>
      <c r="AJ5" t="n">
        <v>34</v>
      </c>
      <c r="AK5" t="n">
        <v>35</v>
      </c>
      <c r="AL5" t="n">
        <v>36</v>
      </c>
      <c r="AM5" t="n">
        <v>37</v>
      </c>
      <c r="AN5" t="n">
        <v>38</v>
      </c>
      <c r="AO5" t="n">
        <v>39</v>
      </c>
      <c r="AP5" t="n">
        <v>40</v>
      </c>
      <c r="AQ5" t="n">
        <v>41</v>
      </c>
      <c r="AR5" t="n">
        <v>42</v>
      </c>
      <c r="AS5" t="n">
        <v>43</v>
      </c>
      <c r="AT5" t="n">
        <v>44</v>
      </c>
      <c r="AU5" t="n">
        <v>45</v>
      </c>
      <c r="AV5" t="n">
        <v>46</v>
      </c>
      <c r="AW5" t="n">
        <v>47</v>
      </c>
      <c r="AX5" t="n">
        <v>48</v>
      </c>
      <c r="AY5" t="n">
        <v>49</v>
      </c>
      <c r="AZ5" t="n">
        <v>50</v>
      </c>
      <c r="BA5" t="n">
        <v>51</v>
      </c>
      <c r="BB5" t="n">
        <v>52</v>
      </c>
      <c r="BC5" t="n">
        <v>53</v>
      </c>
      <c r="BD5" t="n">
        <v>54</v>
      </c>
      <c r="BE5" t="n">
        <v>55</v>
      </c>
      <c r="BF5" t="n">
        <v>56</v>
      </c>
      <c r="BG5" t="n">
        <v>57</v>
      </c>
      <c r="BH5" t="n">
        <v>58</v>
      </c>
      <c r="BI5" t="n">
        <v>59</v>
      </c>
      <c r="BJ5" t="n">
        <v>60</v>
      </c>
      <c r="BK5" t="n">
        <v>61</v>
      </c>
      <c r="BL5" t="n">
        <v>62</v>
      </c>
      <c r="BM5" t="n">
        <v>63</v>
      </c>
      <c r="BN5" t="n">
        <v>64</v>
      </c>
      <c r="BO5" t="n">
        <v>65</v>
      </c>
      <c r="BP5" t="n">
        <v>66</v>
      </c>
      <c r="BQ5" t="n">
        <v>67</v>
      </c>
      <c r="BR5" t="n">
        <v>68</v>
      </c>
      <c r="BS5" t="n">
        <v>69</v>
      </c>
      <c r="BT5" t="n">
        <v>70</v>
      </c>
      <c r="BU5" t="n">
        <v>71</v>
      </c>
      <c r="BV5" t="n">
        <v>72</v>
      </c>
      <c r="BW5" t="n">
        <v>73</v>
      </c>
      <c r="BX5" t="n">
        <v>74</v>
      </c>
      <c r="BY5" t="n">
        <v>75</v>
      </c>
      <c r="BZ5" t="n">
        <v>76</v>
      </c>
      <c r="CA5" t="n">
        <v>77</v>
      </c>
      <c r="CB5" t="n">
        <v>78</v>
      </c>
      <c r="CC5" t="n">
        <v>79</v>
      </c>
      <c r="CD5" t="n">
        <v>80</v>
      </c>
    </row>
    <row r="7">
      <c r="A7" s="41" t="inlineStr">
        <is>
          <t>Revenue Volume Index (by scenario)</t>
        </is>
      </c>
    </row>
    <row r="8">
      <c r="A8" t="inlineStr">
        <is>
          <t>Scenario 1</t>
        </is>
      </c>
      <c r="C8" s="71" t="n">
        <v>1</v>
      </c>
      <c r="D8" s="71" t="n">
        <v>1</v>
      </c>
      <c r="E8" s="71" t="n">
        <v>1</v>
      </c>
      <c r="F8" s="71" t="n">
        <v>1</v>
      </c>
      <c r="G8" s="71" t="n">
        <v>1</v>
      </c>
      <c r="H8" s="71" t="n">
        <v>1</v>
      </c>
      <c r="I8" s="71" t="n">
        <v>1</v>
      </c>
      <c r="J8" s="71" t="n">
        <v>1</v>
      </c>
      <c r="K8" s="71" t="n">
        <v>1</v>
      </c>
      <c r="L8" s="71" t="n">
        <v>1</v>
      </c>
      <c r="M8" s="71" t="n">
        <v>1</v>
      </c>
      <c r="N8" s="71" t="n">
        <v>1</v>
      </c>
      <c r="O8" s="71" t="n">
        <v>1</v>
      </c>
      <c r="P8" s="71" t="n">
        <v>1</v>
      </c>
      <c r="Q8" s="71" t="n">
        <v>1</v>
      </c>
      <c r="R8" s="71" t="n">
        <v>1</v>
      </c>
      <c r="S8" s="71" t="n">
        <v>1</v>
      </c>
      <c r="T8" s="71" t="n">
        <v>1</v>
      </c>
      <c r="U8" s="71" t="n">
        <v>1</v>
      </c>
      <c r="V8" s="71" t="n">
        <v>1</v>
      </c>
      <c r="W8" s="71" t="n">
        <v>1</v>
      </c>
      <c r="X8" s="71" t="n">
        <v>1</v>
      </c>
      <c r="Y8" s="71" t="n">
        <v>1</v>
      </c>
      <c r="Z8" s="71" t="n">
        <v>1</v>
      </c>
      <c r="AA8" s="71" t="n">
        <v>1</v>
      </c>
      <c r="AB8" s="71" t="n">
        <v>1</v>
      </c>
      <c r="AC8" s="71" t="n">
        <v>1</v>
      </c>
      <c r="AD8" s="71" t="n">
        <v>1</v>
      </c>
      <c r="AE8" s="71" t="n">
        <v>1</v>
      </c>
      <c r="AF8" s="71" t="n">
        <v>1</v>
      </c>
      <c r="AG8" s="71" t="n">
        <v>1</v>
      </c>
      <c r="AH8" s="71" t="n">
        <v>1</v>
      </c>
      <c r="AI8" s="71" t="n">
        <v>1</v>
      </c>
      <c r="AJ8" s="71" t="n">
        <v>1</v>
      </c>
      <c r="AK8" s="71" t="n">
        <v>1</v>
      </c>
      <c r="AL8" s="71" t="n">
        <v>1</v>
      </c>
      <c r="AM8" s="71" t="n">
        <v>1</v>
      </c>
      <c r="AN8" s="71" t="n">
        <v>1</v>
      </c>
      <c r="AO8" s="71" t="n">
        <v>1</v>
      </c>
      <c r="AP8" s="71" t="n">
        <v>1</v>
      </c>
      <c r="AQ8" s="71" t="n">
        <v>1</v>
      </c>
      <c r="AR8" s="71" t="n">
        <v>1</v>
      </c>
      <c r="AS8" s="71" t="n">
        <v>1</v>
      </c>
      <c r="AT8" s="71" t="n">
        <v>1</v>
      </c>
      <c r="AU8" s="71" t="n">
        <v>1</v>
      </c>
      <c r="AV8" s="71" t="n">
        <v>1</v>
      </c>
      <c r="AW8" s="71" t="n">
        <v>1</v>
      </c>
      <c r="AX8" s="71" t="n">
        <v>1</v>
      </c>
      <c r="AY8" s="71" t="n">
        <v>1</v>
      </c>
      <c r="AZ8" s="71" t="n">
        <v>1</v>
      </c>
      <c r="BA8" s="71" t="n">
        <v>1</v>
      </c>
      <c r="BB8" s="71" t="n">
        <v>1</v>
      </c>
      <c r="BC8" s="71" t="n">
        <v>1</v>
      </c>
      <c r="BD8" s="71" t="n">
        <v>1</v>
      </c>
      <c r="BE8" s="71" t="n">
        <v>1</v>
      </c>
      <c r="BF8" s="71" t="n">
        <v>1</v>
      </c>
      <c r="BG8" s="71" t="n">
        <v>1</v>
      </c>
      <c r="BH8" s="71" t="n">
        <v>1</v>
      </c>
      <c r="BI8" s="71" t="n">
        <v>1</v>
      </c>
      <c r="BJ8" s="71" t="n">
        <v>1</v>
      </c>
      <c r="BK8" s="71" t="n">
        <v>1</v>
      </c>
      <c r="BL8" s="71" t="n">
        <v>1</v>
      </c>
      <c r="BM8" s="71" t="n">
        <v>1</v>
      </c>
      <c r="BN8" s="71" t="n">
        <v>1</v>
      </c>
      <c r="BO8" s="71" t="n">
        <v>1</v>
      </c>
      <c r="BP8" s="71" t="n">
        <v>1</v>
      </c>
      <c r="BQ8" s="71" t="n">
        <v>1</v>
      </c>
      <c r="BR8" s="71" t="n">
        <v>1</v>
      </c>
      <c r="BS8" s="71" t="n">
        <v>1</v>
      </c>
      <c r="BT8" s="71" t="n">
        <v>1</v>
      </c>
      <c r="BU8" s="71" t="n">
        <v>1</v>
      </c>
      <c r="BV8" s="71" t="n">
        <v>1</v>
      </c>
      <c r="BW8" s="71" t="n">
        <v>1</v>
      </c>
      <c r="BX8" s="71" t="n">
        <v>1</v>
      </c>
      <c r="BY8" s="71" t="n">
        <v>1</v>
      </c>
      <c r="BZ8" s="71" t="n">
        <v>1</v>
      </c>
      <c r="CA8" s="71" t="n">
        <v>1</v>
      </c>
      <c r="CB8" s="71" t="n">
        <v>1</v>
      </c>
      <c r="CC8" s="71" t="n">
        <v>1</v>
      </c>
      <c r="CD8" s="71" t="n">
        <v>1</v>
      </c>
    </row>
    <row r="9">
      <c r="A9" t="inlineStr">
        <is>
          <t>Scenario 2</t>
        </is>
      </c>
      <c r="C9" s="71" t="n">
        <v>1</v>
      </c>
      <c r="D9" s="71" t="n">
        <v>1</v>
      </c>
      <c r="E9" s="71" t="n">
        <v>1</v>
      </c>
      <c r="F9" s="71" t="n">
        <v>1</v>
      </c>
      <c r="G9" s="71" t="n">
        <v>1</v>
      </c>
      <c r="H9" s="71" t="n">
        <v>1</v>
      </c>
      <c r="I9" s="71" t="n">
        <v>1</v>
      </c>
      <c r="J9" s="71" t="n">
        <v>1</v>
      </c>
      <c r="K9" s="71" t="n">
        <v>1</v>
      </c>
      <c r="L9" s="71" t="n">
        <v>1</v>
      </c>
      <c r="M9" s="71" t="n">
        <v>1</v>
      </c>
      <c r="N9" s="71" t="n">
        <v>1</v>
      </c>
      <c r="O9" s="71" t="n">
        <v>1</v>
      </c>
      <c r="P9" s="71" t="n">
        <v>1</v>
      </c>
      <c r="Q9" s="71" t="n">
        <v>1</v>
      </c>
      <c r="R9" s="71" t="n">
        <v>1</v>
      </c>
      <c r="S9" s="71" t="n">
        <v>1</v>
      </c>
      <c r="T9" s="71" t="n">
        <v>1</v>
      </c>
      <c r="U9" s="71" t="n">
        <v>1</v>
      </c>
      <c r="V9" s="71" t="n">
        <v>1</v>
      </c>
      <c r="W9" s="71" t="n">
        <v>1</v>
      </c>
      <c r="X9" s="71" t="n">
        <v>1</v>
      </c>
      <c r="Y9" s="71" t="n">
        <v>1</v>
      </c>
      <c r="Z9" s="71" t="n">
        <v>1</v>
      </c>
      <c r="AA9" s="71" t="n">
        <v>1</v>
      </c>
      <c r="AB9" s="71" t="n">
        <v>1</v>
      </c>
      <c r="AC9" s="71" t="n">
        <v>1</v>
      </c>
      <c r="AD9" s="71" t="n">
        <v>1</v>
      </c>
      <c r="AE9" s="71" t="n">
        <v>1</v>
      </c>
      <c r="AF9" s="71" t="n">
        <v>1</v>
      </c>
      <c r="AG9" s="71" t="n">
        <v>1</v>
      </c>
      <c r="AH9" s="71" t="n">
        <v>1</v>
      </c>
      <c r="AI9" s="71" t="n">
        <v>1</v>
      </c>
      <c r="AJ9" s="71" t="n">
        <v>1</v>
      </c>
      <c r="AK9" s="71" t="n">
        <v>1</v>
      </c>
      <c r="AL9" s="71" t="n">
        <v>1</v>
      </c>
      <c r="AM9" s="71" t="n">
        <v>1</v>
      </c>
      <c r="AN9" s="71" t="n">
        <v>1</v>
      </c>
      <c r="AO9" s="71" t="n">
        <v>1</v>
      </c>
      <c r="AP9" s="71" t="n">
        <v>1</v>
      </c>
      <c r="AQ9" s="71" t="n">
        <v>1</v>
      </c>
      <c r="AR9" s="71" t="n">
        <v>1</v>
      </c>
      <c r="AS9" s="71" t="n">
        <v>1</v>
      </c>
      <c r="AT9" s="71" t="n">
        <v>1</v>
      </c>
      <c r="AU9" s="71" t="n">
        <v>1</v>
      </c>
      <c r="AV9" s="71" t="n">
        <v>1</v>
      </c>
      <c r="AW9" s="71" t="n">
        <v>1</v>
      </c>
      <c r="AX9" s="71" t="n">
        <v>1</v>
      </c>
      <c r="AY9" s="71" t="n">
        <v>1</v>
      </c>
      <c r="AZ9" s="71" t="n">
        <v>1</v>
      </c>
      <c r="BA9" s="71" t="n">
        <v>1</v>
      </c>
      <c r="BB9" s="71" t="n">
        <v>1</v>
      </c>
      <c r="BC9" s="71" t="n">
        <v>1</v>
      </c>
      <c r="BD9" s="71" t="n">
        <v>1</v>
      </c>
      <c r="BE9" s="71" t="n">
        <v>1</v>
      </c>
      <c r="BF9" s="71" t="n">
        <v>1</v>
      </c>
      <c r="BG9" s="71" t="n">
        <v>1</v>
      </c>
      <c r="BH9" s="71" t="n">
        <v>1</v>
      </c>
      <c r="BI9" s="71" t="n">
        <v>1</v>
      </c>
      <c r="BJ9" s="71" t="n">
        <v>1</v>
      </c>
      <c r="BK9" s="71" t="n">
        <v>1</v>
      </c>
      <c r="BL9" s="71" t="n">
        <v>1</v>
      </c>
      <c r="BM9" s="71" t="n">
        <v>1</v>
      </c>
      <c r="BN9" s="71" t="n">
        <v>1</v>
      </c>
      <c r="BO9" s="71" t="n">
        <v>1</v>
      </c>
      <c r="BP9" s="71" t="n">
        <v>1</v>
      </c>
      <c r="BQ9" s="71" t="n">
        <v>1</v>
      </c>
      <c r="BR9" s="71" t="n">
        <v>1</v>
      </c>
      <c r="BS9" s="71" t="n">
        <v>1</v>
      </c>
      <c r="BT9" s="71" t="n">
        <v>1</v>
      </c>
      <c r="BU9" s="71" t="n">
        <v>1</v>
      </c>
      <c r="BV9" s="71" t="n">
        <v>1</v>
      </c>
      <c r="BW9" s="71" t="n">
        <v>1</v>
      </c>
      <c r="BX9" s="71" t="n">
        <v>1</v>
      </c>
      <c r="BY9" s="71" t="n">
        <v>1</v>
      </c>
      <c r="BZ9" s="71" t="n">
        <v>1</v>
      </c>
      <c r="CA9" s="71" t="n">
        <v>1</v>
      </c>
      <c r="CB9" s="71" t="n">
        <v>1</v>
      </c>
      <c r="CC9" s="71" t="n">
        <v>1</v>
      </c>
      <c r="CD9" s="71" t="n">
        <v>1</v>
      </c>
    </row>
    <row r="10">
      <c r="A10" t="inlineStr">
        <is>
          <t>Scenario 3</t>
        </is>
      </c>
      <c r="C10" s="71" t="n">
        <v>1</v>
      </c>
      <c r="D10" s="71" t="n">
        <v>1</v>
      </c>
      <c r="E10" s="71" t="n">
        <v>1</v>
      </c>
      <c r="F10" s="71" t="n">
        <v>1</v>
      </c>
      <c r="G10" s="71" t="n">
        <v>1</v>
      </c>
      <c r="H10" s="71" t="n">
        <v>1</v>
      </c>
      <c r="I10" s="71" t="n">
        <v>1</v>
      </c>
      <c r="J10" s="71" t="n">
        <v>1</v>
      </c>
      <c r="K10" s="71" t="n">
        <v>1</v>
      </c>
      <c r="L10" s="71" t="n">
        <v>1</v>
      </c>
      <c r="M10" s="71" t="n">
        <v>1</v>
      </c>
      <c r="N10" s="71" t="n">
        <v>1</v>
      </c>
      <c r="O10" s="71" t="n">
        <v>1</v>
      </c>
      <c r="P10" s="71" t="n">
        <v>1</v>
      </c>
      <c r="Q10" s="71" t="n">
        <v>1</v>
      </c>
      <c r="R10" s="71" t="n">
        <v>1</v>
      </c>
      <c r="S10" s="71" t="n">
        <v>1</v>
      </c>
      <c r="T10" s="71" t="n">
        <v>1</v>
      </c>
      <c r="U10" s="71" t="n">
        <v>1</v>
      </c>
      <c r="V10" s="71" t="n">
        <v>1</v>
      </c>
      <c r="W10" s="71" t="n">
        <v>1</v>
      </c>
      <c r="X10" s="71" t="n">
        <v>1</v>
      </c>
      <c r="Y10" s="71" t="n">
        <v>1</v>
      </c>
      <c r="Z10" s="71" t="n">
        <v>1</v>
      </c>
      <c r="AA10" s="71" t="n">
        <v>1</v>
      </c>
      <c r="AB10" s="71" t="n">
        <v>1</v>
      </c>
      <c r="AC10" s="71" t="n">
        <v>1</v>
      </c>
      <c r="AD10" s="71" t="n">
        <v>1</v>
      </c>
      <c r="AE10" s="71" t="n">
        <v>1</v>
      </c>
      <c r="AF10" s="71" t="n">
        <v>1</v>
      </c>
      <c r="AG10" s="71" t="n">
        <v>1</v>
      </c>
      <c r="AH10" s="71" t="n">
        <v>1</v>
      </c>
      <c r="AI10" s="71" t="n">
        <v>1</v>
      </c>
      <c r="AJ10" s="71" t="n">
        <v>1</v>
      </c>
      <c r="AK10" s="71" t="n">
        <v>1</v>
      </c>
      <c r="AL10" s="71" t="n">
        <v>1</v>
      </c>
      <c r="AM10" s="71" t="n">
        <v>1</v>
      </c>
      <c r="AN10" s="71" t="n">
        <v>1</v>
      </c>
      <c r="AO10" s="71" t="n">
        <v>1</v>
      </c>
      <c r="AP10" s="71" t="n">
        <v>1</v>
      </c>
      <c r="AQ10" s="71" t="n">
        <v>1</v>
      </c>
      <c r="AR10" s="71" t="n">
        <v>1</v>
      </c>
      <c r="AS10" s="71" t="n">
        <v>1</v>
      </c>
      <c r="AT10" s="71" t="n">
        <v>1</v>
      </c>
      <c r="AU10" s="71" t="n">
        <v>1</v>
      </c>
      <c r="AV10" s="71" t="n">
        <v>1</v>
      </c>
      <c r="AW10" s="71" t="n">
        <v>1</v>
      </c>
      <c r="AX10" s="71" t="n">
        <v>1</v>
      </c>
      <c r="AY10" s="71" t="n">
        <v>1</v>
      </c>
      <c r="AZ10" s="71" t="n">
        <v>1</v>
      </c>
      <c r="BA10" s="71" t="n">
        <v>1</v>
      </c>
      <c r="BB10" s="71" t="n">
        <v>1</v>
      </c>
      <c r="BC10" s="71" t="n">
        <v>1</v>
      </c>
      <c r="BD10" s="71" t="n">
        <v>1</v>
      </c>
      <c r="BE10" s="71" t="n">
        <v>1</v>
      </c>
      <c r="BF10" s="71" t="n">
        <v>1</v>
      </c>
      <c r="BG10" s="71" t="n">
        <v>1</v>
      </c>
      <c r="BH10" s="71" t="n">
        <v>1</v>
      </c>
      <c r="BI10" s="71" t="n">
        <v>1</v>
      </c>
      <c r="BJ10" s="71" t="n">
        <v>1</v>
      </c>
      <c r="BK10" s="71" t="n">
        <v>1</v>
      </c>
      <c r="BL10" s="71" t="n">
        <v>1</v>
      </c>
      <c r="BM10" s="71" t="n">
        <v>1</v>
      </c>
      <c r="BN10" s="71" t="n">
        <v>1</v>
      </c>
      <c r="BO10" s="71" t="n">
        <v>1</v>
      </c>
      <c r="BP10" s="71" t="n">
        <v>1</v>
      </c>
      <c r="BQ10" s="71" t="n">
        <v>1</v>
      </c>
      <c r="BR10" s="71" t="n">
        <v>1</v>
      </c>
      <c r="BS10" s="71" t="n">
        <v>1</v>
      </c>
      <c r="BT10" s="71" t="n">
        <v>1</v>
      </c>
      <c r="BU10" s="71" t="n">
        <v>1</v>
      </c>
      <c r="BV10" s="71" t="n">
        <v>1</v>
      </c>
      <c r="BW10" s="71" t="n">
        <v>1</v>
      </c>
      <c r="BX10" s="71" t="n">
        <v>1</v>
      </c>
      <c r="BY10" s="71" t="n">
        <v>1</v>
      </c>
      <c r="BZ10" s="71" t="n">
        <v>1</v>
      </c>
      <c r="CA10" s="71" t="n">
        <v>1</v>
      </c>
      <c r="CB10" s="71" t="n">
        <v>1</v>
      </c>
      <c r="CC10" s="71" t="n">
        <v>1</v>
      </c>
      <c r="CD10" s="71" t="n">
        <v>1</v>
      </c>
    </row>
    <row r="11">
      <c r="A11" t="inlineStr">
        <is>
          <t>Scenario 4</t>
        </is>
      </c>
      <c r="C11" s="71" t="n">
        <v>1</v>
      </c>
      <c r="D11" s="71" t="n">
        <v>1</v>
      </c>
      <c r="E11" s="71" t="n">
        <v>1</v>
      </c>
      <c r="F11" s="71" t="n">
        <v>1</v>
      </c>
      <c r="G11" s="71" t="n">
        <v>1</v>
      </c>
      <c r="H11" s="71" t="n">
        <v>1</v>
      </c>
      <c r="I11" s="71" t="n">
        <v>1</v>
      </c>
      <c r="J11" s="71" t="n">
        <v>1</v>
      </c>
      <c r="K11" s="71" t="n">
        <v>1</v>
      </c>
      <c r="L11" s="71" t="n">
        <v>1</v>
      </c>
      <c r="M11" s="71" t="n">
        <v>1</v>
      </c>
      <c r="N11" s="71" t="n">
        <v>1</v>
      </c>
      <c r="O11" s="71" t="n">
        <v>1</v>
      </c>
      <c r="P11" s="71" t="n">
        <v>1</v>
      </c>
      <c r="Q11" s="71" t="n">
        <v>1</v>
      </c>
      <c r="R11" s="71" t="n">
        <v>1</v>
      </c>
      <c r="S11" s="71" t="n">
        <v>1</v>
      </c>
      <c r="T11" s="71" t="n">
        <v>1</v>
      </c>
      <c r="U11" s="71" t="n">
        <v>1</v>
      </c>
      <c r="V11" s="71" t="n">
        <v>1</v>
      </c>
      <c r="W11" s="71" t="n">
        <v>1</v>
      </c>
      <c r="X11" s="71" t="n">
        <v>1</v>
      </c>
      <c r="Y11" s="71" t="n">
        <v>1</v>
      </c>
      <c r="Z11" s="71" t="n">
        <v>1</v>
      </c>
      <c r="AA11" s="71" t="n">
        <v>1</v>
      </c>
      <c r="AB11" s="71" t="n">
        <v>1</v>
      </c>
      <c r="AC11" s="71" t="n">
        <v>1</v>
      </c>
      <c r="AD11" s="71" t="n">
        <v>1</v>
      </c>
      <c r="AE11" s="71" t="n">
        <v>1</v>
      </c>
      <c r="AF11" s="71" t="n">
        <v>1</v>
      </c>
      <c r="AG11" s="71" t="n">
        <v>1</v>
      </c>
      <c r="AH11" s="71" t="n">
        <v>1</v>
      </c>
      <c r="AI11" s="71" t="n">
        <v>1</v>
      </c>
      <c r="AJ11" s="71" t="n">
        <v>1</v>
      </c>
      <c r="AK11" s="71" t="n">
        <v>1</v>
      </c>
      <c r="AL11" s="71" t="n">
        <v>1</v>
      </c>
      <c r="AM11" s="71" t="n">
        <v>1</v>
      </c>
      <c r="AN11" s="71" t="n">
        <v>1</v>
      </c>
      <c r="AO11" s="71" t="n">
        <v>1</v>
      </c>
      <c r="AP11" s="71" t="n">
        <v>1</v>
      </c>
      <c r="AQ11" s="71" t="n">
        <v>1</v>
      </c>
      <c r="AR11" s="71" t="n">
        <v>1</v>
      </c>
      <c r="AS11" s="71" t="n">
        <v>1</v>
      </c>
      <c r="AT11" s="71" t="n">
        <v>1</v>
      </c>
      <c r="AU11" s="71" t="n">
        <v>1</v>
      </c>
      <c r="AV11" s="71" t="n">
        <v>1</v>
      </c>
      <c r="AW11" s="71" t="n">
        <v>1</v>
      </c>
      <c r="AX11" s="71" t="n">
        <v>1</v>
      </c>
      <c r="AY11" s="71" t="n">
        <v>1</v>
      </c>
      <c r="AZ11" s="71" t="n">
        <v>1</v>
      </c>
      <c r="BA11" s="71" t="n">
        <v>1</v>
      </c>
      <c r="BB11" s="71" t="n">
        <v>1</v>
      </c>
      <c r="BC11" s="71" t="n">
        <v>1</v>
      </c>
      <c r="BD11" s="71" t="n">
        <v>1</v>
      </c>
      <c r="BE11" s="71" t="n">
        <v>1</v>
      </c>
      <c r="BF11" s="71" t="n">
        <v>1</v>
      </c>
      <c r="BG11" s="71" t="n">
        <v>1</v>
      </c>
      <c r="BH11" s="71" t="n">
        <v>1</v>
      </c>
      <c r="BI11" s="71" t="n">
        <v>1</v>
      </c>
      <c r="BJ11" s="71" t="n">
        <v>1</v>
      </c>
      <c r="BK11" s="71" t="n">
        <v>1</v>
      </c>
      <c r="BL11" s="71" t="n">
        <v>1</v>
      </c>
      <c r="BM11" s="71" t="n">
        <v>1</v>
      </c>
      <c r="BN11" s="71" t="n">
        <v>1</v>
      </c>
      <c r="BO11" s="71" t="n">
        <v>1</v>
      </c>
      <c r="BP11" s="71" t="n">
        <v>1</v>
      </c>
      <c r="BQ11" s="71" t="n">
        <v>1</v>
      </c>
      <c r="BR11" s="71" t="n">
        <v>1</v>
      </c>
      <c r="BS11" s="71" t="n">
        <v>1</v>
      </c>
      <c r="BT11" s="71" t="n">
        <v>1</v>
      </c>
      <c r="BU11" s="71" t="n">
        <v>1</v>
      </c>
      <c r="BV11" s="71" t="n">
        <v>1</v>
      </c>
      <c r="BW11" s="71" t="n">
        <v>1</v>
      </c>
      <c r="BX11" s="71" t="n">
        <v>1</v>
      </c>
      <c r="BY11" s="71" t="n">
        <v>1</v>
      </c>
      <c r="BZ11" s="71" t="n">
        <v>1</v>
      </c>
      <c r="CA11" s="71" t="n">
        <v>1</v>
      </c>
      <c r="CB11" s="71" t="n">
        <v>1</v>
      </c>
      <c r="CC11" s="71" t="n">
        <v>1</v>
      </c>
      <c r="CD11" s="71" t="n">
        <v>1</v>
      </c>
    </row>
    <row r="12">
      <c r="A12" t="inlineStr">
        <is>
          <t>Scenario 5</t>
        </is>
      </c>
      <c r="C12" s="71" t="n">
        <v>1</v>
      </c>
      <c r="D12" s="71" t="n">
        <v>1</v>
      </c>
      <c r="E12" s="71" t="n">
        <v>1</v>
      </c>
      <c r="F12" s="71" t="n">
        <v>1</v>
      </c>
      <c r="G12" s="71" t="n">
        <v>1</v>
      </c>
      <c r="H12" s="71" t="n">
        <v>1</v>
      </c>
      <c r="I12" s="71" t="n">
        <v>1</v>
      </c>
      <c r="J12" s="71" t="n">
        <v>1</v>
      </c>
      <c r="K12" s="71" t="n">
        <v>1</v>
      </c>
      <c r="L12" s="71" t="n">
        <v>1</v>
      </c>
      <c r="M12" s="71" t="n">
        <v>1</v>
      </c>
      <c r="N12" s="71" t="n">
        <v>1</v>
      </c>
      <c r="O12" s="71" t="n">
        <v>1</v>
      </c>
      <c r="P12" s="71" t="n">
        <v>1</v>
      </c>
      <c r="Q12" s="71" t="n">
        <v>1</v>
      </c>
      <c r="R12" s="71" t="n">
        <v>1</v>
      </c>
      <c r="S12" s="71" t="n">
        <v>1</v>
      </c>
      <c r="T12" s="71" t="n">
        <v>1</v>
      </c>
      <c r="U12" s="71" t="n">
        <v>1</v>
      </c>
      <c r="V12" s="71" t="n">
        <v>1</v>
      </c>
      <c r="W12" s="71" t="n">
        <v>1</v>
      </c>
      <c r="X12" s="71" t="n">
        <v>1</v>
      </c>
      <c r="Y12" s="71" t="n">
        <v>1</v>
      </c>
      <c r="Z12" s="71" t="n">
        <v>1</v>
      </c>
      <c r="AA12" s="71" t="n">
        <v>1</v>
      </c>
      <c r="AB12" s="71" t="n">
        <v>1</v>
      </c>
      <c r="AC12" s="71" t="n">
        <v>1</v>
      </c>
      <c r="AD12" s="71" t="n">
        <v>1</v>
      </c>
      <c r="AE12" s="71" t="n">
        <v>1</v>
      </c>
      <c r="AF12" s="71" t="n">
        <v>1</v>
      </c>
      <c r="AG12" s="71" t="n">
        <v>1</v>
      </c>
      <c r="AH12" s="71" t="n">
        <v>1</v>
      </c>
      <c r="AI12" s="71" t="n">
        <v>1</v>
      </c>
      <c r="AJ12" s="71" t="n">
        <v>1</v>
      </c>
      <c r="AK12" s="71" t="n">
        <v>1</v>
      </c>
      <c r="AL12" s="71" t="n">
        <v>1</v>
      </c>
      <c r="AM12" s="71" t="n">
        <v>1</v>
      </c>
      <c r="AN12" s="71" t="n">
        <v>1</v>
      </c>
      <c r="AO12" s="71" t="n">
        <v>1</v>
      </c>
      <c r="AP12" s="71" t="n">
        <v>1</v>
      </c>
      <c r="AQ12" s="71" t="n">
        <v>1</v>
      </c>
      <c r="AR12" s="71" t="n">
        <v>1</v>
      </c>
      <c r="AS12" s="71" t="n">
        <v>1</v>
      </c>
      <c r="AT12" s="71" t="n">
        <v>1</v>
      </c>
      <c r="AU12" s="71" t="n">
        <v>1</v>
      </c>
      <c r="AV12" s="71" t="n">
        <v>1</v>
      </c>
      <c r="AW12" s="71" t="n">
        <v>1</v>
      </c>
      <c r="AX12" s="71" t="n">
        <v>1</v>
      </c>
      <c r="AY12" s="71" t="n">
        <v>1</v>
      </c>
      <c r="AZ12" s="71" t="n">
        <v>1</v>
      </c>
      <c r="BA12" s="71" t="n">
        <v>1</v>
      </c>
      <c r="BB12" s="71" t="n">
        <v>1</v>
      </c>
      <c r="BC12" s="71" t="n">
        <v>1</v>
      </c>
      <c r="BD12" s="71" t="n">
        <v>1</v>
      </c>
      <c r="BE12" s="71" t="n">
        <v>1</v>
      </c>
      <c r="BF12" s="71" t="n">
        <v>1</v>
      </c>
      <c r="BG12" s="71" t="n">
        <v>1</v>
      </c>
      <c r="BH12" s="71" t="n">
        <v>1</v>
      </c>
      <c r="BI12" s="71" t="n">
        <v>1</v>
      </c>
      <c r="BJ12" s="71" t="n">
        <v>1</v>
      </c>
      <c r="BK12" s="71" t="n">
        <v>1</v>
      </c>
      <c r="BL12" s="71" t="n">
        <v>1</v>
      </c>
      <c r="BM12" s="71" t="n">
        <v>1</v>
      </c>
      <c r="BN12" s="71" t="n">
        <v>1</v>
      </c>
      <c r="BO12" s="71" t="n">
        <v>1</v>
      </c>
      <c r="BP12" s="71" t="n">
        <v>1</v>
      </c>
      <c r="BQ12" s="71" t="n">
        <v>1</v>
      </c>
      <c r="BR12" s="71" t="n">
        <v>1</v>
      </c>
      <c r="BS12" s="71" t="n">
        <v>1</v>
      </c>
      <c r="BT12" s="71" t="n">
        <v>1</v>
      </c>
      <c r="BU12" s="71" t="n">
        <v>1</v>
      </c>
      <c r="BV12" s="71" t="n">
        <v>1</v>
      </c>
      <c r="BW12" s="71" t="n">
        <v>1</v>
      </c>
      <c r="BX12" s="71" t="n">
        <v>1</v>
      </c>
      <c r="BY12" s="71" t="n">
        <v>1</v>
      </c>
      <c r="BZ12" s="71" t="n">
        <v>1</v>
      </c>
      <c r="CA12" s="71" t="n">
        <v>1</v>
      </c>
      <c r="CB12" s="71" t="n">
        <v>1</v>
      </c>
      <c r="CC12" s="71" t="n">
        <v>1</v>
      </c>
      <c r="CD12" s="71" t="n">
        <v>1</v>
      </c>
    </row>
    <row r="13">
      <c r="A13" t="inlineStr">
        <is>
          <t>Scenario 6</t>
        </is>
      </c>
      <c r="C13" s="71" t="n">
        <v>1</v>
      </c>
      <c r="D13" s="71" t="n">
        <v>1</v>
      </c>
      <c r="E13" s="71" t="n">
        <v>1</v>
      </c>
      <c r="F13" s="71" t="n">
        <v>1</v>
      </c>
      <c r="G13" s="71" t="n">
        <v>1</v>
      </c>
      <c r="H13" s="71" t="n">
        <v>1</v>
      </c>
      <c r="I13" s="71" t="n">
        <v>1</v>
      </c>
      <c r="J13" s="71" t="n">
        <v>1</v>
      </c>
      <c r="K13" s="71" t="n">
        <v>1</v>
      </c>
      <c r="L13" s="71" t="n">
        <v>1</v>
      </c>
      <c r="M13" s="71" t="n">
        <v>1</v>
      </c>
      <c r="N13" s="71" t="n">
        <v>1</v>
      </c>
      <c r="O13" s="71" t="n">
        <v>1</v>
      </c>
      <c r="P13" s="71" t="n">
        <v>1</v>
      </c>
      <c r="Q13" s="71" t="n">
        <v>1</v>
      </c>
      <c r="R13" s="71" t="n">
        <v>1</v>
      </c>
      <c r="S13" s="71" t="n">
        <v>1</v>
      </c>
      <c r="T13" s="71" t="n">
        <v>1</v>
      </c>
      <c r="U13" s="71" t="n">
        <v>1</v>
      </c>
      <c r="V13" s="71" t="n">
        <v>1</v>
      </c>
      <c r="W13" s="71" t="n">
        <v>1</v>
      </c>
      <c r="X13" s="71" t="n">
        <v>1</v>
      </c>
      <c r="Y13" s="71" t="n">
        <v>1</v>
      </c>
      <c r="Z13" s="71" t="n">
        <v>1</v>
      </c>
      <c r="AA13" s="71" t="n">
        <v>1</v>
      </c>
      <c r="AB13" s="71" t="n">
        <v>1</v>
      </c>
      <c r="AC13" s="71" t="n">
        <v>1</v>
      </c>
      <c r="AD13" s="71" t="n">
        <v>1</v>
      </c>
      <c r="AE13" s="71" t="n">
        <v>1</v>
      </c>
      <c r="AF13" s="71" t="n">
        <v>1</v>
      </c>
      <c r="AG13" s="71" t="n">
        <v>1</v>
      </c>
      <c r="AH13" s="71" t="n">
        <v>1</v>
      </c>
      <c r="AI13" s="71" t="n">
        <v>1</v>
      </c>
      <c r="AJ13" s="71" t="n">
        <v>1</v>
      </c>
      <c r="AK13" s="71" t="n">
        <v>1</v>
      </c>
      <c r="AL13" s="71" t="n">
        <v>1</v>
      </c>
      <c r="AM13" s="71" t="n">
        <v>1</v>
      </c>
      <c r="AN13" s="71" t="n">
        <v>1</v>
      </c>
      <c r="AO13" s="71" t="n">
        <v>1</v>
      </c>
      <c r="AP13" s="71" t="n">
        <v>1</v>
      </c>
      <c r="AQ13" s="71" t="n">
        <v>1</v>
      </c>
      <c r="AR13" s="71" t="n">
        <v>1</v>
      </c>
      <c r="AS13" s="71" t="n">
        <v>1</v>
      </c>
      <c r="AT13" s="71" t="n">
        <v>1</v>
      </c>
      <c r="AU13" s="71" t="n">
        <v>1</v>
      </c>
      <c r="AV13" s="71" t="n">
        <v>1</v>
      </c>
      <c r="AW13" s="71" t="n">
        <v>1</v>
      </c>
      <c r="AX13" s="71" t="n">
        <v>1</v>
      </c>
      <c r="AY13" s="71" t="n">
        <v>1</v>
      </c>
      <c r="AZ13" s="71" t="n">
        <v>1</v>
      </c>
      <c r="BA13" s="71" t="n">
        <v>1</v>
      </c>
      <c r="BB13" s="71" t="n">
        <v>1</v>
      </c>
      <c r="BC13" s="71" t="n">
        <v>1</v>
      </c>
      <c r="BD13" s="71" t="n">
        <v>1</v>
      </c>
      <c r="BE13" s="71" t="n">
        <v>1</v>
      </c>
      <c r="BF13" s="71" t="n">
        <v>1</v>
      </c>
      <c r="BG13" s="71" t="n">
        <v>1</v>
      </c>
      <c r="BH13" s="71" t="n">
        <v>1</v>
      </c>
      <c r="BI13" s="71" t="n">
        <v>1</v>
      </c>
      <c r="BJ13" s="71" t="n">
        <v>1</v>
      </c>
      <c r="BK13" s="71" t="n">
        <v>1</v>
      </c>
      <c r="BL13" s="71" t="n">
        <v>1</v>
      </c>
      <c r="BM13" s="71" t="n">
        <v>1</v>
      </c>
      <c r="BN13" s="71" t="n">
        <v>1</v>
      </c>
      <c r="BO13" s="71" t="n">
        <v>1</v>
      </c>
      <c r="BP13" s="71" t="n">
        <v>1</v>
      </c>
      <c r="BQ13" s="71" t="n">
        <v>1</v>
      </c>
      <c r="BR13" s="71" t="n">
        <v>1</v>
      </c>
      <c r="BS13" s="71" t="n">
        <v>1</v>
      </c>
      <c r="BT13" s="71" t="n">
        <v>1</v>
      </c>
      <c r="BU13" s="71" t="n">
        <v>1</v>
      </c>
      <c r="BV13" s="71" t="n">
        <v>1</v>
      </c>
      <c r="BW13" s="71" t="n">
        <v>1</v>
      </c>
      <c r="BX13" s="71" t="n">
        <v>1</v>
      </c>
      <c r="BY13" s="71" t="n">
        <v>1</v>
      </c>
      <c r="BZ13" s="71" t="n">
        <v>1</v>
      </c>
      <c r="CA13" s="71" t="n">
        <v>1</v>
      </c>
      <c r="CB13" s="71" t="n">
        <v>1</v>
      </c>
      <c r="CC13" s="71" t="n">
        <v>1</v>
      </c>
      <c r="CD13" s="71" t="n">
        <v>1</v>
      </c>
    </row>
    <row r="14">
      <c r="A14" t="inlineStr">
        <is>
          <t>Scenario 7</t>
        </is>
      </c>
      <c r="C14" s="71" t="n">
        <v>1</v>
      </c>
      <c r="D14" s="71" t="n">
        <v>1</v>
      </c>
      <c r="E14" s="71" t="n">
        <v>1</v>
      </c>
      <c r="F14" s="71" t="n">
        <v>1</v>
      </c>
      <c r="G14" s="71" t="n">
        <v>1</v>
      </c>
      <c r="H14" s="71" t="n">
        <v>1</v>
      </c>
      <c r="I14" s="71" t="n">
        <v>1</v>
      </c>
      <c r="J14" s="71" t="n">
        <v>1</v>
      </c>
      <c r="K14" s="71" t="n">
        <v>1</v>
      </c>
      <c r="L14" s="71" t="n">
        <v>1</v>
      </c>
      <c r="M14" s="71" t="n">
        <v>1</v>
      </c>
      <c r="N14" s="71" t="n">
        <v>1</v>
      </c>
      <c r="O14" s="71" t="n">
        <v>1</v>
      </c>
      <c r="P14" s="71" t="n">
        <v>1</v>
      </c>
      <c r="Q14" s="71" t="n">
        <v>1</v>
      </c>
      <c r="R14" s="71" t="n">
        <v>1</v>
      </c>
      <c r="S14" s="71" t="n">
        <v>1</v>
      </c>
      <c r="T14" s="71" t="n">
        <v>1</v>
      </c>
      <c r="U14" s="71" t="n">
        <v>1</v>
      </c>
      <c r="V14" s="71" t="n">
        <v>1</v>
      </c>
      <c r="W14" s="71" t="n">
        <v>1</v>
      </c>
      <c r="X14" s="71" t="n">
        <v>1</v>
      </c>
      <c r="Y14" s="71" t="n">
        <v>1</v>
      </c>
      <c r="Z14" s="71" t="n">
        <v>1</v>
      </c>
      <c r="AA14" s="71" t="n">
        <v>1</v>
      </c>
      <c r="AB14" s="71" t="n">
        <v>1</v>
      </c>
      <c r="AC14" s="71" t="n">
        <v>1</v>
      </c>
      <c r="AD14" s="71" t="n">
        <v>1</v>
      </c>
      <c r="AE14" s="71" t="n">
        <v>1</v>
      </c>
      <c r="AF14" s="71" t="n">
        <v>1</v>
      </c>
      <c r="AG14" s="71" t="n">
        <v>1</v>
      </c>
      <c r="AH14" s="71" t="n">
        <v>1</v>
      </c>
      <c r="AI14" s="71" t="n">
        <v>1</v>
      </c>
      <c r="AJ14" s="71" t="n">
        <v>1</v>
      </c>
      <c r="AK14" s="71" t="n">
        <v>1</v>
      </c>
      <c r="AL14" s="71" t="n">
        <v>1</v>
      </c>
      <c r="AM14" s="71" t="n">
        <v>1</v>
      </c>
      <c r="AN14" s="71" t="n">
        <v>1</v>
      </c>
      <c r="AO14" s="71" t="n">
        <v>1</v>
      </c>
      <c r="AP14" s="71" t="n">
        <v>1</v>
      </c>
      <c r="AQ14" s="71" t="n">
        <v>1</v>
      </c>
      <c r="AR14" s="71" t="n">
        <v>1</v>
      </c>
      <c r="AS14" s="71" t="n">
        <v>1</v>
      </c>
      <c r="AT14" s="71" t="n">
        <v>1</v>
      </c>
      <c r="AU14" s="71" t="n">
        <v>1</v>
      </c>
      <c r="AV14" s="71" t="n">
        <v>1</v>
      </c>
      <c r="AW14" s="71" t="n">
        <v>1</v>
      </c>
      <c r="AX14" s="71" t="n">
        <v>1</v>
      </c>
      <c r="AY14" s="71" t="n">
        <v>1</v>
      </c>
      <c r="AZ14" s="71" t="n">
        <v>1</v>
      </c>
      <c r="BA14" s="71" t="n">
        <v>1</v>
      </c>
      <c r="BB14" s="71" t="n">
        <v>1</v>
      </c>
      <c r="BC14" s="71" t="n">
        <v>1</v>
      </c>
      <c r="BD14" s="71" t="n">
        <v>1</v>
      </c>
      <c r="BE14" s="71" t="n">
        <v>1</v>
      </c>
      <c r="BF14" s="71" t="n">
        <v>1</v>
      </c>
      <c r="BG14" s="71" t="n">
        <v>1</v>
      </c>
      <c r="BH14" s="71" t="n">
        <v>1</v>
      </c>
      <c r="BI14" s="71" t="n">
        <v>1</v>
      </c>
      <c r="BJ14" s="71" t="n">
        <v>1</v>
      </c>
      <c r="BK14" s="71" t="n">
        <v>1</v>
      </c>
      <c r="BL14" s="71" t="n">
        <v>1</v>
      </c>
      <c r="BM14" s="71" t="n">
        <v>1</v>
      </c>
      <c r="BN14" s="71" t="n">
        <v>1</v>
      </c>
      <c r="BO14" s="71" t="n">
        <v>1</v>
      </c>
      <c r="BP14" s="71" t="n">
        <v>1</v>
      </c>
      <c r="BQ14" s="71" t="n">
        <v>1</v>
      </c>
      <c r="BR14" s="71" t="n">
        <v>1</v>
      </c>
      <c r="BS14" s="71" t="n">
        <v>1</v>
      </c>
      <c r="BT14" s="71" t="n">
        <v>1</v>
      </c>
      <c r="BU14" s="71" t="n">
        <v>1</v>
      </c>
      <c r="BV14" s="71" t="n">
        <v>1</v>
      </c>
      <c r="BW14" s="71" t="n">
        <v>1</v>
      </c>
      <c r="BX14" s="71" t="n">
        <v>1</v>
      </c>
      <c r="BY14" s="71" t="n">
        <v>1</v>
      </c>
      <c r="BZ14" s="71" t="n">
        <v>1</v>
      </c>
      <c r="CA14" s="71" t="n">
        <v>1</v>
      </c>
      <c r="CB14" s="71" t="n">
        <v>1</v>
      </c>
      <c r="CC14" s="71" t="n">
        <v>1</v>
      </c>
      <c r="CD14" s="71" t="n">
        <v>1</v>
      </c>
    </row>
    <row r="15">
      <c r="A15" t="inlineStr">
        <is>
          <t>Scenario 8</t>
        </is>
      </c>
      <c r="C15" s="71" t="n">
        <v>1</v>
      </c>
      <c r="D15" s="71" t="n">
        <v>1</v>
      </c>
      <c r="E15" s="71" t="n">
        <v>1</v>
      </c>
      <c r="F15" s="71" t="n">
        <v>1</v>
      </c>
      <c r="G15" s="71" t="n">
        <v>1</v>
      </c>
      <c r="H15" s="71" t="n">
        <v>1</v>
      </c>
      <c r="I15" s="71" t="n">
        <v>1</v>
      </c>
      <c r="J15" s="71" t="n">
        <v>1</v>
      </c>
      <c r="K15" s="71" t="n">
        <v>1</v>
      </c>
      <c r="L15" s="71" t="n">
        <v>1</v>
      </c>
      <c r="M15" s="71" t="n">
        <v>1</v>
      </c>
      <c r="N15" s="71" t="n">
        <v>1</v>
      </c>
      <c r="O15" s="71" t="n">
        <v>1</v>
      </c>
      <c r="P15" s="71" t="n">
        <v>1</v>
      </c>
      <c r="Q15" s="71" t="n">
        <v>1</v>
      </c>
      <c r="R15" s="71" t="n">
        <v>1</v>
      </c>
      <c r="S15" s="71" t="n">
        <v>1</v>
      </c>
      <c r="T15" s="71" t="n">
        <v>1</v>
      </c>
      <c r="U15" s="71" t="n">
        <v>1</v>
      </c>
      <c r="V15" s="71" t="n">
        <v>1</v>
      </c>
      <c r="W15" s="71" t="n">
        <v>1</v>
      </c>
      <c r="X15" s="71" t="n">
        <v>1</v>
      </c>
      <c r="Y15" s="71" t="n">
        <v>1</v>
      </c>
      <c r="Z15" s="71" t="n">
        <v>1</v>
      </c>
      <c r="AA15" s="71" t="n">
        <v>1</v>
      </c>
      <c r="AB15" s="71" t="n">
        <v>1</v>
      </c>
      <c r="AC15" s="71" t="n">
        <v>1</v>
      </c>
      <c r="AD15" s="71" t="n">
        <v>1</v>
      </c>
      <c r="AE15" s="71" t="n">
        <v>1</v>
      </c>
      <c r="AF15" s="71" t="n">
        <v>1</v>
      </c>
      <c r="AG15" s="71" t="n">
        <v>1</v>
      </c>
      <c r="AH15" s="71" t="n">
        <v>1</v>
      </c>
      <c r="AI15" s="71" t="n">
        <v>1</v>
      </c>
      <c r="AJ15" s="71" t="n">
        <v>1</v>
      </c>
      <c r="AK15" s="71" t="n">
        <v>1</v>
      </c>
      <c r="AL15" s="71" t="n">
        <v>1</v>
      </c>
      <c r="AM15" s="71" t="n">
        <v>1</v>
      </c>
      <c r="AN15" s="71" t="n">
        <v>1</v>
      </c>
      <c r="AO15" s="71" t="n">
        <v>1</v>
      </c>
      <c r="AP15" s="71" t="n">
        <v>1</v>
      </c>
      <c r="AQ15" s="71" t="n">
        <v>1</v>
      </c>
      <c r="AR15" s="71" t="n">
        <v>1</v>
      </c>
      <c r="AS15" s="71" t="n">
        <v>1</v>
      </c>
      <c r="AT15" s="71" t="n">
        <v>1</v>
      </c>
      <c r="AU15" s="71" t="n">
        <v>1</v>
      </c>
      <c r="AV15" s="71" t="n">
        <v>1</v>
      </c>
      <c r="AW15" s="71" t="n">
        <v>1</v>
      </c>
      <c r="AX15" s="71" t="n">
        <v>1</v>
      </c>
      <c r="AY15" s="71" t="n">
        <v>1</v>
      </c>
      <c r="AZ15" s="71" t="n">
        <v>1</v>
      </c>
      <c r="BA15" s="71" t="n">
        <v>1</v>
      </c>
      <c r="BB15" s="71" t="n">
        <v>1</v>
      </c>
      <c r="BC15" s="71" t="n">
        <v>1</v>
      </c>
      <c r="BD15" s="71" t="n">
        <v>1</v>
      </c>
      <c r="BE15" s="71" t="n">
        <v>1</v>
      </c>
      <c r="BF15" s="71" t="n">
        <v>1</v>
      </c>
      <c r="BG15" s="71" t="n">
        <v>1</v>
      </c>
      <c r="BH15" s="71" t="n">
        <v>1</v>
      </c>
      <c r="BI15" s="71" t="n">
        <v>1</v>
      </c>
      <c r="BJ15" s="71" t="n">
        <v>1</v>
      </c>
      <c r="BK15" s="71" t="n">
        <v>1</v>
      </c>
      <c r="BL15" s="71" t="n">
        <v>1</v>
      </c>
      <c r="BM15" s="71" t="n">
        <v>1</v>
      </c>
      <c r="BN15" s="71" t="n">
        <v>1</v>
      </c>
      <c r="BO15" s="71" t="n">
        <v>1</v>
      </c>
      <c r="BP15" s="71" t="n">
        <v>1</v>
      </c>
      <c r="BQ15" s="71" t="n">
        <v>1</v>
      </c>
      <c r="BR15" s="71" t="n">
        <v>1</v>
      </c>
      <c r="BS15" s="71" t="n">
        <v>1</v>
      </c>
      <c r="BT15" s="71" t="n">
        <v>1</v>
      </c>
      <c r="BU15" s="71" t="n">
        <v>1</v>
      </c>
      <c r="BV15" s="71" t="n">
        <v>1</v>
      </c>
      <c r="BW15" s="71" t="n">
        <v>1</v>
      </c>
      <c r="BX15" s="71" t="n">
        <v>1</v>
      </c>
      <c r="BY15" s="71" t="n">
        <v>1</v>
      </c>
      <c r="BZ15" s="71" t="n">
        <v>1</v>
      </c>
      <c r="CA15" s="71" t="n">
        <v>1</v>
      </c>
      <c r="CB15" s="71" t="n">
        <v>1</v>
      </c>
      <c r="CC15" s="71" t="n">
        <v>1</v>
      </c>
      <c r="CD15" s="71" t="n">
        <v>1</v>
      </c>
    </row>
    <row r="16">
      <c r="A16" t="inlineStr">
        <is>
          <t>Scenario 9</t>
        </is>
      </c>
      <c r="C16" s="71" t="n">
        <v>1</v>
      </c>
      <c r="D16" s="71" t="n">
        <v>1</v>
      </c>
      <c r="E16" s="71" t="n">
        <v>1</v>
      </c>
      <c r="F16" s="71" t="n">
        <v>1</v>
      </c>
      <c r="G16" s="71" t="n">
        <v>1</v>
      </c>
      <c r="H16" s="71" t="n">
        <v>1</v>
      </c>
      <c r="I16" s="71" t="n">
        <v>1</v>
      </c>
      <c r="J16" s="71" t="n">
        <v>1</v>
      </c>
      <c r="K16" s="71" t="n">
        <v>1</v>
      </c>
      <c r="L16" s="71" t="n">
        <v>1</v>
      </c>
      <c r="M16" s="71" t="n">
        <v>1</v>
      </c>
      <c r="N16" s="71" t="n">
        <v>1</v>
      </c>
      <c r="O16" s="71" t="n">
        <v>1</v>
      </c>
      <c r="P16" s="71" t="n">
        <v>1</v>
      </c>
      <c r="Q16" s="71" t="n">
        <v>1</v>
      </c>
      <c r="R16" s="71" t="n">
        <v>1</v>
      </c>
      <c r="S16" s="71" t="n">
        <v>1</v>
      </c>
      <c r="T16" s="71" t="n">
        <v>1</v>
      </c>
      <c r="U16" s="71" t="n">
        <v>1</v>
      </c>
      <c r="V16" s="71" t="n">
        <v>1</v>
      </c>
      <c r="W16" s="71" t="n">
        <v>1</v>
      </c>
      <c r="X16" s="71" t="n">
        <v>1</v>
      </c>
      <c r="Y16" s="71" t="n">
        <v>1</v>
      </c>
      <c r="Z16" s="71" t="n">
        <v>1</v>
      </c>
      <c r="AA16" s="71" t="n">
        <v>1</v>
      </c>
      <c r="AB16" s="71" t="n">
        <v>1</v>
      </c>
      <c r="AC16" s="71" t="n">
        <v>1</v>
      </c>
      <c r="AD16" s="71" t="n">
        <v>1</v>
      </c>
      <c r="AE16" s="71" t="n">
        <v>1</v>
      </c>
      <c r="AF16" s="71" t="n">
        <v>1</v>
      </c>
      <c r="AG16" s="71" t="n">
        <v>1</v>
      </c>
      <c r="AH16" s="71" t="n">
        <v>1</v>
      </c>
      <c r="AI16" s="71" t="n">
        <v>1</v>
      </c>
      <c r="AJ16" s="71" t="n">
        <v>1</v>
      </c>
      <c r="AK16" s="71" t="n">
        <v>1</v>
      </c>
      <c r="AL16" s="71" t="n">
        <v>1</v>
      </c>
      <c r="AM16" s="71" t="n">
        <v>1</v>
      </c>
      <c r="AN16" s="71" t="n">
        <v>1</v>
      </c>
      <c r="AO16" s="71" t="n">
        <v>1</v>
      </c>
      <c r="AP16" s="71" t="n">
        <v>1</v>
      </c>
      <c r="AQ16" s="71" t="n">
        <v>1</v>
      </c>
      <c r="AR16" s="71" t="n">
        <v>1</v>
      </c>
      <c r="AS16" s="71" t="n">
        <v>1</v>
      </c>
      <c r="AT16" s="71" t="n">
        <v>1</v>
      </c>
      <c r="AU16" s="71" t="n">
        <v>1</v>
      </c>
      <c r="AV16" s="71" t="n">
        <v>1</v>
      </c>
      <c r="AW16" s="71" t="n">
        <v>1</v>
      </c>
      <c r="AX16" s="71" t="n">
        <v>1</v>
      </c>
      <c r="AY16" s="71" t="n">
        <v>1</v>
      </c>
      <c r="AZ16" s="71" t="n">
        <v>1</v>
      </c>
      <c r="BA16" s="71" t="n">
        <v>1</v>
      </c>
      <c r="BB16" s="71" t="n">
        <v>1</v>
      </c>
      <c r="BC16" s="71" t="n">
        <v>1</v>
      </c>
      <c r="BD16" s="71" t="n">
        <v>1</v>
      </c>
      <c r="BE16" s="71" t="n">
        <v>1</v>
      </c>
      <c r="BF16" s="71" t="n">
        <v>1</v>
      </c>
      <c r="BG16" s="71" t="n">
        <v>1</v>
      </c>
      <c r="BH16" s="71" t="n">
        <v>1</v>
      </c>
      <c r="BI16" s="71" t="n">
        <v>1</v>
      </c>
      <c r="BJ16" s="71" t="n">
        <v>1</v>
      </c>
      <c r="BK16" s="71" t="n">
        <v>1</v>
      </c>
      <c r="BL16" s="71" t="n">
        <v>1</v>
      </c>
      <c r="BM16" s="71" t="n">
        <v>1</v>
      </c>
      <c r="BN16" s="71" t="n">
        <v>1</v>
      </c>
      <c r="BO16" s="71" t="n">
        <v>1</v>
      </c>
      <c r="BP16" s="71" t="n">
        <v>1</v>
      </c>
      <c r="BQ16" s="71" t="n">
        <v>1</v>
      </c>
      <c r="BR16" s="71" t="n">
        <v>1</v>
      </c>
      <c r="BS16" s="71" t="n">
        <v>1</v>
      </c>
      <c r="BT16" s="71" t="n">
        <v>1</v>
      </c>
      <c r="BU16" s="71" t="n">
        <v>1</v>
      </c>
      <c r="BV16" s="71" t="n">
        <v>1</v>
      </c>
      <c r="BW16" s="71" t="n">
        <v>1</v>
      </c>
      <c r="BX16" s="71" t="n">
        <v>1</v>
      </c>
      <c r="BY16" s="71" t="n">
        <v>1</v>
      </c>
      <c r="BZ16" s="71" t="n">
        <v>1</v>
      </c>
      <c r="CA16" s="71" t="n">
        <v>1</v>
      </c>
      <c r="CB16" s="71" t="n">
        <v>1</v>
      </c>
      <c r="CC16" s="71" t="n">
        <v>1</v>
      </c>
      <c r="CD16" s="71" t="n">
        <v>1</v>
      </c>
    </row>
    <row r="17">
      <c r="A17" t="inlineStr">
        <is>
          <t>Scenario 10</t>
        </is>
      </c>
      <c r="C17" s="71" t="n">
        <v>1</v>
      </c>
      <c r="D17" s="71" t="n">
        <v>1</v>
      </c>
      <c r="E17" s="71" t="n">
        <v>1</v>
      </c>
      <c r="F17" s="71" t="n">
        <v>1</v>
      </c>
      <c r="G17" s="71" t="n">
        <v>1</v>
      </c>
      <c r="H17" s="71" t="n">
        <v>1</v>
      </c>
      <c r="I17" s="71" t="n">
        <v>1</v>
      </c>
      <c r="J17" s="71" t="n">
        <v>1</v>
      </c>
      <c r="K17" s="71" t="n">
        <v>1</v>
      </c>
      <c r="L17" s="71" t="n">
        <v>1</v>
      </c>
      <c r="M17" s="71" t="n">
        <v>1</v>
      </c>
      <c r="N17" s="71" t="n">
        <v>1</v>
      </c>
      <c r="O17" s="71" t="n">
        <v>1</v>
      </c>
      <c r="P17" s="71" t="n">
        <v>1</v>
      </c>
      <c r="Q17" s="71" t="n">
        <v>1</v>
      </c>
      <c r="R17" s="71" t="n">
        <v>1</v>
      </c>
      <c r="S17" s="71" t="n">
        <v>1</v>
      </c>
      <c r="T17" s="71" t="n">
        <v>1</v>
      </c>
      <c r="U17" s="71" t="n">
        <v>1</v>
      </c>
      <c r="V17" s="71" t="n">
        <v>1</v>
      </c>
      <c r="W17" s="71" t="n">
        <v>1</v>
      </c>
      <c r="X17" s="71" t="n">
        <v>1</v>
      </c>
      <c r="Y17" s="71" t="n">
        <v>1</v>
      </c>
      <c r="Z17" s="71" t="n">
        <v>1</v>
      </c>
      <c r="AA17" s="71" t="n">
        <v>1</v>
      </c>
      <c r="AB17" s="71" t="n">
        <v>1</v>
      </c>
      <c r="AC17" s="71" t="n">
        <v>1</v>
      </c>
      <c r="AD17" s="71" t="n">
        <v>1</v>
      </c>
      <c r="AE17" s="71" t="n">
        <v>1</v>
      </c>
      <c r="AF17" s="71" t="n">
        <v>1</v>
      </c>
      <c r="AG17" s="71" t="n">
        <v>1</v>
      </c>
      <c r="AH17" s="71" t="n">
        <v>1</v>
      </c>
      <c r="AI17" s="71" t="n">
        <v>1</v>
      </c>
      <c r="AJ17" s="71" t="n">
        <v>1</v>
      </c>
      <c r="AK17" s="71" t="n">
        <v>1</v>
      </c>
      <c r="AL17" s="71" t="n">
        <v>1</v>
      </c>
      <c r="AM17" s="71" t="n">
        <v>1</v>
      </c>
      <c r="AN17" s="71" t="n">
        <v>1</v>
      </c>
      <c r="AO17" s="71" t="n">
        <v>1</v>
      </c>
      <c r="AP17" s="71" t="n">
        <v>1</v>
      </c>
      <c r="AQ17" s="71" t="n">
        <v>1</v>
      </c>
      <c r="AR17" s="71" t="n">
        <v>1</v>
      </c>
      <c r="AS17" s="71" t="n">
        <v>1</v>
      </c>
      <c r="AT17" s="71" t="n">
        <v>1</v>
      </c>
      <c r="AU17" s="71" t="n">
        <v>1</v>
      </c>
      <c r="AV17" s="71" t="n">
        <v>1</v>
      </c>
      <c r="AW17" s="71" t="n">
        <v>1</v>
      </c>
      <c r="AX17" s="71" t="n">
        <v>1</v>
      </c>
      <c r="AY17" s="71" t="n">
        <v>1</v>
      </c>
      <c r="AZ17" s="71" t="n">
        <v>1</v>
      </c>
      <c r="BA17" s="71" t="n">
        <v>1</v>
      </c>
      <c r="BB17" s="71" t="n">
        <v>1</v>
      </c>
      <c r="BC17" s="71" t="n">
        <v>1</v>
      </c>
      <c r="BD17" s="71" t="n">
        <v>1</v>
      </c>
      <c r="BE17" s="71" t="n">
        <v>1</v>
      </c>
      <c r="BF17" s="71" t="n">
        <v>1</v>
      </c>
      <c r="BG17" s="71" t="n">
        <v>1</v>
      </c>
      <c r="BH17" s="71" t="n">
        <v>1</v>
      </c>
      <c r="BI17" s="71" t="n">
        <v>1</v>
      </c>
      <c r="BJ17" s="71" t="n">
        <v>1</v>
      </c>
      <c r="BK17" s="71" t="n">
        <v>1</v>
      </c>
      <c r="BL17" s="71" t="n">
        <v>1</v>
      </c>
      <c r="BM17" s="71" t="n">
        <v>1</v>
      </c>
      <c r="BN17" s="71" t="n">
        <v>1</v>
      </c>
      <c r="BO17" s="71" t="n">
        <v>1</v>
      </c>
      <c r="BP17" s="71" t="n">
        <v>1</v>
      </c>
      <c r="BQ17" s="71" t="n">
        <v>1</v>
      </c>
      <c r="BR17" s="71" t="n">
        <v>1</v>
      </c>
      <c r="BS17" s="71" t="n">
        <v>1</v>
      </c>
      <c r="BT17" s="71" t="n">
        <v>1</v>
      </c>
      <c r="BU17" s="71" t="n">
        <v>1</v>
      </c>
      <c r="BV17" s="71" t="n">
        <v>1</v>
      </c>
      <c r="BW17" s="71" t="n">
        <v>1</v>
      </c>
      <c r="BX17" s="71" t="n">
        <v>1</v>
      </c>
      <c r="BY17" s="71" t="n">
        <v>1</v>
      </c>
      <c r="BZ17" s="71" t="n">
        <v>1</v>
      </c>
      <c r="CA17" s="71" t="n">
        <v>1</v>
      </c>
      <c r="CB17" s="71" t="n">
        <v>1</v>
      </c>
      <c r="CC17" s="71" t="n">
        <v>1</v>
      </c>
      <c r="CD17" s="71" t="n">
        <v>1</v>
      </c>
    </row>
    <row r="18">
      <c r="A18" s="41" t="inlineStr">
        <is>
          <t>ACTIVE — Revenue Volume Index</t>
        </is>
      </c>
      <c r="C18" s="72">
        <f>INDEX(C$8:C$17,Cover!$B$20)</f>
        <v/>
      </c>
      <c r="D18" s="72">
        <f>INDEX(D$8:D$17,Cover!$B$20)</f>
        <v/>
      </c>
      <c r="E18" s="72">
        <f>INDEX(E$8:E$17,Cover!$B$20)</f>
        <v/>
      </c>
      <c r="F18" s="72">
        <f>INDEX(F$8:F$17,Cover!$B$20)</f>
        <v/>
      </c>
      <c r="G18" s="72">
        <f>INDEX(G$8:G$17,Cover!$B$20)</f>
        <v/>
      </c>
      <c r="H18" s="72">
        <f>INDEX(H$8:H$17,Cover!$B$20)</f>
        <v/>
      </c>
      <c r="I18" s="72">
        <f>INDEX(I$8:I$17,Cover!$B$20)</f>
        <v/>
      </c>
      <c r="J18" s="72">
        <f>INDEX(J$8:J$17,Cover!$B$20)</f>
        <v/>
      </c>
      <c r="K18" s="72">
        <f>INDEX(K$8:K$17,Cover!$B$20)</f>
        <v/>
      </c>
      <c r="L18" s="72">
        <f>INDEX(L$8:L$17,Cover!$B$20)</f>
        <v/>
      </c>
      <c r="M18" s="72">
        <f>INDEX(M$8:M$17,Cover!$B$20)</f>
        <v/>
      </c>
      <c r="N18" s="72">
        <f>INDEX(N$8:N$17,Cover!$B$20)</f>
        <v/>
      </c>
      <c r="O18" s="72">
        <f>INDEX(O$8:O$17,Cover!$B$20)</f>
        <v/>
      </c>
      <c r="P18" s="72">
        <f>INDEX(P$8:P$17,Cover!$B$20)</f>
        <v/>
      </c>
      <c r="Q18" s="72">
        <f>INDEX(Q$8:Q$17,Cover!$B$20)</f>
        <v/>
      </c>
      <c r="R18" s="72">
        <f>INDEX(R$8:R$17,Cover!$B$20)</f>
        <v/>
      </c>
      <c r="S18" s="72">
        <f>INDEX(S$8:S$17,Cover!$B$20)</f>
        <v/>
      </c>
      <c r="T18" s="72">
        <f>INDEX(T$8:T$17,Cover!$B$20)</f>
        <v/>
      </c>
      <c r="U18" s="72">
        <f>INDEX(U$8:U$17,Cover!$B$20)</f>
        <v/>
      </c>
      <c r="V18" s="72">
        <f>INDEX(V$8:V$17,Cover!$B$20)</f>
        <v/>
      </c>
      <c r="W18" s="72">
        <f>INDEX(W$8:W$17,Cover!$B$20)</f>
        <v/>
      </c>
      <c r="X18" s="72">
        <f>INDEX(X$8:X$17,Cover!$B$20)</f>
        <v/>
      </c>
      <c r="Y18" s="72">
        <f>INDEX(Y$8:Y$17,Cover!$B$20)</f>
        <v/>
      </c>
      <c r="Z18" s="72">
        <f>INDEX(Z$8:Z$17,Cover!$B$20)</f>
        <v/>
      </c>
      <c r="AA18" s="72">
        <f>INDEX(AA$8:AA$17,Cover!$B$20)</f>
        <v/>
      </c>
      <c r="AB18" s="72">
        <f>INDEX(AB$8:AB$17,Cover!$B$20)</f>
        <v/>
      </c>
      <c r="AC18" s="72">
        <f>INDEX(AC$8:AC$17,Cover!$B$20)</f>
        <v/>
      </c>
      <c r="AD18" s="72">
        <f>INDEX(AD$8:AD$17,Cover!$B$20)</f>
        <v/>
      </c>
      <c r="AE18" s="72">
        <f>INDEX(AE$8:AE$17,Cover!$B$20)</f>
        <v/>
      </c>
      <c r="AF18" s="72">
        <f>INDEX(AF$8:AF$17,Cover!$B$20)</f>
        <v/>
      </c>
      <c r="AG18" s="72">
        <f>INDEX(AG$8:AG$17,Cover!$B$20)</f>
        <v/>
      </c>
      <c r="AH18" s="72">
        <f>INDEX(AH$8:AH$17,Cover!$B$20)</f>
        <v/>
      </c>
      <c r="AI18" s="72">
        <f>INDEX(AI$8:AI$17,Cover!$B$20)</f>
        <v/>
      </c>
      <c r="AJ18" s="72">
        <f>INDEX(AJ$8:AJ$17,Cover!$B$20)</f>
        <v/>
      </c>
      <c r="AK18" s="72">
        <f>INDEX(AK$8:AK$17,Cover!$B$20)</f>
        <v/>
      </c>
      <c r="AL18" s="72">
        <f>INDEX(AL$8:AL$17,Cover!$B$20)</f>
        <v/>
      </c>
      <c r="AM18" s="72">
        <f>INDEX(AM$8:AM$17,Cover!$B$20)</f>
        <v/>
      </c>
      <c r="AN18" s="72">
        <f>INDEX(AN$8:AN$17,Cover!$B$20)</f>
        <v/>
      </c>
      <c r="AO18" s="72">
        <f>INDEX(AO$8:AO$17,Cover!$B$20)</f>
        <v/>
      </c>
      <c r="AP18" s="72">
        <f>INDEX(AP$8:AP$17,Cover!$B$20)</f>
        <v/>
      </c>
      <c r="AQ18" s="72">
        <f>INDEX(AQ$8:AQ$17,Cover!$B$20)</f>
        <v/>
      </c>
      <c r="AR18" s="72">
        <f>INDEX(AR$8:AR$17,Cover!$B$20)</f>
        <v/>
      </c>
      <c r="AS18" s="72">
        <f>INDEX(AS$8:AS$17,Cover!$B$20)</f>
        <v/>
      </c>
      <c r="AT18" s="72">
        <f>INDEX(AT$8:AT$17,Cover!$B$20)</f>
        <v/>
      </c>
      <c r="AU18" s="72">
        <f>INDEX(AU$8:AU$17,Cover!$B$20)</f>
        <v/>
      </c>
      <c r="AV18" s="72">
        <f>INDEX(AV$8:AV$17,Cover!$B$20)</f>
        <v/>
      </c>
      <c r="AW18" s="72">
        <f>INDEX(AW$8:AW$17,Cover!$B$20)</f>
        <v/>
      </c>
      <c r="AX18" s="72">
        <f>INDEX(AX$8:AX$17,Cover!$B$20)</f>
        <v/>
      </c>
      <c r="AY18" s="72">
        <f>INDEX(AY$8:AY$17,Cover!$B$20)</f>
        <v/>
      </c>
      <c r="AZ18" s="72">
        <f>INDEX(AZ$8:AZ$17,Cover!$B$20)</f>
        <v/>
      </c>
      <c r="BA18" s="72">
        <f>INDEX(BA$8:BA$17,Cover!$B$20)</f>
        <v/>
      </c>
      <c r="BB18" s="72">
        <f>INDEX(BB$8:BB$17,Cover!$B$20)</f>
        <v/>
      </c>
      <c r="BC18" s="72">
        <f>INDEX(BC$8:BC$17,Cover!$B$20)</f>
        <v/>
      </c>
      <c r="BD18" s="72">
        <f>INDEX(BD$8:BD$17,Cover!$B$20)</f>
        <v/>
      </c>
      <c r="BE18" s="72">
        <f>INDEX(BE$8:BE$17,Cover!$B$20)</f>
        <v/>
      </c>
      <c r="BF18" s="72">
        <f>INDEX(BF$8:BF$17,Cover!$B$20)</f>
        <v/>
      </c>
      <c r="BG18" s="72">
        <f>INDEX(BG$8:BG$17,Cover!$B$20)</f>
        <v/>
      </c>
      <c r="BH18" s="72">
        <f>INDEX(BH$8:BH$17,Cover!$B$20)</f>
        <v/>
      </c>
      <c r="BI18" s="72">
        <f>INDEX(BI$8:BI$17,Cover!$B$20)</f>
        <v/>
      </c>
      <c r="BJ18" s="72">
        <f>INDEX(BJ$8:BJ$17,Cover!$B$20)</f>
        <v/>
      </c>
      <c r="BK18" s="72">
        <f>INDEX(BK$8:BK$17,Cover!$B$20)</f>
        <v/>
      </c>
      <c r="BL18" s="72">
        <f>INDEX(BL$8:BL$17,Cover!$B$20)</f>
        <v/>
      </c>
      <c r="BM18" s="72">
        <f>INDEX(BM$8:BM$17,Cover!$B$20)</f>
        <v/>
      </c>
      <c r="BN18" s="72">
        <f>INDEX(BN$8:BN$17,Cover!$B$20)</f>
        <v/>
      </c>
      <c r="BO18" s="72">
        <f>INDEX(BO$8:BO$17,Cover!$B$20)</f>
        <v/>
      </c>
      <c r="BP18" s="72">
        <f>INDEX(BP$8:BP$17,Cover!$B$20)</f>
        <v/>
      </c>
      <c r="BQ18" s="72">
        <f>INDEX(BQ$8:BQ$17,Cover!$B$20)</f>
        <v/>
      </c>
      <c r="BR18" s="72">
        <f>INDEX(BR$8:BR$17,Cover!$B$20)</f>
        <v/>
      </c>
      <c r="BS18" s="72">
        <f>INDEX(BS$8:BS$17,Cover!$B$20)</f>
        <v/>
      </c>
      <c r="BT18" s="72">
        <f>INDEX(BT$8:BT$17,Cover!$B$20)</f>
        <v/>
      </c>
      <c r="BU18" s="72">
        <f>INDEX(BU$8:BU$17,Cover!$B$20)</f>
        <v/>
      </c>
      <c r="BV18" s="72">
        <f>INDEX(BV$8:BV$17,Cover!$B$20)</f>
        <v/>
      </c>
      <c r="BW18" s="72">
        <f>INDEX(BW$8:BW$17,Cover!$B$20)</f>
        <v/>
      </c>
      <c r="BX18" s="72">
        <f>INDEX(BX$8:BX$17,Cover!$B$20)</f>
        <v/>
      </c>
      <c r="BY18" s="72">
        <f>INDEX(BY$8:BY$17,Cover!$B$20)</f>
        <v/>
      </c>
      <c r="BZ18" s="72">
        <f>INDEX(BZ$8:BZ$17,Cover!$B$20)</f>
        <v/>
      </c>
      <c r="CA18" s="72">
        <f>INDEX(CA$8:CA$17,Cover!$B$20)</f>
        <v/>
      </c>
      <c r="CB18" s="72">
        <f>INDEX(CB$8:CB$17,Cover!$B$20)</f>
        <v/>
      </c>
      <c r="CC18" s="72">
        <f>INDEX(CC$8:CC$17,Cover!$B$20)</f>
        <v/>
      </c>
      <c r="CD18" s="72">
        <f>INDEX(CD$8:CD$17,Cover!$B$20)</f>
        <v/>
      </c>
    </row>
    <row r="20">
      <c r="A20" s="41" t="inlineStr">
        <is>
          <t>Opex Volume Index (by scenario)</t>
        </is>
      </c>
    </row>
    <row r="21">
      <c r="A21" t="inlineStr">
        <is>
          <t>Scenario 1</t>
        </is>
      </c>
      <c r="C21" s="71" t="n">
        <v>1</v>
      </c>
      <c r="D21" s="71" t="n">
        <v>1</v>
      </c>
      <c r="E21" s="71" t="n">
        <v>1</v>
      </c>
      <c r="F21" s="71" t="n">
        <v>1</v>
      </c>
      <c r="G21" s="71" t="n">
        <v>1</v>
      </c>
      <c r="H21" s="71" t="n">
        <v>1</v>
      </c>
      <c r="I21" s="71" t="n">
        <v>1</v>
      </c>
      <c r="J21" s="71" t="n">
        <v>1</v>
      </c>
      <c r="K21" s="71" t="n">
        <v>1</v>
      </c>
      <c r="L21" s="71" t="n">
        <v>1</v>
      </c>
      <c r="M21" s="71" t="n">
        <v>1</v>
      </c>
      <c r="N21" s="71" t="n">
        <v>1</v>
      </c>
      <c r="O21" s="71" t="n">
        <v>1</v>
      </c>
      <c r="P21" s="71" t="n">
        <v>1</v>
      </c>
      <c r="Q21" s="71" t="n">
        <v>1</v>
      </c>
      <c r="R21" s="71" t="n">
        <v>1</v>
      </c>
      <c r="S21" s="71" t="n">
        <v>1</v>
      </c>
      <c r="T21" s="71" t="n">
        <v>1</v>
      </c>
      <c r="U21" s="71" t="n">
        <v>1</v>
      </c>
      <c r="V21" s="71" t="n">
        <v>1</v>
      </c>
      <c r="W21" s="71" t="n">
        <v>1</v>
      </c>
      <c r="X21" s="71" t="n">
        <v>1</v>
      </c>
      <c r="Y21" s="71" t="n">
        <v>1</v>
      </c>
      <c r="Z21" s="71" t="n">
        <v>1</v>
      </c>
      <c r="AA21" s="71" t="n">
        <v>1</v>
      </c>
      <c r="AB21" s="71" t="n">
        <v>1</v>
      </c>
      <c r="AC21" s="71" t="n">
        <v>1</v>
      </c>
      <c r="AD21" s="71" t="n">
        <v>1</v>
      </c>
      <c r="AE21" s="71" t="n">
        <v>1</v>
      </c>
      <c r="AF21" s="71" t="n">
        <v>1</v>
      </c>
      <c r="AG21" s="71" t="n">
        <v>1</v>
      </c>
      <c r="AH21" s="71" t="n">
        <v>1</v>
      </c>
      <c r="AI21" s="71" t="n">
        <v>1</v>
      </c>
      <c r="AJ21" s="71" t="n">
        <v>1</v>
      </c>
      <c r="AK21" s="71" t="n">
        <v>1</v>
      </c>
      <c r="AL21" s="71" t="n">
        <v>1</v>
      </c>
      <c r="AM21" s="71" t="n">
        <v>1</v>
      </c>
      <c r="AN21" s="71" t="n">
        <v>1</v>
      </c>
      <c r="AO21" s="71" t="n">
        <v>1</v>
      </c>
      <c r="AP21" s="71" t="n">
        <v>1</v>
      </c>
      <c r="AQ21" s="71" t="n">
        <v>1</v>
      </c>
      <c r="AR21" s="71" t="n">
        <v>1</v>
      </c>
      <c r="AS21" s="71" t="n">
        <v>1</v>
      </c>
      <c r="AT21" s="71" t="n">
        <v>1</v>
      </c>
      <c r="AU21" s="71" t="n">
        <v>1</v>
      </c>
      <c r="AV21" s="71" t="n">
        <v>1</v>
      </c>
      <c r="AW21" s="71" t="n">
        <v>1</v>
      </c>
      <c r="AX21" s="71" t="n">
        <v>1</v>
      </c>
      <c r="AY21" s="71" t="n">
        <v>1</v>
      </c>
      <c r="AZ21" s="71" t="n">
        <v>1</v>
      </c>
      <c r="BA21" s="71" t="n">
        <v>1</v>
      </c>
      <c r="BB21" s="71" t="n">
        <v>1</v>
      </c>
      <c r="BC21" s="71" t="n">
        <v>1</v>
      </c>
      <c r="BD21" s="71" t="n">
        <v>1</v>
      </c>
      <c r="BE21" s="71" t="n">
        <v>1</v>
      </c>
      <c r="BF21" s="71" t="n">
        <v>1</v>
      </c>
      <c r="BG21" s="71" t="n">
        <v>1</v>
      </c>
      <c r="BH21" s="71" t="n">
        <v>1</v>
      </c>
      <c r="BI21" s="71" t="n">
        <v>1</v>
      </c>
      <c r="BJ21" s="71" t="n">
        <v>1</v>
      </c>
      <c r="BK21" s="71" t="n">
        <v>1</v>
      </c>
      <c r="BL21" s="71" t="n">
        <v>1</v>
      </c>
      <c r="BM21" s="71" t="n">
        <v>1</v>
      </c>
      <c r="BN21" s="71" t="n">
        <v>1</v>
      </c>
      <c r="BO21" s="71" t="n">
        <v>1</v>
      </c>
      <c r="BP21" s="71" t="n">
        <v>1</v>
      </c>
      <c r="BQ21" s="71" t="n">
        <v>1</v>
      </c>
      <c r="BR21" s="71" t="n">
        <v>1</v>
      </c>
      <c r="BS21" s="71" t="n">
        <v>1</v>
      </c>
      <c r="BT21" s="71" t="n">
        <v>1</v>
      </c>
      <c r="BU21" s="71" t="n">
        <v>1</v>
      </c>
      <c r="BV21" s="71" t="n">
        <v>1</v>
      </c>
      <c r="BW21" s="71" t="n">
        <v>1</v>
      </c>
      <c r="BX21" s="71" t="n">
        <v>1</v>
      </c>
      <c r="BY21" s="71" t="n">
        <v>1</v>
      </c>
      <c r="BZ21" s="71" t="n">
        <v>1</v>
      </c>
      <c r="CA21" s="71" t="n">
        <v>1</v>
      </c>
      <c r="CB21" s="71" t="n">
        <v>1</v>
      </c>
      <c r="CC21" s="71" t="n">
        <v>1</v>
      </c>
      <c r="CD21" s="71" t="n">
        <v>1</v>
      </c>
    </row>
    <row r="22">
      <c r="A22" t="inlineStr">
        <is>
          <t>Scenario 2</t>
        </is>
      </c>
      <c r="C22" s="71" t="n">
        <v>1</v>
      </c>
      <c r="D22" s="71" t="n">
        <v>1</v>
      </c>
      <c r="E22" s="71" t="n">
        <v>1</v>
      </c>
      <c r="F22" s="71" t="n">
        <v>1</v>
      </c>
      <c r="G22" s="71" t="n">
        <v>1</v>
      </c>
      <c r="H22" s="71" t="n">
        <v>1</v>
      </c>
      <c r="I22" s="71" t="n">
        <v>1</v>
      </c>
      <c r="J22" s="71" t="n">
        <v>1</v>
      </c>
      <c r="K22" s="71" t="n">
        <v>1</v>
      </c>
      <c r="L22" s="71" t="n">
        <v>1</v>
      </c>
      <c r="M22" s="71" t="n">
        <v>1</v>
      </c>
      <c r="N22" s="71" t="n">
        <v>1</v>
      </c>
      <c r="O22" s="71" t="n">
        <v>1</v>
      </c>
      <c r="P22" s="71" t="n">
        <v>1</v>
      </c>
      <c r="Q22" s="71" t="n">
        <v>1</v>
      </c>
      <c r="R22" s="71" t="n">
        <v>1</v>
      </c>
      <c r="S22" s="71" t="n">
        <v>1</v>
      </c>
      <c r="T22" s="71" t="n">
        <v>1</v>
      </c>
      <c r="U22" s="71" t="n">
        <v>1</v>
      </c>
      <c r="V22" s="71" t="n">
        <v>1</v>
      </c>
      <c r="W22" s="71" t="n">
        <v>1</v>
      </c>
      <c r="X22" s="71" t="n">
        <v>1</v>
      </c>
      <c r="Y22" s="71" t="n">
        <v>1</v>
      </c>
      <c r="Z22" s="71" t="n">
        <v>1</v>
      </c>
      <c r="AA22" s="71" t="n">
        <v>1</v>
      </c>
      <c r="AB22" s="71" t="n">
        <v>1</v>
      </c>
      <c r="AC22" s="71" t="n">
        <v>1</v>
      </c>
      <c r="AD22" s="71" t="n">
        <v>1</v>
      </c>
      <c r="AE22" s="71" t="n">
        <v>1</v>
      </c>
      <c r="AF22" s="71" t="n">
        <v>1</v>
      </c>
      <c r="AG22" s="71" t="n">
        <v>1</v>
      </c>
      <c r="AH22" s="71" t="n">
        <v>1</v>
      </c>
      <c r="AI22" s="71" t="n">
        <v>1</v>
      </c>
      <c r="AJ22" s="71" t="n">
        <v>1</v>
      </c>
      <c r="AK22" s="71" t="n">
        <v>1</v>
      </c>
      <c r="AL22" s="71" t="n">
        <v>1</v>
      </c>
      <c r="AM22" s="71" t="n">
        <v>1</v>
      </c>
      <c r="AN22" s="71" t="n">
        <v>1</v>
      </c>
      <c r="AO22" s="71" t="n">
        <v>1</v>
      </c>
      <c r="AP22" s="71" t="n">
        <v>1</v>
      </c>
      <c r="AQ22" s="71" t="n">
        <v>1</v>
      </c>
      <c r="AR22" s="71" t="n">
        <v>1</v>
      </c>
      <c r="AS22" s="71" t="n">
        <v>1</v>
      </c>
      <c r="AT22" s="71" t="n">
        <v>1</v>
      </c>
      <c r="AU22" s="71" t="n">
        <v>1</v>
      </c>
      <c r="AV22" s="71" t="n">
        <v>1</v>
      </c>
      <c r="AW22" s="71" t="n">
        <v>1</v>
      </c>
      <c r="AX22" s="71" t="n">
        <v>1</v>
      </c>
      <c r="AY22" s="71" t="n">
        <v>1</v>
      </c>
      <c r="AZ22" s="71" t="n">
        <v>1</v>
      </c>
      <c r="BA22" s="71" t="n">
        <v>1</v>
      </c>
      <c r="BB22" s="71" t="n">
        <v>1</v>
      </c>
      <c r="BC22" s="71" t="n">
        <v>1</v>
      </c>
      <c r="BD22" s="71" t="n">
        <v>1</v>
      </c>
      <c r="BE22" s="71" t="n">
        <v>1</v>
      </c>
      <c r="BF22" s="71" t="n">
        <v>1</v>
      </c>
      <c r="BG22" s="71" t="n">
        <v>1</v>
      </c>
      <c r="BH22" s="71" t="n">
        <v>1</v>
      </c>
      <c r="BI22" s="71" t="n">
        <v>1</v>
      </c>
      <c r="BJ22" s="71" t="n">
        <v>1</v>
      </c>
      <c r="BK22" s="71" t="n">
        <v>1</v>
      </c>
      <c r="BL22" s="71" t="n">
        <v>1</v>
      </c>
      <c r="BM22" s="71" t="n">
        <v>1</v>
      </c>
      <c r="BN22" s="71" t="n">
        <v>1</v>
      </c>
      <c r="BO22" s="71" t="n">
        <v>1</v>
      </c>
      <c r="BP22" s="71" t="n">
        <v>1</v>
      </c>
      <c r="BQ22" s="71" t="n">
        <v>1</v>
      </c>
      <c r="BR22" s="71" t="n">
        <v>1</v>
      </c>
      <c r="BS22" s="71" t="n">
        <v>1</v>
      </c>
      <c r="BT22" s="71" t="n">
        <v>1</v>
      </c>
      <c r="BU22" s="71" t="n">
        <v>1</v>
      </c>
      <c r="BV22" s="71" t="n">
        <v>1</v>
      </c>
      <c r="BW22" s="71" t="n">
        <v>1</v>
      </c>
      <c r="BX22" s="71" t="n">
        <v>1</v>
      </c>
      <c r="BY22" s="71" t="n">
        <v>1</v>
      </c>
      <c r="BZ22" s="71" t="n">
        <v>1</v>
      </c>
      <c r="CA22" s="71" t="n">
        <v>1</v>
      </c>
      <c r="CB22" s="71" t="n">
        <v>1</v>
      </c>
      <c r="CC22" s="71" t="n">
        <v>1</v>
      </c>
      <c r="CD22" s="71" t="n">
        <v>1</v>
      </c>
    </row>
    <row r="23">
      <c r="A23" t="inlineStr">
        <is>
          <t>Scenario 3</t>
        </is>
      </c>
      <c r="C23" s="71" t="n">
        <v>1</v>
      </c>
      <c r="D23" s="71" t="n">
        <v>1</v>
      </c>
      <c r="E23" s="71" t="n">
        <v>1</v>
      </c>
      <c r="F23" s="71" t="n">
        <v>1</v>
      </c>
      <c r="G23" s="71" t="n">
        <v>1</v>
      </c>
      <c r="H23" s="71" t="n">
        <v>1</v>
      </c>
      <c r="I23" s="71" t="n">
        <v>1</v>
      </c>
      <c r="J23" s="71" t="n">
        <v>1</v>
      </c>
      <c r="K23" s="71" t="n">
        <v>1</v>
      </c>
      <c r="L23" s="71" t="n">
        <v>1</v>
      </c>
      <c r="M23" s="71" t="n">
        <v>1</v>
      </c>
      <c r="N23" s="71" t="n">
        <v>1</v>
      </c>
      <c r="O23" s="71" t="n">
        <v>1</v>
      </c>
      <c r="P23" s="71" t="n">
        <v>1</v>
      </c>
      <c r="Q23" s="71" t="n">
        <v>1</v>
      </c>
      <c r="R23" s="71" t="n">
        <v>1</v>
      </c>
      <c r="S23" s="71" t="n">
        <v>1</v>
      </c>
      <c r="T23" s="71" t="n">
        <v>1</v>
      </c>
      <c r="U23" s="71" t="n">
        <v>1</v>
      </c>
      <c r="V23" s="71" t="n">
        <v>1</v>
      </c>
      <c r="W23" s="71" t="n">
        <v>1</v>
      </c>
      <c r="X23" s="71" t="n">
        <v>1</v>
      </c>
      <c r="Y23" s="71" t="n">
        <v>1</v>
      </c>
      <c r="Z23" s="71" t="n">
        <v>1</v>
      </c>
      <c r="AA23" s="71" t="n">
        <v>1</v>
      </c>
      <c r="AB23" s="71" t="n">
        <v>1</v>
      </c>
      <c r="AC23" s="71" t="n">
        <v>1</v>
      </c>
      <c r="AD23" s="71" t="n">
        <v>1</v>
      </c>
      <c r="AE23" s="71" t="n">
        <v>1</v>
      </c>
      <c r="AF23" s="71" t="n">
        <v>1</v>
      </c>
      <c r="AG23" s="71" t="n">
        <v>1</v>
      </c>
      <c r="AH23" s="71" t="n">
        <v>1</v>
      </c>
      <c r="AI23" s="71" t="n">
        <v>1</v>
      </c>
      <c r="AJ23" s="71" t="n">
        <v>1</v>
      </c>
      <c r="AK23" s="71" t="n">
        <v>1</v>
      </c>
      <c r="AL23" s="71" t="n">
        <v>1</v>
      </c>
      <c r="AM23" s="71" t="n">
        <v>1</v>
      </c>
      <c r="AN23" s="71" t="n">
        <v>1</v>
      </c>
      <c r="AO23" s="71" t="n">
        <v>1</v>
      </c>
      <c r="AP23" s="71" t="n">
        <v>1</v>
      </c>
      <c r="AQ23" s="71" t="n">
        <v>1</v>
      </c>
      <c r="AR23" s="71" t="n">
        <v>1</v>
      </c>
      <c r="AS23" s="71" t="n">
        <v>1</v>
      </c>
      <c r="AT23" s="71" t="n">
        <v>1</v>
      </c>
      <c r="AU23" s="71" t="n">
        <v>1</v>
      </c>
      <c r="AV23" s="71" t="n">
        <v>1</v>
      </c>
      <c r="AW23" s="71" t="n">
        <v>1</v>
      </c>
      <c r="AX23" s="71" t="n">
        <v>1</v>
      </c>
      <c r="AY23" s="71" t="n">
        <v>1</v>
      </c>
      <c r="AZ23" s="71" t="n">
        <v>1</v>
      </c>
      <c r="BA23" s="71" t="n">
        <v>1</v>
      </c>
      <c r="BB23" s="71" t="n">
        <v>1</v>
      </c>
      <c r="BC23" s="71" t="n">
        <v>1</v>
      </c>
      <c r="BD23" s="71" t="n">
        <v>1</v>
      </c>
      <c r="BE23" s="71" t="n">
        <v>1</v>
      </c>
      <c r="BF23" s="71" t="n">
        <v>1</v>
      </c>
      <c r="BG23" s="71" t="n">
        <v>1</v>
      </c>
      <c r="BH23" s="71" t="n">
        <v>1</v>
      </c>
      <c r="BI23" s="71" t="n">
        <v>1</v>
      </c>
      <c r="BJ23" s="71" t="n">
        <v>1</v>
      </c>
      <c r="BK23" s="71" t="n">
        <v>1</v>
      </c>
      <c r="BL23" s="71" t="n">
        <v>1</v>
      </c>
      <c r="BM23" s="71" t="n">
        <v>1</v>
      </c>
      <c r="BN23" s="71" t="n">
        <v>1</v>
      </c>
      <c r="BO23" s="71" t="n">
        <v>1</v>
      </c>
      <c r="BP23" s="71" t="n">
        <v>1</v>
      </c>
      <c r="BQ23" s="71" t="n">
        <v>1</v>
      </c>
      <c r="BR23" s="71" t="n">
        <v>1</v>
      </c>
      <c r="BS23" s="71" t="n">
        <v>1</v>
      </c>
      <c r="BT23" s="71" t="n">
        <v>1</v>
      </c>
      <c r="BU23" s="71" t="n">
        <v>1</v>
      </c>
      <c r="BV23" s="71" t="n">
        <v>1</v>
      </c>
      <c r="BW23" s="71" t="n">
        <v>1</v>
      </c>
      <c r="BX23" s="71" t="n">
        <v>1</v>
      </c>
      <c r="BY23" s="71" t="n">
        <v>1</v>
      </c>
      <c r="BZ23" s="71" t="n">
        <v>1</v>
      </c>
      <c r="CA23" s="71" t="n">
        <v>1</v>
      </c>
      <c r="CB23" s="71" t="n">
        <v>1</v>
      </c>
      <c r="CC23" s="71" t="n">
        <v>1</v>
      </c>
      <c r="CD23" s="71" t="n">
        <v>1</v>
      </c>
    </row>
    <row r="24">
      <c r="A24" t="inlineStr">
        <is>
          <t>Scenario 4</t>
        </is>
      </c>
      <c r="C24" s="71" t="n">
        <v>1</v>
      </c>
      <c r="D24" s="71" t="n">
        <v>1</v>
      </c>
      <c r="E24" s="71" t="n">
        <v>1</v>
      </c>
      <c r="F24" s="71" t="n">
        <v>1</v>
      </c>
      <c r="G24" s="71" t="n">
        <v>1</v>
      </c>
      <c r="H24" s="71" t="n">
        <v>1</v>
      </c>
      <c r="I24" s="71" t="n">
        <v>1</v>
      </c>
      <c r="J24" s="71" t="n">
        <v>1</v>
      </c>
      <c r="K24" s="71" t="n">
        <v>1</v>
      </c>
      <c r="L24" s="71" t="n">
        <v>1</v>
      </c>
      <c r="M24" s="71" t="n">
        <v>1</v>
      </c>
      <c r="N24" s="71" t="n">
        <v>1</v>
      </c>
      <c r="O24" s="71" t="n">
        <v>1</v>
      </c>
      <c r="P24" s="71" t="n">
        <v>1</v>
      </c>
      <c r="Q24" s="71" t="n">
        <v>1</v>
      </c>
      <c r="R24" s="71" t="n">
        <v>1</v>
      </c>
      <c r="S24" s="71" t="n">
        <v>1</v>
      </c>
      <c r="T24" s="71" t="n">
        <v>1</v>
      </c>
      <c r="U24" s="71" t="n">
        <v>1</v>
      </c>
      <c r="V24" s="71" t="n">
        <v>1</v>
      </c>
      <c r="W24" s="71" t="n">
        <v>1</v>
      </c>
      <c r="X24" s="71" t="n">
        <v>1</v>
      </c>
      <c r="Y24" s="71" t="n">
        <v>1</v>
      </c>
      <c r="Z24" s="71" t="n">
        <v>1</v>
      </c>
      <c r="AA24" s="71" t="n">
        <v>1</v>
      </c>
      <c r="AB24" s="71" t="n">
        <v>1</v>
      </c>
      <c r="AC24" s="71" t="n">
        <v>1</v>
      </c>
      <c r="AD24" s="71" t="n">
        <v>1</v>
      </c>
      <c r="AE24" s="71" t="n">
        <v>1</v>
      </c>
      <c r="AF24" s="71" t="n">
        <v>1</v>
      </c>
      <c r="AG24" s="71" t="n">
        <v>1</v>
      </c>
      <c r="AH24" s="71" t="n">
        <v>1</v>
      </c>
      <c r="AI24" s="71" t="n">
        <v>1</v>
      </c>
      <c r="AJ24" s="71" t="n">
        <v>1</v>
      </c>
      <c r="AK24" s="71" t="n">
        <v>1</v>
      </c>
      <c r="AL24" s="71" t="n">
        <v>1</v>
      </c>
      <c r="AM24" s="71" t="n">
        <v>1</v>
      </c>
      <c r="AN24" s="71" t="n">
        <v>1</v>
      </c>
      <c r="AO24" s="71" t="n">
        <v>1</v>
      </c>
      <c r="AP24" s="71" t="n">
        <v>1</v>
      </c>
      <c r="AQ24" s="71" t="n">
        <v>1</v>
      </c>
      <c r="AR24" s="71" t="n">
        <v>1</v>
      </c>
      <c r="AS24" s="71" t="n">
        <v>1</v>
      </c>
      <c r="AT24" s="71" t="n">
        <v>1</v>
      </c>
      <c r="AU24" s="71" t="n">
        <v>1</v>
      </c>
      <c r="AV24" s="71" t="n">
        <v>1</v>
      </c>
      <c r="AW24" s="71" t="n">
        <v>1</v>
      </c>
      <c r="AX24" s="71" t="n">
        <v>1</v>
      </c>
      <c r="AY24" s="71" t="n">
        <v>1</v>
      </c>
      <c r="AZ24" s="71" t="n">
        <v>1</v>
      </c>
      <c r="BA24" s="71" t="n">
        <v>1</v>
      </c>
      <c r="BB24" s="71" t="n">
        <v>1</v>
      </c>
      <c r="BC24" s="71" t="n">
        <v>1</v>
      </c>
      <c r="BD24" s="71" t="n">
        <v>1</v>
      </c>
      <c r="BE24" s="71" t="n">
        <v>1</v>
      </c>
      <c r="BF24" s="71" t="n">
        <v>1</v>
      </c>
      <c r="BG24" s="71" t="n">
        <v>1</v>
      </c>
      <c r="BH24" s="71" t="n">
        <v>1</v>
      </c>
      <c r="BI24" s="71" t="n">
        <v>1</v>
      </c>
      <c r="BJ24" s="71" t="n">
        <v>1</v>
      </c>
      <c r="BK24" s="71" t="n">
        <v>1</v>
      </c>
      <c r="BL24" s="71" t="n">
        <v>1</v>
      </c>
      <c r="BM24" s="71" t="n">
        <v>1</v>
      </c>
      <c r="BN24" s="71" t="n">
        <v>1</v>
      </c>
      <c r="BO24" s="71" t="n">
        <v>1</v>
      </c>
      <c r="BP24" s="71" t="n">
        <v>1</v>
      </c>
      <c r="BQ24" s="71" t="n">
        <v>1</v>
      </c>
      <c r="BR24" s="71" t="n">
        <v>1</v>
      </c>
      <c r="BS24" s="71" t="n">
        <v>1</v>
      </c>
      <c r="BT24" s="71" t="n">
        <v>1</v>
      </c>
      <c r="BU24" s="71" t="n">
        <v>1</v>
      </c>
      <c r="BV24" s="71" t="n">
        <v>1</v>
      </c>
      <c r="BW24" s="71" t="n">
        <v>1</v>
      </c>
      <c r="BX24" s="71" t="n">
        <v>1</v>
      </c>
      <c r="BY24" s="71" t="n">
        <v>1</v>
      </c>
      <c r="BZ24" s="71" t="n">
        <v>1</v>
      </c>
      <c r="CA24" s="71" t="n">
        <v>1</v>
      </c>
      <c r="CB24" s="71" t="n">
        <v>1</v>
      </c>
      <c r="CC24" s="71" t="n">
        <v>1</v>
      </c>
      <c r="CD24" s="71" t="n">
        <v>1</v>
      </c>
    </row>
    <row r="25">
      <c r="A25" t="inlineStr">
        <is>
          <t>Scenario 5</t>
        </is>
      </c>
      <c r="C25" s="71" t="n">
        <v>1</v>
      </c>
      <c r="D25" s="71" t="n">
        <v>1</v>
      </c>
      <c r="E25" s="71" t="n">
        <v>1</v>
      </c>
      <c r="F25" s="71" t="n">
        <v>1</v>
      </c>
      <c r="G25" s="71" t="n">
        <v>1</v>
      </c>
      <c r="H25" s="71" t="n">
        <v>1</v>
      </c>
      <c r="I25" s="71" t="n">
        <v>1</v>
      </c>
      <c r="J25" s="71" t="n">
        <v>1</v>
      </c>
      <c r="K25" s="71" t="n">
        <v>1</v>
      </c>
      <c r="L25" s="71" t="n">
        <v>1</v>
      </c>
      <c r="M25" s="71" t="n">
        <v>1</v>
      </c>
      <c r="N25" s="71" t="n">
        <v>1</v>
      </c>
      <c r="O25" s="71" t="n">
        <v>1</v>
      </c>
      <c r="P25" s="71" t="n">
        <v>1</v>
      </c>
      <c r="Q25" s="71" t="n">
        <v>1</v>
      </c>
      <c r="R25" s="71" t="n">
        <v>1</v>
      </c>
      <c r="S25" s="71" t="n">
        <v>1</v>
      </c>
      <c r="T25" s="71" t="n">
        <v>1</v>
      </c>
      <c r="U25" s="71" t="n">
        <v>1</v>
      </c>
      <c r="V25" s="71" t="n">
        <v>1</v>
      </c>
      <c r="W25" s="71" t="n">
        <v>1</v>
      </c>
      <c r="X25" s="71" t="n">
        <v>1</v>
      </c>
      <c r="Y25" s="71" t="n">
        <v>1</v>
      </c>
      <c r="Z25" s="71" t="n">
        <v>1</v>
      </c>
      <c r="AA25" s="71" t="n">
        <v>1</v>
      </c>
      <c r="AB25" s="71" t="n">
        <v>1</v>
      </c>
      <c r="AC25" s="71" t="n">
        <v>1</v>
      </c>
      <c r="AD25" s="71" t="n">
        <v>1</v>
      </c>
      <c r="AE25" s="71" t="n">
        <v>1</v>
      </c>
      <c r="AF25" s="71" t="n">
        <v>1</v>
      </c>
      <c r="AG25" s="71" t="n">
        <v>1</v>
      </c>
      <c r="AH25" s="71" t="n">
        <v>1</v>
      </c>
      <c r="AI25" s="71" t="n">
        <v>1</v>
      </c>
      <c r="AJ25" s="71" t="n">
        <v>1</v>
      </c>
      <c r="AK25" s="71" t="n">
        <v>1</v>
      </c>
      <c r="AL25" s="71" t="n">
        <v>1</v>
      </c>
      <c r="AM25" s="71" t="n">
        <v>1</v>
      </c>
      <c r="AN25" s="71" t="n">
        <v>1</v>
      </c>
      <c r="AO25" s="71" t="n">
        <v>1</v>
      </c>
      <c r="AP25" s="71" t="n">
        <v>1</v>
      </c>
      <c r="AQ25" s="71" t="n">
        <v>1</v>
      </c>
      <c r="AR25" s="71" t="n">
        <v>1</v>
      </c>
      <c r="AS25" s="71" t="n">
        <v>1</v>
      </c>
      <c r="AT25" s="71" t="n">
        <v>1</v>
      </c>
      <c r="AU25" s="71" t="n">
        <v>1</v>
      </c>
      <c r="AV25" s="71" t="n">
        <v>1</v>
      </c>
      <c r="AW25" s="71" t="n">
        <v>1</v>
      </c>
      <c r="AX25" s="71" t="n">
        <v>1</v>
      </c>
      <c r="AY25" s="71" t="n">
        <v>1</v>
      </c>
      <c r="AZ25" s="71" t="n">
        <v>1</v>
      </c>
      <c r="BA25" s="71" t="n">
        <v>1</v>
      </c>
      <c r="BB25" s="71" t="n">
        <v>1</v>
      </c>
      <c r="BC25" s="71" t="n">
        <v>1</v>
      </c>
      <c r="BD25" s="71" t="n">
        <v>1</v>
      </c>
      <c r="BE25" s="71" t="n">
        <v>1</v>
      </c>
      <c r="BF25" s="71" t="n">
        <v>1</v>
      </c>
      <c r="BG25" s="71" t="n">
        <v>1</v>
      </c>
      <c r="BH25" s="71" t="n">
        <v>1</v>
      </c>
      <c r="BI25" s="71" t="n">
        <v>1</v>
      </c>
      <c r="BJ25" s="71" t="n">
        <v>1</v>
      </c>
      <c r="BK25" s="71" t="n">
        <v>1</v>
      </c>
      <c r="BL25" s="71" t="n">
        <v>1</v>
      </c>
      <c r="BM25" s="71" t="n">
        <v>1</v>
      </c>
      <c r="BN25" s="71" t="n">
        <v>1</v>
      </c>
      <c r="BO25" s="71" t="n">
        <v>1</v>
      </c>
      <c r="BP25" s="71" t="n">
        <v>1</v>
      </c>
      <c r="BQ25" s="71" t="n">
        <v>1</v>
      </c>
      <c r="BR25" s="71" t="n">
        <v>1</v>
      </c>
      <c r="BS25" s="71" t="n">
        <v>1</v>
      </c>
      <c r="BT25" s="71" t="n">
        <v>1</v>
      </c>
      <c r="BU25" s="71" t="n">
        <v>1</v>
      </c>
      <c r="BV25" s="71" t="n">
        <v>1</v>
      </c>
      <c r="BW25" s="71" t="n">
        <v>1</v>
      </c>
      <c r="BX25" s="71" t="n">
        <v>1</v>
      </c>
      <c r="BY25" s="71" t="n">
        <v>1</v>
      </c>
      <c r="BZ25" s="71" t="n">
        <v>1</v>
      </c>
      <c r="CA25" s="71" t="n">
        <v>1</v>
      </c>
      <c r="CB25" s="71" t="n">
        <v>1</v>
      </c>
      <c r="CC25" s="71" t="n">
        <v>1</v>
      </c>
      <c r="CD25" s="71" t="n">
        <v>1</v>
      </c>
    </row>
    <row r="26">
      <c r="A26" t="inlineStr">
        <is>
          <t>Scenario 6</t>
        </is>
      </c>
      <c r="C26" s="71" t="n">
        <v>1</v>
      </c>
      <c r="D26" s="71" t="n">
        <v>1</v>
      </c>
      <c r="E26" s="71" t="n">
        <v>1</v>
      </c>
      <c r="F26" s="71" t="n">
        <v>1</v>
      </c>
      <c r="G26" s="71" t="n">
        <v>1</v>
      </c>
      <c r="H26" s="71" t="n">
        <v>1</v>
      </c>
      <c r="I26" s="71" t="n">
        <v>1</v>
      </c>
      <c r="J26" s="71" t="n">
        <v>1</v>
      </c>
      <c r="K26" s="71" t="n">
        <v>1</v>
      </c>
      <c r="L26" s="71" t="n">
        <v>1</v>
      </c>
      <c r="M26" s="71" t="n">
        <v>1</v>
      </c>
      <c r="N26" s="71" t="n">
        <v>1</v>
      </c>
      <c r="O26" s="71" t="n">
        <v>1</v>
      </c>
      <c r="P26" s="71" t="n">
        <v>1</v>
      </c>
      <c r="Q26" s="71" t="n">
        <v>1</v>
      </c>
      <c r="R26" s="71" t="n">
        <v>1</v>
      </c>
      <c r="S26" s="71" t="n">
        <v>1</v>
      </c>
      <c r="T26" s="71" t="n">
        <v>1</v>
      </c>
      <c r="U26" s="71" t="n">
        <v>1</v>
      </c>
      <c r="V26" s="71" t="n">
        <v>1</v>
      </c>
      <c r="W26" s="71" t="n">
        <v>1</v>
      </c>
      <c r="X26" s="71" t="n">
        <v>1</v>
      </c>
      <c r="Y26" s="71" t="n">
        <v>1</v>
      </c>
      <c r="Z26" s="71" t="n">
        <v>1</v>
      </c>
      <c r="AA26" s="71" t="n">
        <v>1</v>
      </c>
      <c r="AB26" s="71" t="n">
        <v>1</v>
      </c>
      <c r="AC26" s="71" t="n">
        <v>1</v>
      </c>
      <c r="AD26" s="71" t="n">
        <v>1</v>
      </c>
      <c r="AE26" s="71" t="n">
        <v>1</v>
      </c>
      <c r="AF26" s="71" t="n">
        <v>1</v>
      </c>
      <c r="AG26" s="71" t="n">
        <v>1</v>
      </c>
      <c r="AH26" s="71" t="n">
        <v>1</v>
      </c>
      <c r="AI26" s="71" t="n">
        <v>1</v>
      </c>
      <c r="AJ26" s="71" t="n">
        <v>1</v>
      </c>
      <c r="AK26" s="71" t="n">
        <v>1</v>
      </c>
      <c r="AL26" s="71" t="n">
        <v>1</v>
      </c>
      <c r="AM26" s="71" t="n">
        <v>1</v>
      </c>
      <c r="AN26" s="71" t="n">
        <v>1</v>
      </c>
      <c r="AO26" s="71" t="n">
        <v>1</v>
      </c>
      <c r="AP26" s="71" t="n">
        <v>1</v>
      </c>
      <c r="AQ26" s="71" t="n">
        <v>1</v>
      </c>
      <c r="AR26" s="71" t="n">
        <v>1</v>
      </c>
      <c r="AS26" s="71" t="n">
        <v>1</v>
      </c>
      <c r="AT26" s="71" t="n">
        <v>1</v>
      </c>
      <c r="AU26" s="71" t="n">
        <v>1</v>
      </c>
      <c r="AV26" s="71" t="n">
        <v>1</v>
      </c>
      <c r="AW26" s="71" t="n">
        <v>1</v>
      </c>
      <c r="AX26" s="71" t="n">
        <v>1</v>
      </c>
      <c r="AY26" s="71" t="n">
        <v>1</v>
      </c>
      <c r="AZ26" s="71" t="n">
        <v>1</v>
      </c>
      <c r="BA26" s="71" t="n">
        <v>1</v>
      </c>
      <c r="BB26" s="71" t="n">
        <v>1</v>
      </c>
      <c r="BC26" s="71" t="n">
        <v>1</v>
      </c>
      <c r="BD26" s="71" t="n">
        <v>1</v>
      </c>
      <c r="BE26" s="71" t="n">
        <v>1</v>
      </c>
      <c r="BF26" s="71" t="n">
        <v>1</v>
      </c>
      <c r="BG26" s="71" t="n">
        <v>1</v>
      </c>
      <c r="BH26" s="71" t="n">
        <v>1</v>
      </c>
      <c r="BI26" s="71" t="n">
        <v>1</v>
      </c>
      <c r="BJ26" s="71" t="n">
        <v>1</v>
      </c>
      <c r="BK26" s="71" t="n">
        <v>1</v>
      </c>
      <c r="BL26" s="71" t="n">
        <v>1</v>
      </c>
      <c r="BM26" s="71" t="n">
        <v>1</v>
      </c>
      <c r="BN26" s="71" t="n">
        <v>1</v>
      </c>
      <c r="BO26" s="71" t="n">
        <v>1</v>
      </c>
      <c r="BP26" s="71" t="n">
        <v>1</v>
      </c>
      <c r="BQ26" s="71" t="n">
        <v>1</v>
      </c>
      <c r="BR26" s="71" t="n">
        <v>1</v>
      </c>
      <c r="BS26" s="71" t="n">
        <v>1</v>
      </c>
      <c r="BT26" s="71" t="n">
        <v>1</v>
      </c>
      <c r="BU26" s="71" t="n">
        <v>1</v>
      </c>
      <c r="BV26" s="71" t="n">
        <v>1</v>
      </c>
      <c r="BW26" s="71" t="n">
        <v>1</v>
      </c>
      <c r="BX26" s="71" t="n">
        <v>1</v>
      </c>
      <c r="BY26" s="71" t="n">
        <v>1</v>
      </c>
      <c r="BZ26" s="71" t="n">
        <v>1</v>
      </c>
      <c r="CA26" s="71" t="n">
        <v>1</v>
      </c>
      <c r="CB26" s="71" t="n">
        <v>1</v>
      </c>
      <c r="CC26" s="71" t="n">
        <v>1</v>
      </c>
      <c r="CD26" s="71" t="n">
        <v>1</v>
      </c>
    </row>
    <row r="27">
      <c r="A27" t="inlineStr">
        <is>
          <t>Scenario 7</t>
        </is>
      </c>
      <c r="C27" s="71" t="n">
        <v>1</v>
      </c>
      <c r="D27" s="71" t="n">
        <v>1</v>
      </c>
      <c r="E27" s="71" t="n">
        <v>1</v>
      </c>
      <c r="F27" s="71" t="n">
        <v>1</v>
      </c>
      <c r="G27" s="71" t="n">
        <v>1</v>
      </c>
      <c r="H27" s="71" t="n">
        <v>1</v>
      </c>
      <c r="I27" s="71" t="n">
        <v>1</v>
      </c>
      <c r="J27" s="71" t="n">
        <v>1</v>
      </c>
      <c r="K27" s="71" t="n">
        <v>1</v>
      </c>
      <c r="L27" s="71" t="n">
        <v>1</v>
      </c>
      <c r="M27" s="71" t="n">
        <v>1</v>
      </c>
      <c r="N27" s="71" t="n">
        <v>1</v>
      </c>
      <c r="O27" s="71" t="n">
        <v>1</v>
      </c>
      <c r="P27" s="71" t="n">
        <v>1</v>
      </c>
      <c r="Q27" s="71" t="n">
        <v>1</v>
      </c>
      <c r="R27" s="71" t="n">
        <v>1</v>
      </c>
      <c r="S27" s="71" t="n">
        <v>1</v>
      </c>
      <c r="T27" s="71" t="n">
        <v>1</v>
      </c>
      <c r="U27" s="71" t="n">
        <v>1</v>
      </c>
      <c r="V27" s="71" t="n">
        <v>1</v>
      </c>
      <c r="W27" s="71" t="n">
        <v>1</v>
      </c>
      <c r="X27" s="71" t="n">
        <v>1</v>
      </c>
      <c r="Y27" s="71" t="n">
        <v>1</v>
      </c>
      <c r="Z27" s="71" t="n">
        <v>1</v>
      </c>
      <c r="AA27" s="71" t="n">
        <v>1</v>
      </c>
      <c r="AB27" s="71" t="n">
        <v>1</v>
      </c>
      <c r="AC27" s="71" t="n">
        <v>1</v>
      </c>
      <c r="AD27" s="71" t="n">
        <v>1</v>
      </c>
      <c r="AE27" s="71" t="n">
        <v>1</v>
      </c>
      <c r="AF27" s="71" t="n">
        <v>1</v>
      </c>
      <c r="AG27" s="71" t="n">
        <v>1</v>
      </c>
      <c r="AH27" s="71" t="n">
        <v>1</v>
      </c>
      <c r="AI27" s="71" t="n">
        <v>1</v>
      </c>
      <c r="AJ27" s="71" t="n">
        <v>1</v>
      </c>
      <c r="AK27" s="71" t="n">
        <v>1</v>
      </c>
      <c r="AL27" s="71" t="n">
        <v>1</v>
      </c>
      <c r="AM27" s="71" t="n">
        <v>1</v>
      </c>
      <c r="AN27" s="71" t="n">
        <v>1</v>
      </c>
      <c r="AO27" s="71" t="n">
        <v>1</v>
      </c>
      <c r="AP27" s="71" t="n">
        <v>1</v>
      </c>
      <c r="AQ27" s="71" t="n">
        <v>1</v>
      </c>
      <c r="AR27" s="71" t="n">
        <v>1</v>
      </c>
      <c r="AS27" s="71" t="n">
        <v>1</v>
      </c>
      <c r="AT27" s="71" t="n">
        <v>1</v>
      </c>
      <c r="AU27" s="71" t="n">
        <v>1</v>
      </c>
      <c r="AV27" s="71" t="n">
        <v>1</v>
      </c>
      <c r="AW27" s="71" t="n">
        <v>1</v>
      </c>
      <c r="AX27" s="71" t="n">
        <v>1</v>
      </c>
      <c r="AY27" s="71" t="n">
        <v>1</v>
      </c>
      <c r="AZ27" s="71" t="n">
        <v>1</v>
      </c>
      <c r="BA27" s="71" t="n">
        <v>1</v>
      </c>
      <c r="BB27" s="71" t="n">
        <v>1</v>
      </c>
      <c r="BC27" s="71" t="n">
        <v>1</v>
      </c>
      <c r="BD27" s="71" t="n">
        <v>1</v>
      </c>
      <c r="BE27" s="71" t="n">
        <v>1</v>
      </c>
      <c r="BF27" s="71" t="n">
        <v>1</v>
      </c>
      <c r="BG27" s="71" t="n">
        <v>1</v>
      </c>
      <c r="BH27" s="71" t="n">
        <v>1</v>
      </c>
      <c r="BI27" s="71" t="n">
        <v>1</v>
      </c>
      <c r="BJ27" s="71" t="n">
        <v>1</v>
      </c>
      <c r="BK27" s="71" t="n">
        <v>1</v>
      </c>
      <c r="BL27" s="71" t="n">
        <v>1</v>
      </c>
      <c r="BM27" s="71" t="n">
        <v>1</v>
      </c>
      <c r="BN27" s="71" t="n">
        <v>1</v>
      </c>
      <c r="BO27" s="71" t="n">
        <v>1</v>
      </c>
      <c r="BP27" s="71" t="n">
        <v>1</v>
      </c>
      <c r="BQ27" s="71" t="n">
        <v>1</v>
      </c>
      <c r="BR27" s="71" t="n">
        <v>1</v>
      </c>
      <c r="BS27" s="71" t="n">
        <v>1</v>
      </c>
      <c r="BT27" s="71" t="n">
        <v>1</v>
      </c>
      <c r="BU27" s="71" t="n">
        <v>1</v>
      </c>
      <c r="BV27" s="71" t="n">
        <v>1</v>
      </c>
      <c r="BW27" s="71" t="n">
        <v>1</v>
      </c>
      <c r="BX27" s="71" t="n">
        <v>1</v>
      </c>
      <c r="BY27" s="71" t="n">
        <v>1</v>
      </c>
      <c r="BZ27" s="71" t="n">
        <v>1</v>
      </c>
      <c r="CA27" s="71" t="n">
        <v>1</v>
      </c>
      <c r="CB27" s="71" t="n">
        <v>1</v>
      </c>
      <c r="CC27" s="71" t="n">
        <v>1</v>
      </c>
      <c r="CD27" s="71" t="n">
        <v>1</v>
      </c>
    </row>
    <row r="28">
      <c r="A28" t="inlineStr">
        <is>
          <t>Scenario 8</t>
        </is>
      </c>
      <c r="C28" s="71" t="n">
        <v>1</v>
      </c>
      <c r="D28" s="71" t="n">
        <v>1</v>
      </c>
      <c r="E28" s="71" t="n">
        <v>1</v>
      </c>
      <c r="F28" s="71" t="n">
        <v>1</v>
      </c>
      <c r="G28" s="71" t="n">
        <v>1</v>
      </c>
      <c r="H28" s="71" t="n">
        <v>1</v>
      </c>
      <c r="I28" s="71" t="n">
        <v>1</v>
      </c>
      <c r="J28" s="71" t="n">
        <v>1</v>
      </c>
      <c r="K28" s="71" t="n">
        <v>1</v>
      </c>
      <c r="L28" s="71" t="n">
        <v>1</v>
      </c>
      <c r="M28" s="71" t="n">
        <v>1</v>
      </c>
      <c r="N28" s="71" t="n">
        <v>1</v>
      </c>
      <c r="O28" s="71" t="n">
        <v>1</v>
      </c>
      <c r="P28" s="71" t="n">
        <v>1</v>
      </c>
      <c r="Q28" s="71" t="n">
        <v>1</v>
      </c>
      <c r="R28" s="71" t="n">
        <v>1</v>
      </c>
      <c r="S28" s="71" t="n">
        <v>1</v>
      </c>
      <c r="T28" s="71" t="n">
        <v>1</v>
      </c>
      <c r="U28" s="71" t="n">
        <v>1</v>
      </c>
      <c r="V28" s="71" t="n">
        <v>1</v>
      </c>
      <c r="W28" s="71" t="n">
        <v>1</v>
      </c>
      <c r="X28" s="71" t="n">
        <v>1</v>
      </c>
      <c r="Y28" s="71" t="n">
        <v>1</v>
      </c>
      <c r="Z28" s="71" t="n">
        <v>1</v>
      </c>
      <c r="AA28" s="71" t="n">
        <v>1</v>
      </c>
      <c r="AB28" s="71" t="n">
        <v>1</v>
      </c>
      <c r="AC28" s="71" t="n">
        <v>1</v>
      </c>
      <c r="AD28" s="71" t="n">
        <v>1</v>
      </c>
      <c r="AE28" s="71" t="n">
        <v>1</v>
      </c>
      <c r="AF28" s="71" t="n">
        <v>1</v>
      </c>
      <c r="AG28" s="71" t="n">
        <v>1</v>
      </c>
      <c r="AH28" s="71" t="n">
        <v>1</v>
      </c>
      <c r="AI28" s="71" t="n">
        <v>1</v>
      </c>
      <c r="AJ28" s="71" t="n">
        <v>1</v>
      </c>
      <c r="AK28" s="71" t="n">
        <v>1</v>
      </c>
      <c r="AL28" s="71" t="n">
        <v>1</v>
      </c>
      <c r="AM28" s="71" t="n">
        <v>1</v>
      </c>
      <c r="AN28" s="71" t="n">
        <v>1</v>
      </c>
      <c r="AO28" s="71" t="n">
        <v>1</v>
      </c>
      <c r="AP28" s="71" t="n">
        <v>1</v>
      </c>
      <c r="AQ28" s="71" t="n">
        <v>1</v>
      </c>
      <c r="AR28" s="71" t="n">
        <v>1</v>
      </c>
      <c r="AS28" s="71" t="n">
        <v>1</v>
      </c>
      <c r="AT28" s="71" t="n">
        <v>1</v>
      </c>
      <c r="AU28" s="71" t="n">
        <v>1</v>
      </c>
      <c r="AV28" s="71" t="n">
        <v>1</v>
      </c>
      <c r="AW28" s="71" t="n">
        <v>1</v>
      </c>
      <c r="AX28" s="71" t="n">
        <v>1</v>
      </c>
      <c r="AY28" s="71" t="n">
        <v>1</v>
      </c>
      <c r="AZ28" s="71" t="n">
        <v>1</v>
      </c>
      <c r="BA28" s="71" t="n">
        <v>1</v>
      </c>
      <c r="BB28" s="71" t="n">
        <v>1</v>
      </c>
      <c r="BC28" s="71" t="n">
        <v>1</v>
      </c>
      <c r="BD28" s="71" t="n">
        <v>1</v>
      </c>
      <c r="BE28" s="71" t="n">
        <v>1</v>
      </c>
      <c r="BF28" s="71" t="n">
        <v>1</v>
      </c>
      <c r="BG28" s="71" t="n">
        <v>1</v>
      </c>
      <c r="BH28" s="71" t="n">
        <v>1</v>
      </c>
      <c r="BI28" s="71" t="n">
        <v>1</v>
      </c>
      <c r="BJ28" s="71" t="n">
        <v>1</v>
      </c>
      <c r="BK28" s="71" t="n">
        <v>1</v>
      </c>
      <c r="BL28" s="71" t="n">
        <v>1</v>
      </c>
      <c r="BM28" s="71" t="n">
        <v>1</v>
      </c>
      <c r="BN28" s="71" t="n">
        <v>1</v>
      </c>
      <c r="BO28" s="71" t="n">
        <v>1</v>
      </c>
      <c r="BP28" s="71" t="n">
        <v>1</v>
      </c>
      <c r="BQ28" s="71" t="n">
        <v>1</v>
      </c>
      <c r="BR28" s="71" t="n">
        <v>1</v>
      </c>
      <c r="BS28" s="71" t="n">
        <v>1</v>
      </c>
      <c r="BT28" s="71" t="n">
        <v>1</v>
      </c>
      <c r="BU28" s="71" t="n">
        <v>1</v>
      </c>
      <c r="BV28" s="71" t="n">
        <v>1</v>
      </c>
      <c r="BW28" s="71" t="n">
        <v>1</v>
      </c>
      <c r="BX28" s="71" t="n">
        <v>1</v>
      </c>
      <c r="BY28" s="71" t="n">
        <v>1</v>
      </c>
      <c r="BZ28" s="71" t="n">
        <v>1</v>
      </c>
      <c r="CA28" s="71" t="n">
        <v>1</v>
      </c>
      <c r="CB28" s="71" t="n">
        <v>1</v>
      </c>
      <c r="CC28" s="71" t="n">
        <v>1</v>
      </c>
      <c r="CD28" s="71" t="n">
        <v>1</v>
      </c>
    </row>
    <row r="29">
      <c r="A29" t="inlineStr">
        <is>
          <t>Scenario 9</t>
        </is>
      </c>
      <c r="C29" s="71" t="n">
        <v>1</v>
      </c>
      <c r="D29" s="71" t="n">
        <v>1</v>
      </c>
      <c r="E29" s="71" t="n">
        <v>1</v>
      </c>
      <c r="F29" s="71" t="n">
        <v>1</v>
      </c>
      <c r="G29" s="71" t="n">
        <v>1</v>
      </c>
      <c r="H29" s="71" t="n">
        <v>1</v>
      </c>
      <c r="I29" s="71" t="n">
        <v>1</v>
      </c>
      <c r="J29" s="71" t="n">
        <v>1</v>
      </c>
      <c r="K29" s="71" t="n">
        <v>1</v>
      </c>
      <c r="L29" s="71" t="n">
        <v>1</v>
      </c>
      <c r="M29" s="71" t="n">
        <v>1</v>
      </c>
      <c r="N29" s="71" t="n">
        <v>1</v>
      </c>
      <c r="O29" s="71" t="n">
        <v>1</v>
      </c>
      <c r="P29" s="71" t="n">
        <v>1</v>
      </c>
      <c r="Q29" s="71" t="n">
        <v>1</v>
      </c>
      <c r="R29" s="71" t="n">
        <v>1</v>
      </c>
      <c r="S29" s="71" t="n">
        <v>1</v>
      </c>
      <c r="T29" s="71" t="n">
        <v>1</v>
      </c>
      <c r="U29" s="71" t="n">
        <v>1</v>
      </c>
      <c r="V29" s="71" t="n">
        <v>1</v>
      </c>
      <c r="W29" s="71" t="n">
        <v>1</v>
      </c>
      <c r="X29" s="71" t="n">
        <v>1</v>
      </c>
      <c r="Y29" s="71" t="n">
        <v>1</v>
      </c>
      <c r="Z29" s="71" t="n">
        <v>1</v>
      </c>
      <c r="AA29" s="71" t="n">
        <v>1</v>
      </c>
      <c r="AB29" s="71" t="n">
        <v>1</v>
      </c>
      <c r="AC29" s="71" t="n">
        <v>1</v>
      </c>
      <c r="AD29" s="71" t="n">
        <v>1</v>
      </c>
      <c r="AE29" s="71" t="n">
        <v>1</v>
      </c>
      <c r="AF29" s="71" t="n">
        <v>1</v>
      </c>
      <c r="AG29" s="71" t="n">
        <v>1</v>
      </c>
      <c r="AH29" s="71" t="n">
        <v>1</v>
      </c>
      <c r="AI29" s="71" t="n">
        <v>1</v>
      </c>
      <c r="AJ29" s="71" t="n">
        <v>1</v>
      </c>
      <c r="AK29" s="71" t="n">
        <v>1</v>
      </c>
      <c r="AL29" s="71" t="n">
        <v>1</v>
      </c>
      <c r="AM29" s="71" t="n">
        <v>1</v>
      </c>
      <c r="AN29" s="71" t="n">
        <v>1</v>
      </c>
      <c r="AO29" s="71" t="n">
        <v>1</v>
      </c>
      <c r="AP29" s="71" t="n">
        <v>1</v>
      </c>
      <c r="AQ29" s="71" t="n">
        <v>1</v>
      </c>
      <c r="AR29" s="71" t="n">
        <v>1</v>
      </c>
      <c r="AS29" s="71" t="n">
        <v>1</v>
      </c>
      <c r="AT29" s="71" t="n">
        <v>1</v>
      </c>
      <c r="AU29" s="71" t="n">
        <v>1</v>
      </c>
      <c r="AV29" s="71" t="n">
        <v>1</v>
      </c>
      <c r="AW29" s="71" t="n">
        <v>1</v>
      </c>
      <c r="AX29" s="71" t="n">
        <v>1</v>
      </c>
      <c r="AY29" s="71" t="n">
        <v>1</v>
      </c>
      <c r="AZ29" s="71" t="n">
        <v>1</v>
      </c>
      <c r="BA29" s="71" t="n">
        <v>1</v>
      </c>
      <c r="BB29" s="71" t="n">
        <v>1</v>
      </c>
      <c r="BC29" s="71" t="n">
        <v>1</v>
      </c>
      <c r="BD29" s="71" t="n">
        <v>1</v>
      </c>
      <c r="BE29" s="71" t="n">
        <v>1</v>
      </c>
      <c r="BF29" s="71" t="n">
        <v>1</v>
      </c>
      <c r="BG29" s="71" t="n">
        <v>1</v>
      </c>
      <c r="BH29" s="71" t="n">
        <v>1</v>
      </c>
      <c r="BI29" s="71" t="n">
        <v>1</v>
      </c>
      <c r="BJ29" s="71" t="n">
        <v>1</v>
      </c>
      <c r="BK29" s="71" t="n">
        <v>1</v>
      </c>
      <c r="BL29" s="71" t="n">
        <v>1</v>
      </c>
      <c r="BM29" s="71" t="n">
        <v>1</v>
      </c>
      <c r="BN29" s="71" t="n">
        <v>1</v>
      </c>
      <c r="BO29" s="71" t="n">
        <v>1</v>
      </c>
      <c r="BP29" s="71" t="n">
        <v>1</v>
      </c>
      <c r="BQ29" s="71" t="n">
        <v>1</v>
      </c>
      <c r="BR29" s="71" t="n">
        <v>1</v>
      </c>
      <c r="BS29" s="71" t="n">
        <v>1</v>
      </c>
      <c r="BT29" s="71" t="n">
        <v>1</v>
      </c>
      <c r="BU29" s="71" t="n">
        <v>1</v>
      </c>
      <c r="BV29" s="71" t="n">
        <v>1</v>
      </c>
      <c r="BW29" s="71" t="n">
        <v>1</v>
      </c>
      <c r="BX29" s="71" t="n">
        <v>1</v>
      </c>
      <c r="BY29" s="71" t="n">
        <v>1</v>
      </c>
      <c r="BZ29" s="71" t="n">
        <v>1</v>
      </c>
      <c r="CA29" s="71" t="n">
        <v>1</v>
      </c>
      <c r="CB29" s="71" t="n">
        <v>1</v>
      </c>
      <c r="CC29" s="71" t="n">
        <v>1</v>
      </c>
      <c r="CD29" s="71" t="n">
        <v>1</v>
      </c>
    </row>
    <row r="30">
      <c r="A30" t="inlineStr">
        <is>
          <t>Scenario 10</t>
        </is>
      </c>
      <c r="C30" s="71" t="n">
        <v>1</v>
      </c>
      <c r="D30" s="71" t="n">
        <v>1</v>
      </c>
      <c r="E30" s="71" t="n">
        <v>1</v>
      </c>
      <c r="F30" s="71" t="n">
        <v>1</v>
      </c>
      <c r="G30" s="71" t="n">
        <v>1</v>
      </c>
      <c r="H30" s="71" t="n">
        <v>1</v>
      </c>
      <c r="I30" s="71" t="n">
        <v>1</v>
      </c>
      <c r="J30" s="71" t="n">
        <v>1</v>
      </c>
      <c r="K30" s="71" t="n">
        <v>1</v>
      </c>
      <c r="L30" s="71" t="n">
        <v>1</v>
      </c>
      <c r="M30" s="71" t="n">
        <v>1</v>
      </c>
      <c r="N30" s="71" t="n">
        <v>1</v>
      </c>
      <c r="O30" s="71" t="n">
        <v>1</v>
      </c>
      <c r="P30" s="71" t="n">
        <v>1</v>
      </c>
      <c r="Q30" s="71" t="n">
        <v>1</v>
      </c>
      <c r="R30" s="71" t="n">
        <v>1</v>
      </c>
      <c r="S30" s="71" t="n">
        <v>1</v>
      </c>
      <c r="T30" s="71" t="n">
        <v>1</v>
      </c>
      <c r="U30" s="71" t="n">
        <v>1</v>
      </c>
      <c r="V30" s="71" t="n">
        <v>1</v>
      </c>
      <c r="W30" s="71" t="n">
        <v>1</v>
      </c>
      <c r="X30" s="71" t="n">
        <v>1</v>
      </c>
      <c r="Y30" s="71" t="n">
        <v>1</v>
      </c>
      <c r="Z30" s="71" t="n">
        <v>1</v>
      </c>
      <c r="AA30" s="71" t="n">
        <v>1</v>
      </c>
      <c r="AB30" s="71" t="n">
        <v>1</v>
      </c>
      <c r="AC30" s="71" t="n">
        <v>1</v>
      </c>
      <c r="AD30" s="71" t="n">
        <v>1</v>
      </c>
      <c r="AE30" s="71" t="n">
        <v>1</v>
      </c>
      <c r="AF30" s="71" t="n">
        <v>1</v>
      </c>
      <c r="AG30" s="71" t="n">
        <v>1</v>
      </c>
      <c r="AH30" s="71" t="n">
        <v>1</v>
      </c>
      <c r="AI30" s="71" t="n">
        <v>1</v>
      </c>
      <c r="AJ30" s="71" t="n">
        <v>1</v>
      </c>
      <c r="AK30" s="71" t="n">
        <v>1</v>
      </c>
      <c r="AL30" s="71" t="n">
        <v>1</v>
      </c>
      <c r="AM30" s="71" t="n">
        <v>1</v>
      </c>
      <c r="AN30" s="71" t="n">
        <v>1</v>
      </c>
      <c r="AO30" s="71" t="n">
        <v>1</v>
      </c>
      <c r="AP30" s="71" t="n">
        <v>1</v>
      </c>
      <c r="AQ30" s="71" t="n">
        <v>1</v>
      </c>
      <c r="AR30" s="71" t="n">
        <v>1</v>
      </c>
      <c r="AS30" s="71" t="n">
        <v>1</v>
      </c>
      <c r="AT30" s="71" t="n">
        <v>1</v>
      </c>
      <c r="AU30" s="71" t="n">
        <v>1</v>
      </c>
      <c r="AV30" s="71" t="n">
        <v>1</v>
      </c>
      <c r="AW30" s="71" t="n">
        <v>1</v>
      </c>
      <c r="AX30" s="71" t="n">
        <v>1</v>
      </c>
      <c r="AY30" s="71" t="n">
        <v>1</v>
      </c>
      <c r="AZ30" s="71" t="n">
        <v>1</v>
      </c>
      <c r="BA30" s="71" t="n">
        <v>1</v>
      </c>
      <c r="BB30" s="71" t="n">
        <v>1</v>
      </c>
      <c r="BC30" s="71" t="n">
        <v>1</v>
      </c>
      <c r="BD30" s="71" t="n">
        <v>1</v>
      </c>
      <c r="BE30" s="71" t="n">
        <v>1</v>
      </c>
      <c r="BF30" s="71" t="n">
        <v>1</v>
      </c>
      <c r="BG30" s="71" t="n">
        <v>1</v>
      </c>
      <c r="BH30" s="71" t="n">
        <v>1</v>
      </c>
      <c r="BI30" s="71" t="n">
        <v>1</v>
      </c>
      <c r="BJ30" s="71" t="n">
        <v>1</v>
      </c>
      <c r="BK30" s="71" t="n">
        <v>1</v>
      </c>
      <c r="BL30" s="71" t="n">
        <v>1</v>
      </c>
      <c r="BM30" s="71" t="n">
        <v>1</v>
      </c>
      <c r="BN30" s="71" t="n">
        <v>1</v>
      </c>
      <c r="BO30" s="71" t="n">
        <v>1</v>
      </c>
      <c r="BP30" s="71" t="n">
        <v>1</v>
      </c>
      <c r="BQ30" s="71" t="n">
        <v>1</v>
      </c>
      <c r="BR30" s="71" t="n">
        <v>1</v>
      </c>
      <c r="BS30" s="71" t="n">
        <v>1</v>
      </c>
      <c r="BT30" s="71" t="n">
        <v>1</v>
      </c>
      <c r="BU30" s="71" t="n">
        <v>1</v>
      </c>
      <c r="BV30" s="71" t="n">
        <v>1</v>
      </c>
      <c r="BW30" s="71" t="n">
        <v>1</v>
      </c>
      <c r="BX30" s="71" t="n">
        <v>1</v>
      </c>
      <c r="BY30" s="71" t="n">
        <v>1</v>
      </c>
      <c r="BZ30" s="71" t="n">
        <v>1</v>
      </c>
      <c r="CA30" s="71" t="n">
        <v>1</v>
      </c>
      <c r="CB30" s="71" t="n">
        <v>1</v>
      </c>
      <c r="CC30" s="71" t="n">
        <v>1</v>
      </c>
      <c r="CD30" s="71" t="n">
        <v>1</v>
      </c>
    </row>
    <row r="31">
      <c r="A31" s="41" t="inlineStr">
        <is>
          <t>ACTIVE — Opex Volume Index</t>
        </is>
      </c>
      <c r="C31" s="72">
        <f>INDEX(C$21:C$30,Cover!$B$20)</f>
        <v/>
      </c>
      <c r="D31" s="72">
        <f>INDEX(D$21:D$30,Cover!$B$20)</f>
        <v/>
      </c>
      <c r="E31" s="72">
        <f>INDEX(E$21:E$30,Cover!$B$20)</f>
        <v/>
      </c>
      <c r="F31" s="72">
        <f>INDEX(F$21:F$30,Cover!$B$20)</f>
        <v/>
      </c>
      <c r="G31" s="72">
        <f>INDEX(G$21:G$30,Cover!$B$20)</f>
        <v/>
      </c>
      <c r="H31" s="72">
        <f>INDEX(H$21:H$30,Cover!$B$20)</f>
        <v/>
      </c>
      <c r="I31" s="72">
        <f>INDEX(I$21:I$30,Cover!$B$20)</f>
        <v/>
      </c>
      <c r="J31" s="72">
        <f>INDEX(J$21:J$30,Cover!$B$20)</f>
        <v/>
      </c>
      <c r="K31" s="72">
        <f>INDEX(K$21:K$30,Cover!$B$20)</f>
        <v/>
      </c>
      <c r="L31" s="72">
        <f>INDEX(L$21:L$30,Cover!$B$20)</f>
        <v/>
      </c>
      <c r="M31" s="72">
        <f>INDEX(M$21:M$30,Cover!$B$20)</f>
        <v/>
      </c>
      <c r="N31" s="72">
        <f>INDEX(N$21:N$30,Cover!$B$20)</f>
        <v/>
      </c>
      <c r="O31" s="72">
        <f>INDEX(O$21:O$30,Cover!$B$20)</f>
        <v/>
      </c>
      <c r="P31" s="72">
        <f>INDEX(P$21:P$30,Cover!$B$20)</f>
        <v/>
      </c>
      <c r="Q31" s="72">
        <f>INDEX(Q$21:Q$30,Cover!$B$20)</f>
        <v/>
      </c>
      <c r="R31" s="72">
        <f>INDEX(R$21:R$30,Cover!$B$20)</f>
        <v/>
      </c>
      <c r="S31" s="72">
        <f>INDEX(S$21:S$30,Cover!$B$20)</f>
        <v/>
      </c>
      <c r="T31" s="72">
        <f>INDEX(T$21:T$30,Cover!$B$20)</f>
        <v/>
      </c>
      <c r="U31" s="72">
        <f>INDEX(U$21:U$30,Cover!$B$20)</f>
        <v/>
      </c>
      <c r="V31" s="72">
        <f>INDEX(V$21:V$30,Cover!$B$20)</f>
        <v/>
      </c>
      <c r="W31" s="72">
        <f>INDEX(W$21:W$30,Cover!$B$20)</f>
        <v/>
      </c>
      <c r="X31" s="72">
        <f>INDEX(X$21:X$30,Cover!$B$20)</f>
        <v/>
      </c>
      <c r="Y31" s="72">
        <f>INDEX(Y$21:Y$30,Cover!$B$20)</f>
        <v/>
      </c>
      <c r="Z31" s="72">
        <f>INDEX(Z$21:Z$30,Cover!$B$20)</f>
        <v/>
      </c>
      <c r="AA31" s="72">
        <f>INDEX(AA$21:AA$30,Cover!$B$20)</f>
        <v/>
      </c>
      <c r="AB31" s="72">
        <f>INDEX(AB$21:AB$30,Cover!$B$20)</f>
        <v/>
      </c>
      <c r="AC31" s="72">
        <f>INDEX(AC$21:AC$30,Cover!$B$20)</f>
        <v/>
      </c>
      <c r="AD31" s="72">
        <f>INDEX(AD$21:AD$30,Cover!$B$20)</f>
        <v/>
      </c>
      <c r="AE31" s="72">
        <f>INDEX(AE$21:AE$30,Cover!$B$20)</f>
        <v/>
      </c>
      <c r="AF31" s="72">
        <f>INDEX(AF$21:AF$30,Cover!$B$20)</f>
        <v/>
      </c>
      <c r="AG31" s="72">
        <f>INDEX(AG$21:AG$30,Cover!$B$20)</f>
        <v/>
      </c>
      <c r="AH31" s="72">
        <f>INDEX(AH$21:AH$30,Cover!$B$20)</f>
        <v/>
      </c>
      <c r="AI31" s="72">
        <f>INDEX(AI$21:AI$30,Cover!$B$20)</f>
        <v/>
      </c>
      <c r="AJ31" s="72">
        <f>INDEX(AJ$21:AJ$30,Cover!$B$20)</f>
        <v/>
      </c>
      <c r="AK31" s="72">
        <f>INDEX(AK$21:AK$30,Cover!$B$20)</f>
        <v/>
      </c>
      <c r="AL31" s="72">
        <f>INDEX(AL$21:AL$30,Cover!$B$20)</f>
        <v/>
      </c>
      <c r="AM31" s="72">
        <f>INDEX(AM$21:AM$30,Cover!$B$20)</f>
        <v/>
      </c>
      <c r="AN31" s="72">
        <f>INDEX(AN$21:AN$30,Cover!$B$20)</f>
        <v/>
      </c>
      <c r="AO31" s="72">
        <f>INDEX(AO$21:AO$30,Cover!$B$20)</f>
        <v/>
      </c>
      <c r="AP31" s="72">
        <f>INDEX(AP$21:AP$30,Cover!$B$20)</f>
        <v/>
      </c>
      <c r="AQ31" s="72">
        <f>INDEX(AQ$21:AQ$30,Cover!$B$20)</f>
        <v/>
      </c>
      <c r="AR31" s="72">
        <f>INDEX(AR$21:AR$30,Cover!$B$20)</f>
        <v/>
      </c>
      <c r="AS31" s="72">
        <f>INDEX(AS$21:AS$30,Cover!$B$20)</f>
        <v/>
      </c>
      <c r="AT31" s="72">
        <f>INDEX(AT$21:AT$30,Cover!$B$20)</f>
        <v/>
      </c>
      <c r="AU31" s="72">
        <f>INDEX(AU$21:AU$30,Cover!$B$20)</f>
        <v/>
      </c>
      <c r="AV31" s="72">
        <f>INDEX(AV$21:AV$30,Cover!$B$20)</f>
        <v/>
      </c>
      <c r="AW31" s="72">
        <f>INDEX(AW$21:AW$30,Cover!$B$20)</f>
        <v/>
      </c>
      <c r="AX31" s="72">
        <f>INDEX(AX$21:AX$30,Cover!$B$20)</f>
        <v/>
      </c>
      <c r="AY31" s="72">
        <f>INDEX(AY$21:AY$30,Cover!$B$20)</f>
        <v/>
      </c>
      <c r="AZ31" s="72">
        <f>INDEX(AZ$21:AZ$30,Cover!$B$20)</f>
        <v/>
      </c>
      <c r="BA31" s="72">
        <f>INDEX(BA$21:BA$30,Cover!$B$20)</f>
        <v/>
      </c>
      <c r="BB31" s="72">
        <f>INDEX(BB$21:BB$30,Cover!$B$20)</f>
        <v/>
      </c>
      <c r="BC31" s="72">
        <f>INDEX(BC$21:BC$30,Cover!$B$20)</f>
        <v/>
      </c>
      <c r="BD31" s="72">
        <f>INDEX(BD$21:BD$30,Cover!$B$20)</f>
        <v/>
      </c>
      <c r="BE31" s="72">
        <f>INDEX(BE$21:BE$30,Cover!$B$20)</f>
        <v/>
      </c>
      <c r="BF31" s="72">
        <f>INDEX(BF$21:BF$30,Cover!$B$20)</f>
        <v/>
      </c>
      <c r="BG31" s="72">
        <f>INDEX(BG$21:BG$30,Cover!$B$20)</f>
        <v/>
      </c>
      <c r="BH31" s="72">
        <f>INDEX(BH$21:BH$30,Cover!$B$20)</f>
        <v/>
      </c>
      <c r="BI31" s="72">
        <f>INDEX(BI$21:BI$30,Cover!$B$20)</f>
        <v/>
      </c>
      <c r="BJ31" s="72">
        <f>INDEX(BJ$21:BJ$30,Cover!$B$20)</f>
        <v/>
      </c>
      <c r="BK31" s="72">
        <f>INDEX(BK$21:BK$30,Cover!$B$20)</f>
        <v/>
      </c>
      <c r="BL31" s="72">
        <f>INDEX(BL$21:BL$30,Cover!$B$20)</f>
        <v/>
      </c>
      <c r="BM31" s="72">
        <f>INDEX(BM$21:BM$30,Cover!$B$20)</f>
        <v/>
      </c>
      <c r="BN31" s="72">
        <f>INDEX(BN$21:BN$30,Cover!$B$20)</f>
        <v/>
      </c>
      <c r="BO31" s="72">
        <f>INDEX(BO$21:BO$30,Cover!$B$20)</f>
        <v/>
      </c>
      <c r="BP31" s="72">
        <f>INDEX(BP$21:BP$30,Cover!$B$20)</f>
        <v/>
      </c>
      <c r="BQ31" s="72">
        <f>INDEX(BQ$21:BQ$30,Cover!$B$20)</f>
        <v/>
      </c>
      <c r="BR31" s="72">
        <f>INDEX(BR$21:BR$30,Cover!$B$20)</f>
        <v/>
      </c>
      <c r="BS31" s="72">
        <f>INDEX(BS$21:BS$30,Cover!$B$20)</f>
        <v/>
      </c>
      <c r="BT31" s="72">
        <f>INDEX(BT$21:BT$30,Cover!$B$20)</f>
        <v/>
      </c>
      <c r="BU31" s="72">
        <f>INDEX(BU$21:BU$30,Cover!$B$20)</f>
        <v/>
      </c>
      <c r="BV31" s="72">
        <f>INDEX(BV$21:BV$30,Cover!$B$20)</f>
        <v/>
      </c>
      <c r="BW31" s="72">
        <f>INDEX(BW$21:BW$30,Cover!$B$20)</f>
        <v/>
      </c>
      <c r="BX31" s="72">
        <f>INDEX(BX$21:BX$30,Cover!$B$20)</f>
        <v/>
      </c>
      <c r="BY31" s="72">
        <f>INDEX(BY$21:BY$30,Cover!$B$20)</f>
        <v/>
      </c>
      <c r="BZ31" s="72">
        <f>INDEX(BZ$21:BZ$30,Cover!$B$20)</f>
        <v/>
      </c>
      <c r="CA31" s="72">
        <f>INDEX(CA$21:CA$30,Cover!$B$20)</f>
        <v/>
      </c>
      <c r="CB31" s="72">
        <f>INDEX(CB$21:CB$30,Cover!$B$20)</f>
        <v/>
      </c>
      <c r="CC31" s="72">
        <f>INDEX(CC$21:CC$30,Cover!$B$20)</f>
        <v/>
      </c>
      <c r="CD31" s="72">
        <f>INDEX(CD$21:CD$30,Cover!$B$20)</f>
        <v/>
      </c>
    </row>
    <row r="33">
      <c r="A33" s="41" t="inlineStr">
        <is>
          <t>Lumpy Maintenance Capex ($, by scenario) — overhauls; routine spend is a % of revenue</t>
        </is>
      </c>
    </row>
    <row r="34">
      <c r="A34" t="inlineStr">
        <is>
          <t>Scenario 1</t>
        </is>
      </c>
      <c r="C34" s="65" t="n">
        <v>0</v>
      </c>
      <c r="D34" s="65" t="n">
        <v>0</v>
      </c>
      <c r="E34" s="65" t="n">
        <v>0</v>
      </c>
      <c r="F34" s="65" t="n">
        <v>0</v>
      </c>
      <c r="G34" s="65" t="n">
        <v>0</v>
      </c>
      <c r="H34" s="65" t="n">
        <v>0</v>
      </c>
      <c r="I34" s="65" t="n">
        <v>0</v>
      </c>
      <c r="J34" s="65" t="n">
        <v>0</v>
      </c>
      <c r="K34" s="65" t="n">
        <v>0</v>
      </c>
      <c r="L34" s="65" t="n">
        <v>0</v>
      </c>
      <c r="M34" s="65" t="n">
        <v>0</v>
      </c>
      <c r="N34" s="65" t="n">
        <v>0</v>
      </c>
      <c r="O34" s="65" t="n">
        <v>0</v>
      </c>
      <c r="P34" s="65" t="n">
        <v>0</v>
      </c>
      <c r="Q34" s="65" t="n">
        <v>0</v>
      </c>
      <c r="R34" s="65" t="n">
        <v>0</v>
      </c>
      <c r="S34" s="65" t="n">
        <v>0</v>
      </c>
      <c r="T34" s="65" t="n">
        <v>0</v>
      </c>
      <c r="U34" s="65" t="n">
        <v>0</v>
      </c>
      <c r="V34" s="65" t="n">
        <v>2000000</v>
      </c>
      <c r="W34" s="65" t="n">
        <v>0</v>
      </c>
      <c r="X34" s="65" t="n">
        <v>0</v>
      </c>
      <c r="Y34" s="65" t="n">
        <v>0</v>
      </c>
      <c r="Z34" s="65" t="n">
        <v>0</v>
      </c>
      <c r="AA34" s="65" t="n">
        <v>0</v>
      </c>
      <c r="AB34" s="65" t="n">
        <v>0</v>
      </c>
      <c r="AC34" s="65" t="n">
        <v>0</v>
      </c>
      <c r="AD34" s="65" t="n">
        <v>0</v>
      </c>
      <c r="AE34" s="65" t="n">
        <v>0</v>
      </c>
      <c r="AF34" s="65" t="n">
        <v>0</v>
      </c>
      <c r="AG34" s="65" t="n">
        <v>0</v>
      </c>
      <c r="AH34" s="65" t="n">
        <v>0</v>
      </c>
      <c r="AI34" s="65" t="n">
        <v>0</v>
      </c>
      <c r="AJ34" s="65" t="n">
        <v>0</v>
      </c>
      <c r="AK34" s="65" t="n">
        <v>0</v>
      </c>
      <c r="AL34" s="65" t="n">
        <v>0</v>
      </c>
      <c r="AM34" s="65" t="n">
        <v>0</v>
      </c>
      <c r="AN34" s="65" t="n">
        <v>0</v>
      </c>
      <c r="AO34" s="65" t="n">
        <v>0</v>
      </c>
      <c r="AP34" s="65" t="n">
        <v>2000000</v>
      </c>
      <c r="AQ34" s="65" t="n">
        <v>0</v>
      </c>
      <c r="AR34" s="65" t="n">
        <v>0</v>
      </c>
      <c r="AS34" s="65" t="n">
        <v>0</v>
      </c>
      <c r="AT34" s="65" t="n">
        <v>0</v>
      </c>
      <c r="AU34" s="65" t="n">
        <v>0</v>
      </c>
      <c r="AV34" s="65" t="n">
        <v>0</v>
      </c>
      <c r="AW34" s="65" t="n">
        <v>0</v>
      </c>
      <c r="AX34" s="65" t="n">
        <v>0</v>
      </c>
      <c r="AY34" s="65" t="n">
        <v>0</v>
      </c>
      <c r="AZ34" s="65" t="n">
        <v>0</v>
      </c>
      <c r="BA34" s="65" t="n">
        <v>0</v>
      </c>
      <c r="BB34" s="65" t="n">
        <v>0</v>
      </c>
      <c r="BC34" s="65" t="n">
        <v>0</v>
      </c>
      <c r="BD34" s="65" t="n">
        <v>0</v>
      </c>
      <c r="BE34" s="65" t="n">
        <v>0</v>
      </c>
      <c r="BF34" s="65" t="n">
        <v>0</v>
      </c>
      <c r="BG34" s="65" t="n">
        <v>0</v>
      </c>
      <c r="BH34" s="65" t="n">
        <v>0</v>
      </c>
      <c r="BI34" s="65" t="n">
        <v>0</v>
      </c>
      <c r="BJ34" s="65" t="n">
        <v>2000000</v>
      </c>
      <c r="BK34" s="65" t="n">
        <v>0</v>
      </c>
      <c r="BL34" s="65" t="n">
        <v>0</v>
      </c>
      <c r="BM34" s="65" t="n">
        <v>0</v>
      </c>
      <c r="BN34" s="65" t="n">
        <v>0</v>
      </c>
      <c r="BO34" s="65" t="n">
        <v>0</v>
      </c>
      <c r="BP34" s="65" t="n">
        <v>0</v>
      </c>
      <c r="BQ34" s="65" t="n">
        <v>0</v>
      </c>
      <c r="BR34" s="65" t="n">
        <v>0</v>
      </c>
      <c r="BS34" s="65" t="n">
        <v>0</v>
      </c>
      <c r="BT34" s="65" t="n">
        <v>0</v>
      </c>
      <c r="BU34" s="65" t="n">
        <v>0</v>
      </c>
      <c r="BV34" s="65" t="n">
        <v>0</v>
      </c>
      <c r="BW34" s="65" t="n">
        <v>0</v>
      </c>
      <c r="BX34" s="65" t="n">
        <v>0</v>
      </c>
      <c r="BY34" s="65" t="n">
        <v>0</v>
      </c>
      <c r="BZ34" s="65" t="n">
        <v>0</v>
      </c>
      <c r="CA34" s="65" t="n">
        <v>0</v>
      </c>
      <c r="CB34" s="65" t="n">
        <v>0</v>
      </c>
      <c r="CC34" s="65" t="n">
        <v>0</v>
      </c>
      <c r="CD34" s="65" t="n">
        <v>2000000</v>
      </c>
    </row>
    <row r="35">
      <c r="A35" t="inlineStr">
        <is>
          <t>Scenario 2</t>
        </is>
      </c>
      <c r="C35" s="65" t="n">
        <v>0</v>
      </c>
      <c r="D35" s="65" t="n">
        <v>0</v>
      </c>
      <c r="E35" s="65" t="n">
        <v>0</v>
      </c>
      <c r="F35" s="65" t="n">
        <v>0</v>
      </c>
      <c r="G35" s="65" t="n">
        <v>0</v>
      </c>
      <c r="H35" s="65" t="n">
        <v>0</v>
      </c>
      <c r="I35" s="65" t="n">
        <v>0</v>
      </c>
      <c r="J35" s="65" t="n">
        <v>0</v>
      </c>
      <c r="K35" s="65" t="n">
        <v>0</v>
      </c>
      <c r="L35" s="65" t="n">
        <v>0</v>
      </c>
      <c r="M35" s="65" t="n">
        <v>0</v>
      </c>
      <c r="N35" s="65" t="n">
        <v>0</v>
      </c>
      <c r="O35" s="65" t="n">
        <v>0</v>
      </c>
      <c r="P35" s="65" t="n">
        <v>0</v>
      </c>
      <c r="Q35" s="65" t="n">
        <v>0</v>
      </c>
      <c r="R35" s="65" t="n">
        <v>0</v>
      </c>
      <c r="S35" s="65" t="n">
        <v>0</v>
      </c>
      <c r="T35" s="65" t="n">
        <v>0</v>
      </c>
      <c r="U35" s="65" t="n">
        <v>0</v>
      </c>
      <c r="V35" s="65" t="n">
        <v>2000000</v>
      </c>
      <c r="W35" s="65" t="n">
        <v>0</v>
      </c>
      <c r="X35" s="65" t="n">
        <v>0</v>
      </c>
      <c r="Y35" s="65" t="n">
        <v>0</v>
      </c>
      <c r="Z35" s="65" t="n">
        <v>0</v>
      </c>
      <c r="AA35" s="65" t="n">
        <v>0</v>
      </c>
      <c r="AB35" s="65" t="n">
        <v>0</v>
      </c>
      <c r="AC35" s="65" t="n">
        <v>0</v>
      </c>
      <c r="AD35" s="65" t="n">
        <v>0</v>
      </c>
      <c r="AE35" s="65" t="n">
        <v>0</v>
      </c>
      <c r="AF35" s="65" t="n">
        <v>0</v>
      </c>
      <c r="AG35" s="65" t="n">
        <v>0</v>
      </c>
      <c r="AH35" s="65" t="n">
        <v>0</v>
      </c>
      <c r="AI35" s="65" t="n">
        <v>0</v>
      </c>
      <c r="AJ35" s="65" t="n">
        <v>0</v>
      </c>
      <c r="AK35" s="65" t="n">
        <v>0</v>
      </c>
      <c r="AL35" s="65" t="n">
        <v>0</v>
      </c>
      <c r="AM35" s="65" t="n">
        <v>0</v>
      </c>
      <c r="AN35" s="65" t="n">
        <v>0</v>
      </c>
      <c r="AO35" s="65" t="n">
        <v>0</v>
      </c>
      <c r="AP35" s="65" t="n">
        <v>2000000</v>
      </c>
      <c r="AQ35" s="65" t="n">
        <v>0</v>
      </c>
      <c r="AR35" s="65" t="n">
        <v>0</v>
      </c>
      <c r="AS35" s="65" t="n">
        <v>0</v>
      </c>
      <c r="AT35" s="65" t="n">
        <v>0</v>
      </c>
      <c r="AU35" s="65" t="n">
        <v>0</v>
      </c>
      <c r="AV35" s="65" t="n">
        <v>0</v>
      </c>
      <c r="AW35" s="65" t="n">
        <v>0</v>
      </c>
      <c r="AX35" s="65" t="n">
        <v>0</v>
      </c>
      <c r="AY35" s="65" t="n">
        <v>0</v>
      </c>
      <c r="AZ35" s="65" t="n">
        <v>0</v>
      </c>
      <c r="BA35" s="65" t="n">
        <v>0</v>
      </c>
      <c r="BB35" s="65" t="n">
        <v>0</v>
      </c>
      <c r="BC35" s="65" t="n">
        <v>0</v>
      </c>
      <c r="BD35" s="65" t="n">
        <v>0</v>
      </c>
      <c r="BE35" s="65" t="n">
        <v>0</v>
      </c>
      <c r="BF35" s="65" t="n">
        <v>0</v>
      </c>
      <c r="BG35" s="65" t="n">
        <v>0</v>
      </c>
      <c r="BH35" s="65" t="n">
        <v>0</v>
      </c>
      <c r="BI35" s="65" t="n">
        <v>0</v>
      </c>
      <c r="BJ35" s="65" t="n">
        <v>2000000</v>
      </c>
      <c r="BK35" s="65" t="n">
        <v>0</v>
      </c>
      <c r="BL35" s="65" t="n">
        <v>0</v>
      </c>
      <c r="BM35" s="65" t="n">
        <v>0</v>
      </c>
      <c r="BN35" s="65" t="n">
        <v>0</v>
      </c>
      <c r="BO35" s="65" t="n">
        <v>0</v>
      </c>
      <c r="BP35" s="65" t="n">
        <v>0</v>
      </c>
      <c r="BQ35" s="65" t="n">
        <v>0</v>
      </c>
      <c r="BR35" s="65" t="n">
        <v>0</v>
      </c>
      <c r="BS35" s="65" t="n">
        <v>0</v>
      </c>
      <c r="BT35" s="65" t="n">
        <v>0</v>
      </c>
      <c r="BU35" s="65" t="n">
        <v>0</v>
      </c>
      <c r="BV35" s="65" t="n">
        <v>0</v>
      </c>
      <c r="BW35" s="65" t="n">
        <v>0</v>
      </c>
      <c r="BX35" s="65" t="n">
        <v>0</v>
      </c>
      <c r="BY35" s="65" t="n">
        <v>0</v>
      </c>
      <c r="BZ35" s="65" t="n">
        <v>0</v>
      </c>
      <c r="CA35" s="65" t="n">
        <v>0</v>
      </c>
      <c r="CB35" s="65" t="n">
        <v>0</v>
      </c>
      <c r="CC35" s="65" t="n">
        <v>0</v>
      </c>
      <c r="CD35" s="65" t="n">
        <v>2000000</v>
      </c>
    </row>
    <row r="36">
      <c r="A36" t="inlineStr">
        <is>
          <t>Scenario 3</t>
        </is>
      </c>
      <c r="C36" s="65" t="n">
        <v>0</v>
      </c>
      <c r="D36" s="65" t="n">
        <v>0</v>
      </c>
      <c r="E36" s="65" t="n">
        <v>0</v>
      </c>
      <c r="F36" s="65" t="n">
        <v>0</v>
      </c>
      <c r="G36" s="65" t="n">
        <v>0</v>
      </c>
      <c r="H36" s="65" t="n">
        <v>0</v>
      </c>
      <c r="I36" s="65" t="n">
        <v>0</v>
      </c>
      <c r="J36" s="65" t="n">
        <v>0</v>
      </c>
      <c r="K36" s="65" t="n">
        <v>0</v>
      </c>
      <c r="L36" s="65" t="n">
        <v>0</v>
      </c>
      <c r="M36" s="65" t="n">
        <v>0</v>
      </c>
      <c r="N36" s="65" t="n">
        <v>0</v>
      </c>
      <c r="O36" s="65" t="n">
        <v>0</v>
      </c>
      <c r="P36" s="65" t="n">
        <v>0</v>
      </c>
      <c r="Q36" s="65" t="n">
        <v>0</v>
      </c>
      <c r="R36" s="65" t="n">
        <v>0</v>
      </c>
      <c r="S36" s="65" t="n">
        <v>0</v>
      </c>
      <c r="T36" s="65" t="n">
        <v>0</v>
      </c>
      <c r="U36" s="65" t="n">
        <v>0</v>
      </c>
      <c r="V36" s="65" t="n">
        <v>2000000</v>
      </c>
      <c r="W36" s="65" t="n">
        <v>0</v>
      </c>
      <c r="X36" s="65" t="n">
        <v>0</v>
      </c>
      <c r="Y36" s="65" t="n">
        <v>0</v>
      </c>
      <c r="Z36" s="65" t="n">
        <v>0</v>
      </c>
      <c r="AA36" s="65" t="n">
        <v>0</v>
      </c>
      <c r="AB36" s="65" t="n">
        <v>0</v>
      </c>
      <c r="AC36" s="65" t="n">
        <v>0</v>
      </c>
      <c r="AD36" s="65" t="n">
        <v>0</v>
      </c>
      <c r="AE36" s="65" t="n">
        <v>0</v>
      </c>
      <c r="AF36" s="65" t="n">
        <v>0</v>
      </c>
      <c r="AG36" s="65" t="n">
        <v>0</v>
      </c>
      <c r="AH36" s="65" t="n">
        <v>0</v>
      </c>
      <c r="AI36" s="65" t="n">
        <v>0</v>
      </c>
      <c r="AJ36" s="65" t="n">
        <v>0</v>
      </c>
      <c r="AK36" s="65" t="n">
        <v>0</v>
      </c>
      <c r="AL36" s="65" t="n">
        <v>0</v>
      </c>
      <c r="AM36" s="65" t="n">
        <v>0</v>
      </c>
      <c r="AN36" s="65" t="n">
        <v>0</v>
      </c>
      <c r="AO36" s="65" t="n">
        <v>0</v>
      </c>
      <c r="AP36" s="65" t="n">
        <v>2000000</v>
      </c>
      <c r="AQ36" s="65" t="n">
        <v>0</v>
      </c>
      <c r="AR36" s="65" t="n">
        <v>0</v>
      </c>
      <c r="AS36" s="65" t="n">
        <v>0</v>
      </c>
      <c r="AT36" s="65" t="n">
        <v>0</v>
      </c>
      <c r="AU36" s="65" t="n">
        <v>0</v>
      </c>
      <c r="AV36" s="65" t="n">
        <v>0</v>
      </c>
      <c r="AW36" s="65" t="n">
        <v>0</v>
      </c>
      <c r="AX36" s="65" t="n">
        <v>0</v>
      </c>
      <c r="AY36" s="65" t="n">
        <v>0</v>
      </c>
      <c r="AZ36" s="65" t="n">
        <v>0</v>
      </c>
      <c r="BA36" s="65" t="n">
        <v>0</v>
      </c>
      <c r="BB36" s="65" t="n">
        <v>0</v>
      </c>
      <c r="BC36" s="65" t="n">
        <v>0</v>
      </c>
      <c r="BD36" s="65" t="n">
        <v>0</v>
      </c>
      <c r="BE36" s="65" t="n">
        <v>0</v>
      </c>
      <c r="BF36" s="65" t="n">
        <v>0</v>
      </c>
      <c r="BG36" s="65" t="n">
        <v>0</v>
      </c>
      <c r="BH36" s="65" t="n">
        <v>0</v>
      </c>
      <c r="BI36" s="65" t="n">
        <v>0</v>
      </c>
      <c r="BJ36" s="65" t="n">
        <v>2000000</v>
      </c>
      <c r="BK36" s="65" t="n">
        <v>0</v>
      </c>
      <c r="BL36" s="65" t="n">
        <v>0</v>
      </c>
      <c r="BM36" s="65" t="n">
        <v>0</v>
      </c>
      <c r="BN36" s="65" t="n">
        <v>0</v>
      </c>
      <c r="BO36" s="65" t="n">
        <v>0</v>
      </c>
      <c r="BP36" s="65" t="n">
        <v>0</v>
      </c>
      <c r="BQ36" s="65" t="n">
        <v>0</v>
      </c>
      <c r="BR36" s="65" t="n">
        <v>0</v>
      </c>
      <c r="BS36" s="65" t="n">
        <v>0</v>
      </c>
      <c r="BT36" s="65" t="n">
        <v>0</v>
      </c>
      <c r="BU36" s="65" t="n">
        <v>0</v>
      </c>
      <c r="BV36" s="65" t="n">
        <v>0</v>
      </c>
      <c r="BW36" s="65" t="n">
        <v>0</v>
      </c>
      <c r="BX36" s="65" t="n">
        <v>0</v>
      </c>
      <c r="BY36" s="65" t="n">
        <v>0</v>
      </c>
      <c r="BZ36" s="65" t="n">
        <v>0</v>
      </c>
      <c r="CA36" s="65" t="n">
        <v>0</v>
      </c>
      <c r="CB36" s="65" t="n">
        <v>0</v>
      </c>
      <c r="CC36" s="65" t="n">
        <v>0</v>
      </c>
      <c r="CD36" s="65" t="n">
        <v>2000000</v>
      </c>
    </row>
    <row r="37">
      <c r="A37" t="inlineStr">
        <is>
          <t>Scenario 4</t>
        </is>
      </c>
      <c r="C37" s="65" t="n">
        <v>0</v>
      </c>
      <c r="D37" s="65" t="n">
        <v>0</v>
      </c>
      <c r="E37" s="65" t="n">
        <v>0</v>
      </c>
      <c r="F37" s="65" t="n">
        <v>0</v>
      </c>
      <c r="G37" s="65" t="n">
        <v>0</v>
      </c>
      <c r="H37" s="65" t="n">
        <v>0</v>
      </c>
      <c r="I37" s="65" t="n">
        <v>0</v>
      </c>
      <c r="J37" s="65" t="n">
        <v>0</v>
      </c>
      <c r="K37" s="65" t="n">
        <v>0</v>
      </c>
      <c r="L37" s="65" t="n">
        <v>0</v>
      </c>
      <c r="M37" s="65" t="n">
        <v>0</v>
      </c>
      <c r="N37" s="65" t="n">
        <v>0</v>
      </c>
      <c r="O37" s="65" t="n">
        <v>0</v>
      </c>
      <c r="P37" s="65" t="n">
        <v>0</v>
      </c>
      <c r="Q37" s="65" t="n">
        <v>0</v>
      </c>
      <c r="R37" s="65" t="n">
        <v>0</v>
      </c>
      <c r="S37" s="65" t="n">
        <v>0</v>
      </c>
      <c r="T37" s="65" t="n">
        <v>0</v>
      </c>
      <c r="U37" s="65" t="n">
        <v>0</v>
      </c>
      <c r="V37" s="65" t="n">
        <v>2000000</v>
      </c>
      <c r="W37" s="65" t="n">
        <v>0</v>
      </c>
      <c r="X37" s="65" t="n">
        <v>0</v>
      </c>
      <c r="Y37" s="65" t="n">
        <v>0</v>
      </c>
      <c r="Z37" s="65" t="n">
        <v>0</v>
      </c>
      <c r="AA37" s="65" t="n">
        <v>0</v>
      </c>
      <c r="AB37" s="65" t="n">
        <v>0</v>
      </c>
      <c r="AC37" s="65" t="n">
        <v>0</v>
      </c>
      <c r="AD37" s="65" t="n">
        <v>0</v>
      </c>
      <c r="AE37" s="65" t="n">
        <v>0</v>
      </c>
      <c r="AF37" s="65" t="n">
        <v>0</v>
      </c>
      <c r="AG37" s="65" t="n">
        <v>0</v>
      </c>
      <c r="AH37" s="65" t="n">
        <v>0</v>
      </c>
      <c r="AI37" s="65" t="n">
        <v>0</v>
      </c>
      <c r="AJ37" s="65" t="n">
        <v>0</v>
      </c>
      <c r="AK37" s="65" t="n">
        <v>0</v>
      </c>
      <c r="AL37" s="65" t="n">
        <v>0</v>
      </c>
      <c r="AM37" s="65" t="n">
        <v>0</v>
      </c>
      <c r="AN37" s="65" t="n">
        <v>0</v>
      </c>
      <c r="AO37" s="65" t="n">
        <v>0</v>
      </c>
      <c r="AP37" s="65" t="n">
        <v>2000000</v>
      </c>
      <c r="AQ37" s="65" t="n">
        <v>0</v>
      </c>
      <c r="AR37" s="65" t="n">
        <v>0</v>
      </c>
      <c r="AS37" s="65" t="n">
        <v>0</v>
      </c>
      <c r="AT37" s="65" t="n">
        <v>0</v>
      </c>
      <c r="AU37" s="65" t="n">
        <v>0</v>
      </c>
      <c r="AV37" s="65" t="n">
        <v>0</v>
      </c>
      <c r="AW37" s="65" t="n">
        <v>0</v>
      </c>
      <c r="AX37" s="65" t="n">
        <v>0</v>
      </c>
      <c r="AY37" s="65" t="n">
        <v>0</v>
      </c>
      <c r="AZ37" s="65" t="n">
        <v>0</v>
      </c>
      <c r="BA37" s="65" t="n">
        <v>0</v>
      </c>
      <c r="BB37" s="65" t="n">
        <v>0</v>
      </c>
      <c r="BC37" s="65" t="n">
        <v>0</v>
      </c>
      <c r="BD37" s="65" t="n">
        <v>0</v>
      </c>
      <c r="BE37" s="65" t="n">
        <v>0</v>
      </c>
      <c r="BF37" s="65" t="n">
        <v>0</v>
      </c>
      <c r="BG37" s="65" t="n">
        <v>0</v>
      </c>
      <c r="BH37" s="65" t="n">
        <v>0</v>
      </c>
      <c r="BI37" s="65" t="n">
        <v>0</v>
      </c>
      <c r="BJ37" s="65" t="n">
        <v>2000000</v>
      </c>
      <c r="BK37" s="65" t="n">
        <v>0</v>
      </c>
      <c r="BL37" s="65" t="n">
        <v>0</v>
      </c>
      <c r="BM37" s="65" t="n">
        <v>0</v>
      </c>
      <c r="BN37" s="65" t="n">
        <v>0</v>
      </c>
      <c r="BO37" s="65" t="n">
        <v>0</v>
      </c>
      <c r="BP37" s="65" t="n">
        <v>0</v>
      </c>
      <c r="BQ37" s="65" t="n">
        <v>0</v>
      </c>
      <c r="BR37" s="65" t="n">
        <v>0</v>
      </c>
      <c r="BS37" s="65" t="n">
        <v>0</v>
      </c>
      <c r="BT37" s="65" t="n">
        <v>0</v>
      </c>
      <c r="BU37" s="65" t="n">
        <v>0</v>
      </c>
      <c r="BV37" s="65" t="n">
        <v>0</v>
      </c>
      <c r="BW37" s="65" t="n">
        <v>0</v>
      </c>
      <c r="BX37" s="65" t="n">
        <v>0</v>
      </c>
      <c r="BY37" s="65" t="n">
        <v>0</v>
      </c>
      <c r="BZ37" s="65" t="n">
        <v>0</v>
      </c>
      <c r="CA37" s="65" t="n">
        <v>0</v>
      </c>
      <c r="CB37" s="65" t="n">
        <v>0</v>
      </c>
      <c r="CC37" s="65" t="n">
        <v>0</v>
      </c>
      <c r="CD37" s="65" t="n">
        <v>2000000</v>
      </c>
    </row>
    <row r="38">
      <c r="A38" t="inlineStr">
        <is>
          <t>Scenario 5</t>
        </is>
      </c>
      <c r="C38" s="65" t="n">
        <v>0</v>
      </c>
      <c r="D38" s="65" t="n">
        <v>0</v>
      </c>
      <c r="E38" s="65" t="n">
        <v>0</v>
      </c>
      <c r="F38" s="65" t="n">
        <v>0</v>
      </c>
      <c r="G38" s="65" t="n">
        <v>0</v>
      </c>
      <c r="H38" s="65" t="n">
        <v>0</v>
      </c>
      <c r="I38" s="65" t="n">
        <v>0</v>
      </c>
      <c r="J38" s="65" t="n">
        <v>0</v>
      </c>
      <c r="K38" s="65" t="n">
        <v>0</v>
      </c>
      <c r="L38" s="65" t="n">
        <v>0</v>
      </c>
      <c r="M38" s="65" t="n">
        <v>0</v>
      </c>
      <c r="N38" s="65" t="n">
        <v>0</v>
      </c>
      <c r="O38" s="65" t="n">
        <v>0</v>
      </c>
      <c r="P38" s="65" t="n">
        <v>0</v>
      </c>
      <c r="Q38" s="65" t="n">
        <v>0</v>
      </c>
      <c r="R38" s="65" t="n">
        <v>0</v>
      </c>
      <c r="S38" s="65" t="n">
        <v>0</v>
      </c>
      <c r="T38" s="65" t="n">
        <v>0</v>
      </c>
      <c r="U38" s="65" t="n">
        <v>0</v>
      </c>
      <c r="V38" s="65" t="n">
        <v>2000000</v>
      </c>
      <c r="W38" s="65" t="n">
        <v>0</v>
      </c>
      <c r="X38" s="65" t="n">
        <v>0</v>
      </c>
      <c r="Y38" s="65" t="n">
        <v>0</v>
      </c>
      <c r="Z38" s="65" t="n">
        <v>0</v>
      </c>
      <c r="AA38" s="65" t="n">
        <v>0</v>
      </c>
      <c r="AB38" s="65" t="n">
        <v>0</v>
      </c>
      <c r="AC38" s="65" t="n">
        <v>0</v>
      </c>
      <c r="AD38" s="65" t="n">
        <v>0</v>
      </c>
      <c r="AE38" s="65" t="n">
        <v>0</v>
      </c>
      <c r="AF38" s="65" t="n">
        <v>0</v>
      </c>
      <c r="AG38" s="65" t="n">
        <v>0</v>
      </c>
      <c r="AH38" s="65" t="n">
        <v>0</v>
      </c>
      <c r="AI38" s="65" t="n">
        <v>0</v>
      </c>
      <c r="AJ38" s="65" t="n">
        <v>0</v>
      </c>
      <c r="AK38" s="65" t="n">
        <v>0</v>
      </c>
      <c r="AL38" s="65" t="n">
        <v>0</v>
      </c>
      <c r="AM38" s="65" t="n">
        <v>0</v>
      </c>
      <c r="AN38" s="65" t="n">
        <v>0</v>
      </c>
      <c r="AO38" s="65" t="n">
        <v>0</v>
      </c>
      <c r="AP38" s="65" t="n">
        <v>2000000</v>
      </c>
      <c r="AQ38" s="65" t="n">
        <v>0</v>
      </c>
      <c r="AR38" s="65" t="n">
        <v>0</v>
      </c>
      <c r="AS38" s="65" t="n">
        <v>0</v>
      </c>
      <c r="AT38" s="65" t="n">
        <v>0</v>
      </c>
      <c r="AU38" s="65" t="n">
        <v>0</v>
      </c>
      <c r="AV38" s="65" t="n">
        <v>0</v>
      </c>
      <c r="AW38" s="65" t="n">
        <v>0</v>
      </c>
      <c r="AX38" s="65" t="n">
        <v>0</v>
      </c>
      <c r="AY38" s="65" t="n">
        <v>0</v>
      </c>
      <c r="AZ38" s="65" t="n">
        <v>0</v>
      </c>
      <c r="BA38" s="65" t="n">
        <v>0</v>
      </c>
      <c r="BB38" s="65" t="n">
        <v>0</v>
      </c>
      <c r="BC38" s="65" t="n">
        <v>0</v>
      </c>
      <c r="BD38" s="65" t="n">
        <v>0</v>
      </c>
      <c r="BE38" s="65" t="n">
        <v>0</v>
      </c>
      <c r="BF38" s="65" t="n">
        <v>0</v>
      </c>
      <c r="BG38" s="65" t="n">
        <v>0</v>
      </c>
      <c r="BH38" s="65" t="n">
        <v>0</v>
      </c>
      <c r="BI38" s="65" t="n">
        <v>0</v>
      </c>
      <c r="BJ38" s="65" t="n">
        <v>2000000</v>
      </c>
      <c r="BK38" s="65" t="n">
        <v>0</v>
      </c>
      <c r="BL38" s="65" t="n">
        <v>0</v>
      </c>
      <c r="BM38" s="65" t="n">
        <v>0</v>
      </c>
      <c r="BN38" s="65" t="n">
        <v>0</v>
      </c>
      <c r="BO38" s="65" t="n">
        <v>0</v>
      </c>
      <c r="BP38" s="65" t="n">
        <v>0</v>
      </c>
      <c r="BQ38" s="65" t="n">
        <v>0</v>
      </c>
      <c r="BR38" s="65" t="n">
        <v>0</v>
      </c>
      <c r="BS38" s="65" t="n">
        <v>0</v>
      </c>
      <c r="BT38" s="65" t="n">
        <v>0</v>
      </c>
      <c r="BU38" s="65" t="n">
        <v>0</v>
      </c>
      <c r="BV38" s="65" t="n">
        <v>0</v>
      </c>
      <c r="BW38" s="65" t="n">
        <v>0</v>
      </c>
      <c r="BX38" s="65" t="n">
        <v>0</v>
      </c>
      <c r="BY38" s="65" t="n">
        <v>0</v>
      </c>
      <c r="BZ38" s="65" t="n">
        <v>0</v>
      </c>
      <c r="CA38" s="65" t="n">
        <v>0</v>
      </c>
      <c r="CB38" s="65" t="n">
        <v>0</v>
      </c>
      <c r="CC38" s="65" t="n">
        <v>0</v>
      </c>
      <c r="CD38" s="65" t="n">
        <v>2000000</v>
      </c>
    </row>
    <row r="39">
      <c r="A39" t="inlineStr">
        <is>
          <t>Scenario 6</t>
        </is>
      </c>
      <c r="C39" s="65" t="n">
        <v>0</v>
      </c>
      <c r="D39" s="65" t="n">
        <v>0</v>
      </c>
      <c r="E39" s="65" t="n">
        <v>0</v>
      </c>
      <c r="F39" s="65" t="n">
        <v>0</v>
      </c>
      <c r="G39" s="65" t="n">
        <v>0</v>
      </c>
      <c r="H39" s="65" t="n">
        <v>0</v>
      </c>
      <c r="I39" s="65" t="n">
        <v>0</v>
      </c>
      <c r="J39" s="65" t="n">
        <v>0</v>
      </c>
      <c r="K39" s="65" t="n">
        <v>0</v>
      </c>
      <c r="L39" s="65" t="n">
        <v>0</v>
      </c>
      <c r="M39" s="65" t="n">
        <v>0</v>
      </c>
      <c r="N39" s="65" t="n">
        <v>0</v>
      </c>
      <c r="O39" s="65" t="n">
        <v>0</v>
      </c>
      <c r="P39" s="65" t="n">
        <v>0</v>
      </c>
      <c r="Q39" s="65" t="n">
        <v>0</v>
      </c>
      <c r="R39" s="65" t="n">
        <v>0</v>
      </c>
      <c r="S39" s="65" t="n">
        <v>0</v>
      </c>
      <c r="T39" s="65" t="n">
        <v>0</v>
      </c>
      <c r="U39" s="65" t="n">
        <v>0</v>
      </c>
      <c r="V39" s="65" t="n">
        <v>2000000</v>
      </c>
      <c r="W39" s="65" t="n">
        <v>0</v>
      </c>
      <c r="X39" s="65" t="n">
        <v>0</v>
      </c>
      <c r="Y39" s="65" t="n">
        <v>0</v>
      </c>
      <c r="Z39" s="65" t="n">
        <v>0</v>
      </c>
      <c r="AA39" s="65" t="n">
        <v>0</v>
      </c>
      <c r="AB39" s="65" t="n">
        <v>0</v>
      </c>
      <c r="AC39" s="65" t="n">
        <v>0</v>
      </c>
      <c r="AD39" s="65" t="n">
        <v>0</v>
      </c>
      <c r="AE39" s="65" t="n">
        <v>0</v>
      </c>
      <c r="AF39" s="65" t="n">
        <v>0</v>
      </c>
      <c r="AG39" s="65" t="n">
        <v>0</v>
      </c>
      <c r="AH39" s="65" t="n">
        <v>0</v>
      </c>
      <c r="AI39" s="65" t="n">
        <v>0</v>
      </c>
      <c r="AJ39" s="65" t="n">
        <v>0</v>
      </c>
      <c r="AK39" s="65" t="n">
        <v>0</v>
      </c>
      <c r="AL39" s="65" t="n">
        <v>0</v>
      </c>
      <c r="AM39" s="65" t="n">
        <v>0</v>
      </c>
      <c r="AN39" s="65" t="n">
        <v>0</v>
      </c>
      <c r="AO39" s="65" t="n">
        <v>0</v>
      </c>
      <c r="AP39" s="65" t="n">
        <v>2000000</v>
      </c>
      <c r="AQ39" s="65" t="n">
        <v>0</v>
      </c>
      <c r="AR39" s="65" t="n">
        <v>0</v>
      </c>
      <c r="AS39" s="65" t="n">
        <v>0</v>
      </c>
      <c r="AT39" s="65" t="n">
        <v>0</v>
      </c>
      <c r="AU39" s="65" t="n">
        <v>0</v>
      </c>
      <c r="AV39" s="65" t="n">
        <v>0</v>
      </c>
      <c r="AW39" s="65" t="n">
        <v>0</v>
      </c>
      <c r="AX39" s="65" t="n">
        <v>0</v>
      </c>
      <c r="AY39" s="65" t="n">
        <v>0</v>
      </c>
      <c r="AZ39" s="65" t="n">
        <v>0</v>
      </c>
      <c r="BA39" s="65" t="n">
        <v>0</v>
      </c>
      <c r="BB39" s="65" t="n">
        <v>0</v>
      </c>
      <c r="BC39" s="65" t="n">
        <v>0</v>
      </c>
      <c r="BD39" s="65" t="n">
        <v>0</v>
      </c>
      <c r="BE39" s="65" t="n">
        <v>0</v>
      </c>
      <c r="BF39" s="65" t="n">
        <v>0</v>
      </c>
      <c r="BG39" s="65" t="n">
        <v>0</v>
      </c>
      <c r="BH39" s="65" t="n">
        <v>0</v>
      </c>
      <c r="BI39" s="65" t="n">
        <v>0</v>
      </c>
      <c r="BJ39" s="65" t="n">
        <v>2000000</v>
      </c>
      <c r="BK39" s="65" t="n">
        <v>0</v>
      </c>
      <c r="BL39" s="65" t="n">
        <v>0</v>
      </c>
      <c r="BM39" s="65" t="n">
        <v>0</v>
      </c>
      <c r="BN39" s="65" t="n">
        <v>0</v>
      </c>
      <c r="BO39" s="65" t="n">
        <v>0</v>
      </c>
      <c r="BP39" s="65" t="n">
        <v>0</v>
      </c>
      <c r="BQ39" s="65" t="n">
        <v>0</v>
      </c>
      <c r="BR39" s="65" t="n">
        <v>0</v>
      </c>
      <c r="BS39" s="65" t="n">
        <v>0</v>
      </c>
      <c r="BT39" s="65" t="n">
        <v>0</v>
      </c>
      <c r="BU39" s="65" t="n">
        <v>0</v>
      </c>
      <c r="BV39" s="65" t="n">
        <v>0</v>
      </c>
      <c r="BW39" s="65" t="n">
        <v>0</v>
      </c>
      <c r="BX39" s="65" t="n">
        <v>0</v>
      </c>
      <c r="BY39" s="65" t="n">
        <v>0</v>
      </c>
      <c r="BZ39" s="65" t="n">
        <v>0</v>
      </c>
      <c r="CA39" s="65" t="n">
        <v>0</v>
      </c>
      <c r="CB39" s="65" t="n">
        <v>0</v>
      </c>
      <c r="CC39" s="65" t="n">
        <v>0</v>
      </c>
      <c r="CD39" s="65" t="n">
        <v>2000000</v>
      </c>
    </row>
    <row r="40">
      <c r="A40" t="inlineStr">
        <is>
          <t>Scenario 7</t>
        </is>
      </c>
      <c r="C40" s="65" t="n">
        <v>0</v>
      </c>
      <c r="D40" s="65" t="n">
        <v>0</v>
      </c>
      <c r="E40" s="65" t="n">
        <v>0</v>
      </c>
      <c r="F40" s="65" t="n">
        <v>0</v>
      </c>
      <c r="G40" s="65" t="n">
        <v>0</v>
      </c>
      <c r="H40" s="65" t="n">
        <v>0</v>
      </c>
      <c r="I40" s="65" t="n">
        <v>0</v>
      </c>
      <c r="J40" s="65" t="n">
        <v>0</v>
      </c>
      <c r="K40" s="65" t="n">
        <v>0</v>
      </c>
      <c r="L40" s="65" t="n">
        <v>0</v>
      </c>
      <c r="M40" s="65" t="n">
        <v>0</v>
      </c>
      <c r="N40" s="65" t="n">
        <v>0</v>
      </c>
      <c r="O40" s="65" t="n">
        <v>0</v>
      </c>
      <c r="P40" s="65" t="n">
        <v>0</v>
      </c>
      <c r="Q40" s="65" t="n">
        <v>0</v>
      </c>
      <c r="R40" s="65" t="n">
        <v>0</v>
      </c>
      <c r="S40" s="65" t="n">
        <v>0</v>
      </c>
      <c r="T40" s="65" t="n">
        <v>0</v>
      </c>
      <c r="U40" s="65" t="n">
        <v>0</v>
      </c>
      <c r="V40" s="65" t="n">
        <v>2000000</v>
      </c>
      <c r="W40" s="65" t="n">
        <v>0</v>
      </c>
      <c r="X40" s="65" t="n">
        <v>0</v>
      </c>
      <c r="Y40" s="65" t="n">
        <v>0</v>
      </c>
      <c r="Z40" s="65" t="n">
        <v>0</v>
      </c>
      <c r="AA40" s="65" t="n">
        <v>0</v>
      </c>
      <c r="AB40" s="65" t="n">
        <v>0</v>
      </c>
      <c r="AC40" s="65" t="n">
        <v>0</v>
      </c>
      <c r="AD40" s="65" t="n">
        <v>0</v>
      </c>
      <c r="AE40" s="65" t="n">
        <v>0</v>
      </c>
      <c r="AF40" s="65" t="n">
        <v>0</v>
      </c>
      <c r="AG40" s="65" t="n">
        <v>0</v>
      </c>
      <c r="AH40" s="65" t="n">
        <v>0</v>
      </c>
      <c r="AI40" s="65" t="n">
        <v>0</v>
      </c>
      <c r="AJ40" s="65" t="n">
        <v>0</v>
      </c>
      <c r="AK40" s="65" t="n">
        <v>0</v>
      </c>
      <c r="AL40" s="65" t="n">
        <v>0</v>
      </c>
      <c r="AM40" s="65" t="n">
        <v>0</v>
      </c>
      <c r="AN40" s="65" t="n">
        <v>0</v>
      </c>
      <c r="AO40" s="65" t="n">
        <v>0</v>
      </c>
      <c r="AP40" s="65" t="n">
        <v>2000000</v>
      </c>
      <c r="AQ40" s="65" t="n">
        <v>0</v>
      </c>
      <c r="AR40" s="65" t="n">
        <v>0</v>
      </c>
      <c r="AS40" s="65" t="n">
        <v>0</v>
      </c>
      <c r="AT40" s="65" t="n">
        <v>0</v>
      </c>
      <c r="AU40" s="65" t="n">
        <v>0</v>
      </c>
      <c r="AV40" s="65" t="n">
        <v>0</v>
      </c>
      <c r="AW40" s="65" t="n">
        <v>0</v>
      </c>
      <c r="AX40" s="65" t="n">
        <v>0</v>
      </c>
      <c r="AY40" s="65" t="n">
        <v>0</v>
      </c>
      <c r="AZ40" s="65" t="n">
        <v>0</v>
      </c>
      <c r="BA40" s="65" t="n">
        <v>0</v>
      </c>
      <c r="BB40" s="65" t="n">
        <v>0</v>
      </c>
      <c r="BC40" s="65" t="n">
        <v>0</v>
      </c>
      <c r="BD40" s="65" t="n">
        <v>0</v>
      </c>
      <c r="BE40" s="65" t="n">
        <v>0</v>
      </c>
      <c r="BF40" s="65" t="n">
        <v>0</v>
      </c>
      <c r="BG40" s="65" t="n">
        <v>0</v>
      </c>
      <c r="BH40" s="65" t="n">
        <v>0</v>
      </c>
      <c r="BI40" s="65" t="n">
        <v>0</v>
      </c>
      <c r="BJ40" s="65" t="n">
        <v>2000000</v>
      </c>
      <c r="BK40" s="65" t="n">
        <v>0</v>
      </c>
      <c r="BL40" s="65" t="n">
        <v>0</v>
      </c>
      <c r="BM40" s="65" t="n">
        <v>0</v>
      </c>
      <c r="BN40" s="65" t="n">
        <v>0</v>
      </c>
      <c r="BO40" s="65" t="n">
        <v>0</v>
      </c>
      <c r="BP40" s="65" t="n">
        <v>0</v>
      </c>
      <c r="BQ40" s="65" t="n">
        <v>0</v>
      </c>
      <c r="BR40" s="65" t="n">
        <v>0</v>
      </c>
      <c r="BS40" s="65" t="n">
        <v>0</v>
      </c>
      <c r="BT40" s="65" t="n">
        <v>0</v>
      </c>
      <c r="BU40" s="65" t="n">
        <v>0</v>
      </c>
      <c r="BV40" s="65" t="n">
        <v>0</v>
      </c>
      <c r="BW40" s="65" t="n">
        <v>0</v>
      </c>
      <c r="BX40" s="65" t="n">
        <v>0</v>
      </c>
      <c r="BY40" s="65" t="n">
        <v>0</v>
      </c>
      <c r="BZ40" s="65" t="n">
        <v>0</v>
      </c>
      <c r="CA40" s="65" t="n">
        <v>0</v>
      </c>
      <c r="CB40" s="65" t="n">
        <v>0</v>
      </c>
      <c r="CC40" s="65" t="n">
        <v>0</v>
      </c>
      <c r="CD40" s="65" t="n">
        <v>2000000</v>
      </c>
    </row>
    <row r="41">
      <c r="A41" t="inlineStr">
        <is>
          <t>Scenario 8</t>
        </is>
      </c>
      <c r="C41" s="65" t="n">
        <v>0</v>
      </c>
      <c r="D41" s="65" t="n">
        <v>0</v>
      </c>
      <c r="E41" s="65" t="n">
        <v>0</v>
      </c>
      <c r="F41" s="65" t="n">
        <v>0</v>
      </c>
      <c r="G41" s="65" t="n">
        <v>0</v>
      </c>
      <c r="H41" s="65" t="n">
        <v>0</v>
      </c>
      <c r="I41" s="65" t="n">
        <v>0</v>
      </c>
      <c r="J41" s="65" t="n">
        <v>0</v>
      </c>
      <c r="K41" s="65" t="n">
        <v>0</v>
      </c>
      <c r="L41" s="65" t="n">
        <v>0</v>
      </c>
      <c r="M41" s="65" t="n">
        <v>0</v>
      </c>
      <c r="N41" s="65" t="n">
        <v>0</v>
      </c>
      <c r="O41" s="65" t="n">
        <v>0</v>
      </c>
      <c r="P41" s="65" t="n">
        <v>0</v>
      </c>
      <c r="Q41" s="65" t="n">
        <v>0</v>
      </c>
      <c r="R41" s="65" t="n">
        <v>0</v>
      </c>
      <c r="S41" s="65" t="n">
        <v>0</v>
      </c>
      <c r="T41" s="65" t="n">
        <v>0</v>
      </c>
      <c r="U41" s="65" t="n">
        <v>0</v>
      </c>
      <c r="V41" s="65" t="n">
        <v>2000000</v>
      </c>
      <c r="W41" s="65" t="n">
        <v>0</v>
      </c>
      <c r="X41" s="65" t="n">
        <v>0</v>
      </c>
      <c r="Y41" s="65" t="n">
        <v>0</v>
      </c>
      <c r="Z41" s="65" t="n">
        <v>0</v>
      </c>
      <c r="AA41" s="65" t="n">
        <v>0</v>
      </c>
      <c r="AB41" s="65" t="n">
        <v>0</v>
      </c>
      <c r="AC41" s="65" t="n">
        <v>0</v>
      </c>
      <c r="AD41" s="65" t="n">
        <v>0</v>
      </c>
      <c r="AE41" s="65" t="n">
        <v>0</v>
      </c>
      <c r="AF41" s="65" t="n">
        <v>0</v>
      </c>
      <c r="AG41" s="65" t="n">
        <v>0</v>
      </c>
      <c r="AH41" s="65" t="n">
        <v>0</v>
      </c>
      <c r="AI41" s="65" t="n">
        <v>0</v>
      </c>
      <c r="AJ41" s="65" t="n">
        <v>0</v>
      </c>
      <c r="AK41" s="65" t="n">
        <v>0</v>
      </c>
      <c r="AL41" s="65" t="n">
        <v>0</v>
      </c>
      <c r="AM41" s="65" t="n">
        <v>0</v>
      </c>
      <c r="AN41" s="65" t="n">
        <v>0</v>
      </c>
      <c r="AO41" s="65" t="n">
        <v>0</v>
      </c>
      <c r="AP41" s="65" t="n">
        <v>2000000</v>
      </c>
      <c r="AQ41" s="65" t="n">
        <v>0</v>
      </c>
      <c r="AR41" s="65" t="n">
        <v>0</v>
      </c>
      <c r="AS41" s="65" t="n">
        <v>0</v>
      </c>
      <c r="AT41" s="65" t="n">
        <v>0</v>
      </c>
      <c r="AU41" s="65" t="n">
        <v>0</v>
      </c>
      <c r="AV41" s="65" t="n">
        <v>0</v>
      </c>
      <c r="AW41" s="65" t="n">
        <v>0</v>
      </c>
      <c r="AX41" s="65" t="n">
        <v>0</v>
      </c>
      <c r="AY41" s="65" t="n">
        <v>0</v>
      </c>
      <c r="AZ41" s="65" t="n">
        <v>0</v>
      </c>
      <c r="BA41" s="65" t="n">
        <v>0</v>
      </c>
      <c r="BB41" s="65" t="n">
        <v>0</v>
      </c>
      <c r="BC41" s="65" t="n">
        <v>0</v>
      </c>
      <c r="BD41" s="65" t="n">
        <v>0</v>
      </c>
      <c r="BE41" s="65" t="n">
        <v>0</v>
      </c>
      <c r="BF41" s="65" t="n">
        <v>0</v>
      </c>
      <c r="BG41" s="65" t="n">
        <v>0</v>
      </c>
      <c r="BH41" s="65" t="n">
        <v>0</v>
      </c>
      <c r="BI41" s="65" t="n">
        <v>0</v>
      </c>
      <c r="BJ41" s="65" t="n">
        <v>2000000</v>
      </c>
      <c r="BK41" s="65" t="n">
        <v>0</v>
      </c>
      <c r="BL41" s="65" t="n">
        <v>0</v>
      </c>
      <c r="BM41" s="65" t="n">
        <v>0</v>
      </c>
      <c r="BN41" s="65" t="n">
        <v>0</v>
      </c>
      <c r="BO41" s="65" t="n">
        <v>0</v>
      </c>
      <c r="BP41" s="65" t="n">
        <v>0</v>
      </c>
      <c r="BQ41" s="65" t="n">
        <v>0</v>
      </c>
      <c r="BR41" s="65" t="n">
        <v>0</v>
      </c>
      <c r="BS41" s="65" t="n">
        <v>0</v>
      </c>
      <c r="BT41" s="65" t="n">
        <v>0</v>
      </c>
      <c r="BU41" s="65" t="n">
        <v>0</v>
      </c>
      <c r="BV41" s="65" t="n">
        <v>0</v>
      </c>
      <c r="BW41" s="65" t="n">
        <v>0</v>
      </c>
      <c r="BX41" s="65" t="n">
        <v>0</v>
      </c>
      <c r="BY41" s="65" t="n">
        <v>0</v>
      </c>
      <c r="BZ41" s="65" t="n">
        <v>0</v>
      </c>
      <c r="CA41" s="65" t="n">
        <v>0</v>
      </c>
      <c r="CB41" s="65" t="n">
        <v>0</v>
      </c>
      <c r="CC41" s="65" t="n">
        <v>0</v>
      </c>
      <c r="CD41" s="65" t="n">
        <v>2000000</v>
      </c>
    </row>
    <row r="42">
      <c r="A42" t="inlineStr">
        <is>
          <t>Scenario 9</t>
        </is>
      </c>
      <c r="C42" s="65" t="n">
        <v>0</v>
      </c>
      <c r="D42" s="65" t="n">
        <v>0</v>
      </c>
      <c r="E42" s="65" t="n">
        <v>0</v>
      </c>
      <c r="F42" s="65" t="n">
        <v>0</v>
      </c>
      <c r="G42" s="65" t="n">
        <v>0</v>
      </c>
      <c r="H42" s="65" t="n">
        <v>0</v>
      </c>
      <c r="I42" s="65" t="n">
        <v>0</v>
      </c>
      <c r="J42" s="65" t="n">
        <v>0</v>
      </c>
      <c r="K42" s="65" t="n">
        <v>0</v>
      </c>
      <c r="L42" s="65" t="n">
        <v>0</v>
      </c>
      <c r="M42" s="65" t="n">
        <v>0</v>
      </c>
      <c r="N42" s="65" t="n">
        <v>0</v>
      </c>
      <c r="O42" s="65" t="n">
        <v>0</v>
      </c>
      <c r="P42" s="65" t="n">
        <v>0</v>
      </c>
      <c r="Q42" s="65" t="n">
        <v>0</v>
      </c>
      <c r="R42" s="65" t="n">
        <v>0</v>
      </c>
      <c r="S42" s="65" t="n">
        <v>0</v>
      </c>
      <c r="T42" s="65" t="n">
        <v>0</v>
      </c>
      <c r="U42" s="65" t="n">
        <v>0</v>
      </c>
      <c r="V42" s="65" t="n">
        <v>2000000</v>
      </c>
      <c r="W42" s="65" t="n">
        <v>0</v>
      </c>
      <c r="X42" s="65" t="n">
        <v>0</v>
      </c>
      <c r="Y42" s="65" t="n">
        <v>0</v>
      </c>
      <c r="Z42" s="65" t="n">
        <v>0</v>
      </c>
      <c r="AA42" s="65" t="n">
        <v>0</v>
      </c>
      <c r="AB42" s="65" t="n">
        <v>0</v>
      </c>
      <c r="AC42" s="65" t="n">
        <v>0</v>
      </c>
      <c r="AD42" s="65" t="n">
        <v>0</v>
      </c>
      <c r="AE42" s="65" t="n">
        <v>0</v>
      </c>
      <c r="AF42" s="65" t="n">
        <v>0</v>
      </c>
      <c r="AG42" s="65" t="n">
        <v>0</v>
      </c>
      <c r="AH42" s="65" t="n">
        <v>0</v>
      </c>
      <c r="AI42" s="65" t="n">
        <v>0</v>
      </c>
      <c r="AJ42" s="65" t="n">
        <v>0</v>
      </c>
      <c r="AK42" s="65" t="n">
        <v>0</v>
      </c>
      <c r="AL42" s="65" t="n">
        <v>0</v>
      </c>
      <c r="AM42" s="65" t="n">
        <v>0</v>
      </c>
      <c r="AN42" s="65" t="n">
        <v>0</v>
      </c>
      <c r="AO42" s="65" t="n">
        <v>0</v>
      </c>
      <c r="AP42" s="65" t="n">
        <v>2000000</v>
      </c>
      <c r="AQ42" s="65" t="n">
        <v>0</v>
      </c>
      <c r="AR42" s="65" t="n">
        <v>0</v>
      </c>
      <c r="AS42" s="65" t="n">
        <v>0</v>
      </c>
      <c r="AT42" s="65" t="n">
        <v>0</v>
      </c>
      <c r="AU42" s="65" t="n">
        <v>0</v>
      </c>
      <c r="AV42" s="65" t="n">
        <v>0</v>
      </c>
      <c r="AW42" s="65" t="n">
        <v>0</v>
      </c>
      <c r="AX42" s="65" t="n">
        <v>0</v>
      </c>
      <c r="AY42" s="65" t="n">
        <v>0</v>
      </c>
      <c r="AZ42" s="65" t="n">
        <v>0</v>
      </c>
      <c r="BA42" s="65" t="n">
        <v>0</v>
      </c>
      <c r="BB42" s="65" t="n">
        <v>0</v>
      </c>
      <c r="BC42" s="65" t="n">
        <v>0</v>
      </c>
      <c r="BD42" s="65" t="n">
        <v>0</v>
      </c>
      <c r="BE42" s="65" t="n">
        <v>0</v>
      </c>
      <c r="BF42" s="65" t="n">
        <v>0</v>
      </c>
      <c r="BG42" s="65" t="n">
        <v>0</v>
      </c>
      <c r="BH42" s="65" t="n">
        <v>0</v>
      </c>
      <c r="BI42" s="65" t="n">
        <v>0</v>
      </c>
      <c r="BJ42" s="65" t="n">
        <v>2000000</v>
      </c>
      <c r="BK42" s="65" t="n">
        <v>0</v>
      </c>
      <c r="BL42" s="65" t="n">
        <v>0</v>
      </c>
      <c r="BM42" s="65" t="n">
        <v>0</v>
      </c>
      <c r="BN42" s="65" t="n">
        <v>0</v>
      </c>
      <c r="BO42" s="65" t="n">
        <v>0</v>
      </c>
      <c r="BP42" s="65" t="n">
        <v>0</v>
      </c>
      <c r="BQ42" s="65" t="n">
        <v>0</v>
      </c>
      <c r="BR42" s="65" t="n">
        <v>0</v>
      </c>
      <c r="BS42" s="65" t="n">
        <v>0</v>
      </c>
      <c r="BT42" s="65" t="n">
        <v>0</v>
      </c>
      <c r="BU42" s="65" t="n">
        <v>0</v>
      </c>
      <c r="BV42" s="65" t="n">
        <v>0</v>
      </c>
      <c r="BW42" s="65" t="n">
        <v>0</v>
      </c>
      <c r="BX42" s="65" t="n">
        <v>0</v>
      </c>
      <c r="BY42" s="65" t="n">
        <v>0</v>
      </c>
      <c r="BZ42" s="65" t="n">
        <v>0</v>
      </c>
      <c r="CA42" s="65" t="n">
        <v>0</v>
      </c>
      <c r="CB42" s="65" t="n">
        <v>0</v>
      </c>
      <c r="CC42" s="65" t="n">
        <v>0</v>
      </c>
      <c r="CD42" s="65" t="n">
        <v>2000000</v>
      </c>
    </row>
    <row r="43">
      <c r="A43" t="inlineStr">
        <is>
          <t>Scenario 10</t>
        </is>
      </c>
      <c r="C43" s="65" t="n">
        <v>0</v>
      </c>
      <c r="D43" s="65" t="n">
        <v>0</v>
      </c>
      <c r="E43" s="65" t="n">
        <v>0</v>
      </c>
      <c r="F43" s="65" t="n">
        <v>0</v>
      </c>
      <c r="G43" s="65" t="n">
        <v>0</v>
      </c>
      <c r="H43" s="65" t="n">
        <v>0</v>
      </c>
      <c r="I43" s="65" t="n">
        <v>0</v>
      </c>
      <c r="J43" s="65" t="n">
        <v>0</v>
      </c>
      <c r="K43" s="65" t="n">
        <v>0</v>
      </c>
      <c r="L43" s="65" t="n">
        <v>0</v>
      </c>
      <c r="M43" s="65" t="n">
        <v>0</v>
      </c>
      <c r="N43" s="65" t="n">
        <v>0</v>
      </c>
      <c r="O43" s="65" t="n">
        <v>0</v>
      </c>
      <c r="P43" s="65" t="n">
        <v>0</v>
      </c>
      <c r="Q43" s="65" t="n">
        <v>0</v>
      </c>
      <c r="R43" s="65" t="n">
        <v>0</v>
      </c>
      <c r="S43" s="65" t="n">
        <v>0</v>
      </c>
      <c r="T43" s="65" t="n">
        <v>0</v>
      </c>
      <c r="U43" s="65" t="n">
        <v>0</v>
      </c>
      <c r="V43" s="65" t="n">
        <v>2000000</v>
      </c>
      <c r="W43" s="65" t="n">
        <v>0</v>
      </c>
      <c r="X43" s="65" t="n">
        <v>0</v>
      </c>
      <c r="Y43" s="65" t="n">
        <v>0</v>
      </c>
      <c r="Z43" s="65" t="n">
        <v>0</v>
      </c>
      <c r="AA43" s="65" t="n">
        <v>0</v>
      </c>
      <c r="AB43" s="65" t="n">
        <v>0</v>
      </c>
      <c r="AC43" s="65" t="n">
        <v>0</v>
      </c>
      <c r="AD43" s="65" t="n">
        <v>0</v>
      </c>
      <c r="AE43" s="65" t="n">
        <v>0</v>
      </c>
      <c r="AF43" s="65" t="n">
        <v>0</v>
      </c>
      <c r="AG43" s="65" t="n">
        <v>0</v>
      </c>
      <c r="AH43" s="65" t="n">
        <v>0</v>
      </c>
      <c r="AI43" s="65" t="n">
        <v>0</v>
      </c>
      <c r="AJ43" s="65" t="n">
        <v>0</v>
      </c>
      <c r="AK43" s="65" t="n">
        <v>0</v>
      </c>
      <c r="AL43" s="65" t="n">
        <v>0</v>
      </c>
      <c r="AM43" s="65" t="n">
        <v>0</v>
      </c>
      <c r="AN43" s="65" t="n">
        <v>0</v>
      </c>
      <c r="AO43" s="65" t="n">
        <v>0</v>
      </c>
      <c r="AP43" s="65" t="n">
        <v>2000000</v>
      </c>
      <c r="AQ43" s="65" t="n">
        <v>0</v>
      </c>
      <c r="AR43" s="65" t="n">
        <v>0</v>
      </c>
      <c r="AS43" s="65" t="n">
        <v>0</v>
      </c>
      <c r="AT43" s="65" t="n">
        <v>0</v>
      </c>
      <c r="AU43" s="65" t="n">
        <v>0</v>
      </c>
      <c r="AV43" s="65" t="n">
        <v>0</v>
      </c>
      <c r="AW43" s="65" t="n">
        <v>0</v>
      </c>
      <c r="AX43" s="65" t="n">
        <v>0</v>
      </c>
      <c r="AY43" s="65" t="n">
        <v>0</v>
      </c>
      <c r="AZ43" s="65" t="n">
        <v>0</v>
      </c>
      <c r="BA43" s="65" t="n">
        <v>0</v>
      </c>
      <c r="BB43" s="65" t="n">
        <v>0</v>
      </c>
      <c r="BC43" s="65" t="n">
        <v>0</v>
      </c>
      <c r="BD43" s="65" t="n">
        <v>0</v>
      </c>
      <c r="BE43" s="65" t="n">
        <v>0</v>
      </c>
      <c r="BF43" s="65" t="n">
        <v>0</v>
      </c>
      <c r="BG43" s="65" t="n">
        <v>0</v>
      </c>
      <c r="BH43" s="65" t="n">
        <v>0</v>
      </c>
      <c r="BI43" s="65" t="n">
        <v>0</v>
      </c>
      <c r="BJ43" s="65" t="n">
        <v>2000000</v>
      </c>
      <c r="BK43" s="65" t="n">
        <v>0</v>
      </c>
      <c r="BL43" s="65" t="n">
        <v>0</v>
      </c>
      <c r="BM43" s="65" t="n">
        <v>0</v>
      </c>
      <c r="BN43" s="65" t="n">
        <v>0</v>
      </c>
      <c r="BO43" s="65" t="n">
        <v>0</v>
      </c>
      <c r="BP43" s="65" t="n">
        <v>0</v>
      </c>
      <c r="BQ43" s="65" t="n">
        <v>0</v>
      </c>
      <c r="BR43" s="65" t="n">
        <v>0</v>
      </c>
      <c r="BS43" s="65" t="n">
        <v>0</v>
      </c>
      <c r="BT43" s="65" t="n">
        <v>0</v>
      </c>
      <c r="BU43" s="65" t="n">
        <v>0</v>
      </c>
      <c r="BV43" s="65" t="n">
        <v>0</v>
      </c>
      <c r="BW43" s="65" t="n">
        <v>0</v>
      </c>
      <c r="BX43" s="65" t="n">
        <v>0</v>
      </c>
      <c r="BY43" s="65" t="n">
        <v>0</v>
      </c>
      <c r="BZ43" s="65" t="n">
        <v>0</v>
      </c>
      <c r="CA43" s="65" t="n">
        <v>0</v>
      </c>
      <c r="CB43" s="65" t="n">
        <v>0</v>
      </c>
      <c r="CC43" s="65" t="n">
        <v>0</v>
      </c>
      <c r="CD43" s="65" t="n">
        <v>2000000</v>
      </c>
    </row>
    <row r="44">
      <c r="A44" s="41" t="inlineStr">
        <is>
          <t>ACTIVE — Lumpy Maintenance Capex ($)</t>
        </is>
      </c>
      <c r="C44" s="64">
        <f>INDEX(C$34:C$43,Cover!$B$20)</f>
        <v/>
      </c>
      <c r="D44" s="64">
        <f>INDEX(D$34:D$43,Cover!$B$20)</f>
        <v/>
      </c>
      <c r="E44" s="64">
        <f>INDEX(E$34:E$43,Cover!$B$20)</f>
        <v/>
      </c>
      <c r="F44" s="64">
        <f>INDEX(F$34:F$43,Cover!$B$20)</f>
        <v/>
      </c>
      <c r="G44" s="64">
        <f>INDEX(G$34:G$43,Cover!$B$20)</f>
        <v/>
      </c>
      <c r="H44" s="64">
        <f>INDEX(H$34:H$43,Cover!$B$20)</f>
        <v/>
      </c>
      <c r="I44" s="64">
        <f>INDEX(I$34:I$43,Cover!$B$20)</f>
        <v/>
      </c>
      <c r="J44" s="64">
        <f>INDEX(J$34:J$43,Cover!$B$20)</f>
        <v/>
      </c>
      <c r="K44" s="64">
        <f>INDEX(K$34:K$43,Cover!$B$20)</f>
        <v/>
      </c>
      <c r="L44" s="64">
        <f>INDEX(L$34:L$43,Cover!$B$20)</f>
        <v/>
      </c>
      <c r="M44" s="64">
        <f>INDEX(M$34:M$43,Cover!$B$20)</f>
        <v/>
      </c>
      <c r="N44" s="64">
        <f>INDEX(N$34:N$43,Cover!$B$20)</f>
        <v/>
      </c>
      <c r="O44" s="64">
        <f>INDEX(O$34:O$43,Cover!$B$20)</f>
        <v/>
      </c>
      <c r="P44" s="64">
        <f>INDEX(P$34:P$43,Cover!$B$20)</f>
        <v/>
      </c>
      <c r="Q44" s="64">
        <f>INDEX(Q$34:Q$43,Cover!$B$20)</f>
        <v/>
      </c>
      <c r="R44" s="64">
        <f>INDEX(R$34:R$43,Cover!$B$20)</f>
        <v/>
      </c>
      <c r="S44" s="64">
        <f>INDEX(S$34:S$43,Cover!$B$20)</f>
        <v/>
      </c>
      <c r="T44" s="64">
        <f>INDEX(T$34:T$43,Cover!$B$20)</f>
        <v/>
      </c>
      <c r="U44" s="64">
        <f>INDEX(U$34:U$43,Cover!$B$20)</f>
        <v/>
      </c>
      <c r="V44" s="64">
        <f>INDEX(V$34:V$43,Cover!$B$20)</f>
        <v/>
      </c>
      <c r="W44" s="64">
        <f>INDEX(W$34:W$43,Cover!$B$20)</f>
        <v/>
      </c>
      <c r="X44" s="64">
        <f>INDEX(X$34:X$43,Cover!$B$20)</f>
        <v/>
      </c>
      <c r="Y44" s="64">
        <f>INDEX(Y$34:Y$43,Cover!$B$20)</f>
        <v/>
      </c>
      <c r="Z44" s="64">
        <f>INDEX(Z$34:Z$43,Cover!$B$20)</f>
        <v/>
      </c>
      <c r="AA44" s="64">
        <f>INDEX(AA$34:AA$43,Cover!$B$20)</f>
        <v/>
      </c>
      <c r="AB44" s="64">
        <f>INDEX(AB$34:AB$43,Cover!$B$20)</f>
        <v/>
      </c>
      <c r="AC44" s="64">
        <f>INDEX(AC$34:AC$43,Cover!$B$20)</f>
        <v/>
      </c>
      <c r="AD44" s="64">
        <f>INDEX(AD$34:AD$43,Cover!$B$20)</f>
        <v/>
      </c>
      <c r="AE44" s="64">
        <f>INDEX(AE$34:AE$43,Cover!$B$20)</f>
        <v/>
      </c>
      <c r="AF44" s="64">
        <f>INDEX(AF$34:AF$43,Cover!$B$20)</f>
        <v/>
      </c>
      <c r="AG44" s="64">
        <f>INDEX(AG$34:AG$43,Cover!$B$20)</f>
        <v/>
      </c>
      <c r="AH44" s="64">
        <f>INDEX(AH$34:AH$43,Cover!$B$20)</f>
        <v/>
      </c>
      <c r="AI44" s="64">
        <f>INDEX(AI$34:AI$43,Cover!$B$20)</f>
        <v/>
      </c>
      <c r="AJ44" s="64">
        <f>INDEX(AJ$34:AJ$43,Cover!$B$20)</f>
        <v/>
      </c>
      <c r="AK44" s="64">
        <f>INDEX(AK$34:AK$43,Cover!$B$20)</f>
        <v/>
      </c>
      <c r="AL44" s="64">
        <f>INDEX(AL$34:AL$43,Cover!$B$20)</f>
        <v/>
      </c>
      <c r="AM44" s="64">
        <f>INDEX(AM$34:AM$43,Cover!$B$20)</f>
        <v/>
      </c>
      <c r="AN44" s="64">
        <f>INDEX(AN$34:AN$43,Cover!$B$20)</f>
        <v/>
      </c>
      <c r="AO44" s="64">
        <f>INDEX(AO$34:AO$43,Cover!$B$20)</f>
        <v/>
      </c>
      <c r="AP44" s="64">
        <f>INDEX(AP$34:AP$43,Cover!$B$20)</f>
        <v/>
      </c>
      <c r="AQ44" s="64">
        <f>INDEX(AQ$34:AQ$43,Cover!$B$20)</f>
        <v/>
      </c>
      <c r="AR44" s="64">
        <f>INDEX(AR$34:AR$43,Cover!$B$20)</f>
        <v/>
      </c>
      <c r="AS44" s="64">
        <f>INDEX(AS$34:AS$43,Cover!$B$20)</f>
        <v/>
      </c>
      <c r="AT44" s="64">
        <f>INDEX(AT$34:AT$43,Cover!$B$20)</f>
        <v/>
      </c>
      <c r="AU44" s="64">
        <f>INDEX(AU$34:AU$43,Cover!$B$20)</f>
        <v/>
      </c>
      <c r="AV44" s="64">
        <f>INDEX(AV$34:AV$43,Cover!$B$20)</f>
        <v/>
      </c>
      <c r="AW44" s="64">
        <f>INDEX(AW$34:AW$43,Cover!$B$20)</f>
        <v/>
      </c>
      <c r="AX44" s="64">
        <f>INDEX(AX$34:AX$43,Cover!$B$20)</f>
        <v/>
      </c>
      <c r="AY44" s="64">
        <f>INDEX(AY$34:AY$43,Cover!$B$20)</f>
        <v/>
      </c>
      <c r="AZ44" s="64">
        <f>INDEX(AZ$34:AZ$43,Cover!$B$20)</f>
        <v/>
      </c>
      <c r="BA44" s="64">
        <f>INDEX(BA$34:BA$43,Cover!$B$20)</f>
        <v/>
      </c>
      <c r="BB44" s="64">
        <f>INDEX(BB$34:BB$43,Cover!$B$20)</f>
        <v/>
      </c>
      <c r="BC44" s="64">
        <f>INDEX(BC$34:BC$43,Cover!$B$20)</f>
        <v/>
      </c>
      <c r="BD44" s="64">
        <f>INDEX(BD$34:BD$43,Cover!$B$20)</f>
        <v/>
      </c>
      <c r="BE44" s="64">
        <f>INDEX(BE$34:BE$43,Cover!$B$20)</f>
        <v/>
      </c>
      <c r="BF44" s="64">
        <f>INDEX(BF$34:BF$43,Cover!$B$20)</f>
        <v/>
      </c>
      <c r="BG44" s="64">
        <f>INDEX(BG$34:BG$43,Cover!$B$20)</f>
        <v/>
      </c>
      <c r="BH44" s="64">
        <f>INDEX(BH$34:BH$43,Cover!$B$20)</f>
        <v/>
      </c>
      <c r="BI44" s="64">
        <f>INDEX(BI$34:BI$43,Cover!$B$20)</f>
        <v/>
      </c>
      <c r="BJ44" s="64">
        <f>INDEX(BJ$34:BJ$43,Cover!$B$20)</f>
        <v/>
      </c>
      <c r="BK44" s="64">
        <f>INDEX(BK$34:BK$43,Cover!$B$20)</f>
        <v/>
      </c>
      <c r="BL44" s="64">
        <f>INDEX(BL$34:BL$43,Cover!$B$20)</f>
        <v/>
      </c>
      <c r="BM44" s="64">
        <f>INDEX(BM$34:BM$43,Cover!$B$20)</f>
        <v/>
      </c>
      <c r="BN44" s="64">
        <f>INDEX(BN$34:BN$43,Cover!$B$20)</f>
        <v/>
      </c>
      <c r="BO44" s="64">
        <f>INDEX(BO$34:BO$43,Cover!$B$20)</f>
        <v/>
      </c>
      <c r="BP44" s="64">
        <f>INDEX(BP$34:BP$43,Cover!$B$20)</f>
        <v/>
      </c>
      <c r="BQ44" s="64">
        <f>INDEX(BQ$34:BQ$43,Cover!$B$20)</f>
        <v/>
      </c>
      <c r="BR44" s="64">
        <f>INDEX(BR$34:BR$43,Cover!$B$20)</f>
        <v/>
      </c>
      <c r="BS44" s="64">
        <f>INDEX(BS$34:BS$43,Cover!$B$20)</f>
        <v/>
      </c>
      <c r="BT44" s="64">
        <f>INDEX(BT$34:BT$43,Cover!$B$20)</f>
        <v/>
      </c>
      <c r="BU44" s="64">
        <f>INDEX(BU$34:BU$43,Cover!$B$20)</f>
        <v/>
      </c>
      <c r="BV44" s="64">
        <f>INDEX(BV$34:BV$43,Cover!$B$20)</f>
        <v/>
      </c>
      <c r="BW44" s="64">
        <f>INDEX(BW$34:BW$43,Cover!$B$20)</f>
        <v/>
      </c>
      <c r="BX44" s="64">
        <f>INDEX(BX$34:BX$43,Cover!$B$20)</f>
        <v/>
      </c>
      <c r="BY44" s="64">
        <f>INDEX(BY$34:BY$43,Cover!$B$20)</f>
        <v/>
      </c>
      <c r="BZ44" s="64">
        <f>INDEX(BZ$34:BZ$43,Cover!$B$20)</f>
        <v/>
      </c>
      <c r="CA44" s="64">
        <f>INDEX(CA$34:CA$43,Cover!$B$20)</f>
        <v/>
      </c>
      <c r="CB44" s="64">
        <f>INDEX(CB$34:CB$43,Cover!$B$20)</f>
        <v/>
      </c>
      <c r="CC44" s="64">
        <f>INDEX(CC$34:CC$43,Cover!$B$20)</f>
        <v/>
      </c>
      <c r="CD44" s="64">
        <f>INDEX(CD$34:CD$43,Cover!$B$20)</f>
        <v/>
      </c>
    </row>
    <row r="47">
      <c r="A47" s="41" t="inlineStr">
        <is>
          <t>Escalation Library — annual % (active scenario) compounded to a quarterly index</t>
        </is>
      </c>
    </row>
    <row r="48">
      <c r="A48" s="41" t="inlineStr">
        <is>
          <t>Factor</t>
        </is>
      </c>
      <c r="B48" s="41" t="inlineStr">
        <is>
          <t>Annual %</t>
        </is>
      </c>
    </row>
    <row r="49">
      <c r="A49" t="inlineStr">
        <is>
          <t>Escalation Factor 1</t>
        </is>
      </c>
      <c r="B49" s="56">
        <f>Assumptions_Constant!$B$16</f>
        <v/>
      </c>
      <c r="C49" s="73" t="n">
        <v>1</v>
      </c>
      <c r="D49" s="73">
        <f>C49*(1+$B$49)^(1/4)</f>
        <v/>
      </c>
      <c r="E49" s="73">
        <f>D49*(1+$B$49)^(1/4)</f>
        <v/>
      </c>
      <c r="F49" s="73">
        <f>E49*(1+$B$49)^(1/4)</f>
        <v/>
      </c>
      <c r="G49" s="73">
        <f>F49*(1+$B$49)^(1/4)</f>
        <v/>
      </c>
      <c r="H49" s="73">
        <f>G49*(1+$B$49)^(1/4)</f>
        <v/>
      </c>
      <c r="I49" s="73">
        <f>H49*(1+$B$49)^(1/4)</f>
        <v/>
      </c>
      <c r="J49" s="73">
        <f>I49*(1+$B$49)^(1/4)</f>
        <v/>
      </c>
      <c r="K49" s="73">
        <f>J49*(1+$B$49)^(1/4)</f>
        <v/>
      </c>
      <c r="L49" s="73">
        <f>K49*(1+$B$49)^(1/4)</f>
        <v/>
      </c>
      <c r="M49" s="73">
        <f>L49*(1+$B$49)^(1/4)</f>
        <v/>
      </c>
      <c r="N49" s="73">
        <f>M49*(1+$B$49)^(1/4)</f>
        <v/>
      </c>
      <c r="O49" s="73">
        <f>N49*(1+$B$49)^(1/4)</f>
        <v/>
      </c>
      <c r="P49" s="73">
        <f>O49*(1+$B$49)^(1/4)</f>
        <v/>
      </c>
      <c r="Q49" s="73">
        <f>P49*(1+$B$49)^(1/4)</f>
        <v/>
      </c>
      <c r="R49" s="73">
        <f>Q49*(1+$B$49)^(1/4)</f>
        <v/>
      </c>
      <c r="S49" s="73">
        <f>R49*(1+$B$49)^(1/4)</f>
        <v/>
      </c>
      <c r="T49" s="73">
        <f>S49*(1+$B$49)^(1/4)</f>
        <v/>
      </c>
      <c r="U49" s="73">
        <f>T49*(1+$B$49)^(1/4)</f>
        <v/>
      </c>
      <c r="V49" s="73">
        <f>U49*(1+$B$49)^(1/4)</f>
        <v/>
      </c>
      <c r="W49" s="73">
        <f>V49*(1+$B$49)^(1/4)</f>
        <v/>
      </c>
      <c r="X49" s="73">
        <f>W49*(1+$B$49)^(1/4)</f>
        <v/>
      </c>
      <c r="Y49" s="73">
        <f>X49*(1+$B$49)^(1/4)</f>
        <v/>
      </c>
      <c r="Z49" s="73">
        <f>Y49*(1+$B$49)^(1/4)</f>
        <v/>
      </c>
      <c r="AA49" s="73">
        <f>Z49*(1+$B$49)^(1/4)</f>
        <v/>
      </c>
      <c r="AB49" s="73">
        <f>AA49*(1+$B$49)^(1/4)</f>
        <v/>
      </c>
      <c r="AC49" s="73">
        <f>AB49*(1+$B$49)^(1/4)</f>
        <v/>
      </c>
      <c r="AD49" s="73">
        <f>AC49*(1+$B$49)^(1/4)</f>
        <v/>
      </c>
      <c r="AE49" s="73">
        <f>AD49*(1+$B$49)^(1/4)</f>
        <v/>
      </c>
      <c r="AF49" s="73">
        <f>AE49*(1+$B$49)^(1/4)</f>
        <v/>
      </c>
      <c r="AG49" s="73">
        <f>AF49*(1+$B$49)^(1/4)</f>
        <v/>
      </c>
      <c r="AH49" s="73">
        <f>AG49*(1+$B$49)^(1/4)</f>
        <v/>
      </c>
      <c r="AI49" s="73">
        <f>AH49*(1+$B$49)^(1/4)</f>
        <v/>
      </c>
      <c r="AJ49" s="73">
        <f>AI49*(1+$B$49)^(1/4)</f>
        <v/>
      </c>
      <c r="AK49" s="73">
        <f>AJ49*(1+$B$49)^(1/4)</f>
        <v/>
      </c>
      <c r="AL49" s="73">
        <f>AK49*(1+$B$49)^(1/4)</f>
        <v/>
      </c>
      <c r="AM49" s="73">
        <f>AL49*(1+$B$49)^(1/4)</f>
        <v/>
      </c>
      <c r="AN49" s="73">
        <f>AM49*(1+$B$49)^(1/4)</f>
        <v/>
      </c>
      <c r="AO49" s="73">
        <f>AN49*(1+$B$49)^(1/4)</f>
        <v/>
      </c>
      <c r="AP49" s="73">
        <f>AO49*(1+$B$49)^(1/4)</f>
        <v/>
      </c>
      <c r="AQ49" s="73">
        <f>AP49*(1+$B$49)^(1/4)</f>
        <v/>
      </c>
      <c r="AR49" s="73">
        <f>AQ49*(1+$B$49)^(1/4)</f>
        <v/>
      </c>
      <c r="AS49" s="73">
        <f>AR49*(1+$B$49)^(1/4)</f>
        <v/>
      </c>
      <c r="AT49" s="73">
        <f>AS49*(1+$B$49)^(1/4)</f>
        <v/>
      </c>
      <c r="AU49" s="73">
        <f>AT49*(1+$B$49)^(1/4)</f>
        <v/>
      </c>
      <c r="AV49" s="73">
        <f>AU49*(1+$B$49)^(1/4)</f>
        <v/>
      </c>
      <c r="AW49" s="73">
        <f>AV49*(1+$B$49)^(1/4)</f>
        <v/>
      </c>
      <c r="AX49" s="73">
        <f>AW49*(1+$B$49)^(1/4)</f>
        <v/>
      </c>
      <c r="AY49" s="73">
        <f>AX49*(1+$B$49)^(1/4)</f>
        <v/>
      </c>
      <c r="AZ49" s="73">
        <f>AY49*(1+$B$49)^(1/4)</f>
        <v/>
      </c>
      <c r="BA49" s="73">
        <f>AZ49*(1+$B$49)^(1/4)</f>
        <v/>
      </c>
      <c r="BB49" s="73">
        <f>BA49*(1+$B$49)^(1/4)</f>
        <v/>
      </c>
      <c r="BC49" s="73">
        <f>BB49*(1+$B$49)^(1/4)</f>
        <v/>
      </c>
      <c r="BD49" s="73">
        <f>BC49*(1+$B$49)^(1/4)</f>
        <v/>
      </c>
      <c r="BE49" s="73">
        <f>BD49*(1+$B$49)^(1/4)</f>
        <v/>
      </c>
      <c r="BF49" s="73">
        <f>BE49*(1+$B$49)^(1/4)</f>
        <v/>
      </c>
      <c r="BG49" s="73">
        <f>BF49*(1+$B$49)^(1/4)</f>
        <v/>
      </c>
      <c r="BH49" s="73">
        <f>BG49*(1+$B$49)^(1/4)</f>
        <v/>
      </c>
      <c r="BI49" s="73">
        <f>BH49*(1+$B$49)^(1/4)</f>
        <v/>
      </c>
      <c r="BJ49" s="73">
        <f>BI49*(1+$B$49)^(1/4)</f>
        <v/>
      </c>
      <c r="BK49" s="73">
        <f>BJ49*(1+$B$49)^(1/4)</f>
        <v/>
      </c>
      <c r="BL49" s="73">
        <f>BK49*(1+$B$49)^(1/4)</f>
        <v/>
      </c>
      <c r="BM49" s="73">
        <f>BL49*(1+$B$49)^(1/4)</f>
        <v/>
      </c>
      <c r="BN49" s="73">
        <f>BM49*(1+$B$49)^(1/4)</f>
        <v/>
      </c>
      <c r="BO49" s="73">
        <f>BN49*(1+$B$49)^(1/4)</f>
        <v/>
      </c>
      <c r="BP49" s="73">
        <f>BO49*(1+$B$49)^(1/4)</f>
        <v/>
      </c>
      <c r="BQ49" s="73">
        <f>BP49*(1+$B$49)^(1/4)</f>
        <v/>
      </c>
      <c r="BR49" s="73">
        <f>BQ49*(1+$B$49)^(1/4)</f>
        <v/>
      </c>
      <c r="BS49" s="73">
        <f>BR49*(1+$B$49)^(1/4)</f>
        <v/>
      </c>
      <c r="BT49" s="73">
        <f>BS49*(1+$B$49)^(1/4)</f>
        <v/>
      </c>
      <c r="BU49" s="73">
        <f>BT49*(1+$B$49)^(1/4)</f>
        <v/>
      </c>
      <c r="BV49" s="73">
        <f>BU49*(1+$B$49)^(1/4)</f>
        <v/>
      </c>
      <c r="BW49" s="73">
        <f>BV49*(1+$B$49)^(1/4)</f>
        <v/>
      </c>
      <c r="BX49" s="73">
        <f>BW49*(1+$B$49)^(1/4)</f>
        <v/>
      </c>
      <c r="BY49" s="73">
        <f>BX49*(1+$B$49)^(1/4)</f>
        <v/>
      </c>
      <c r="BZ49" s="73">
        <f>BY49*(1+$B$49)^(1/4)</f>
        <v/>
      </c>
      <c r="CA49" s="73">
        <f>BZ49*(1+$B$49)^(1/4)</f>
        <v/>
      </c>
      <c r="CB49" s="73">
        <f>CA49*(1+$B$49)^(1/4)</f>
        <v/>
      </c>
      <c r="CC49" s="73">
        <f>CB49*(1+$B$49)^(1/4)</f>
        <v/>
      </c>
      <c r="CD49" s="73">
        <f>CC49*(1+$B$49)^(1/4)</f>
        <v/>
      </c>
    </row>
    <row r="50">
      <c r="A50" t="inlineStr">
        <is>
          <t>Escalation Factor 2</t>
        </is>
      </c>
      <c r="B50" s="56">
        <f>Assumptions_Constant!$B$17</f>
        <v/>
      </c>
      <c r="C50" s="73" t="n">
        <v>1</v>
      </c>
      <c r="D50" s="73">
        <f>C50*(1+$B$50)^(1/4)</f>
        <v/>
      </c>
      <c r="E50" s="73">
        <f>D50*(1+$B$50)^(1/4)</f>
        <v/>
      </c>
      <c r="F50" s="73">
        <f>E50*(1+$B$50)^(1/4)</f>
        <v/>
      </c>
      <c r="G50" s="73">
        <f>F50*(1+$B$50)^(1/4)</f>
        <v/>
      </c>
      <c r="H50" s="73">
        <f>G50*(1+$B$50)^(1/4)</f>
        <v/>
      </c>
      <c r="I50" s="73">
        <f>H50*(1+$B$50)^(1/4)</f>
        <v/>
      </c>
      <c r="J50" s="73">
        <f>I50*(1+$B$50)^(1/4)</f>
        <v/>
      </c>
      <c r="K50" s="73">
        <f>J50*(1+$B$50)^(1/4)</f>
        <v/>
      </c>
      <c r="L50" s="73">
        <f>K50*(1+$B$50)^(1/4)</f>
        <v/>
      </c>
      <c r="M50" s="73">
        <f>L50*(1+$B$50)^(1/4)</f>
        <v/>
      </c>
      <c r="N50" s="73">
        <f>M50*(1+$B$50)^(1/4)</f>
        <v/>
      </c>
      <c r="O50" s="73">
        <f>N50*(1+$B$50)^(1/4)</f>
        <v/>
      </c>
      <c r="P50" s="73">
        <f>O50*(1+$B$50)^(1/4)</f>
        <v/>
      </c>
      <c r="Q50" s="73">
        <f>P50*(1+$B$50)^(1/4)</f>
        <v/>
      </c>
      <c r="R50" s="73">
        <f>Q50*(1+$B$50)^(1/4)</f>
        <v/>
      </c>
      <c r="S50" s="73">
        <f>R50*(1+$B$50)^(1/4)</f>
        <v/>
      </c>
      <c r="T50" s="73">
        <f>S50*(1+$B$50)^(1/4)</f>
        <v/>
      </c>
      <c r="U50" s="73">
        <f>T50*(1+$B$50)^(1/4)</f>
        <v/>
      </c>
      <c r="V50" s="73">
        <f>U50*(1+$B$50)^(1/4)</f>
        <v/>
      </c>
      <c r="W50" s="73">
        <f>V50*(1+$B$50)^(1/4)</f>
        <v/>
      </c>
      <c r="X50" s="73">
        <f>W50*(1+$B$50)^(1/4)</f>
        <v/>
      </c>
      <c r="Y50" s="73">
        <f>X50*(1+$B$50)^(1/4)</f>
        <v/>
      </c>
      <c r="Z50" s="73">
        <f>Y50*(1+$B$50)^(1/4)</f>
        <v/>
      </c>
      <c r="AA50" s="73">
        <f>Z50*(1+$B$50)^(1/4)</f>
        <v/>
      </c>
      <c r="AB50" s="73">
        <f>AA50*(1+$B$50)^(1/4)</f>
        <v/>
      </c>
      <c r="AC50" s="73">
        <f>AB50*(1+$B$50)^(1/4)</f>
        <v/>
      </c>
      <c r="AD50" s="73">
        <f>AC50*(1+$B$50)^(1/4)</f>
        <v/>
      </c>
      <c r="AE50" s="73">
        <f>AD50*(1+$B$50)^(1/4)</f>
        <v/>
      </c>
      <c r="AF50" s="73">
        <f>AE50*(1+$B$50)^(1/4)</f>
        <v/>
      </c>
      <c r="AG50" s="73">
        <f>AF50*(1+$B$50)^(1/4)</f>
        <v/>
      </c>
      <c r="AH50" s="73">
        <f>AG50*(1+$B$50)^(1/4)</f>
        <v/>
      </c>
      <c r="AI50" s="73">
        <f>AH50*(1+$B$50)^(1/4)</f>
        <v/>
      </c>
      <c r="AJ50" s="73">
        <f>AI50*(1+$B$50)^(1/4)</f>
        <v/>
      </c>
      <c r="AK50" s="73">
        <f>AJ50*(1+$B$50)^(1/4)</f>
        <v/>
      </c>
      <c r="AL50" s="73">
        <f>AK50*(1+$B$50)^(1/4)</f>
        <v/>
      </c>
      <c r="AM50" s="73">
        <f>AL50*(1+$B$50)^(1/4)</f>
        <v/>
      </c>
      <c r="AN50" s="73">
        <f>AM50*(1+$B$50)^(1/4)</f>
        <v/>
      </c>
      <c r="AO50" s="73">
        <f>AN50*(1+$B$50)^(1/4)</f>
        <v/>
      </c>
      <c r="AP50" s="73">
        <f>AO50*(1+$B$50)^(1/4)</f>
        <v/>
      </c>
      <c r="AQ50" s="73">
        <f>AP50*(1+$B$50)^(1/4)</f>
        <v/>
      </c>
      <c r="AR50" s="73">
        <f>AQ50*(1+$B$50)^(1/4)</f>
        <v/>
      </c>
      <c r="AS50" s="73">
        <f>AR50*(1+$B$50)^(1/4)</f>
        <v/>
      </c>
      <c r="AT50" s="73">
        <f>AS50*(1+$B$50)^(1/4)</f>
        <v/>
      </c>
      <c r="AU50" s="73">
        <f>AT50*(1+$B$50)^(1/4)</f>
        <v/>
      </c>
      <c r="AV50" s="73">
        <f>AU50*(1+$B$50)^(1/4)</f>
        <v/>
      </c>
      <c r="AW50" s="73">
        <f>AV50*(1+$B$50)^(1/4)</f>
        <v/>
      </c>
      <c r="AX50" s="73">
        <f>AW50*(1+$B$50)^(1/4)</f>
        <v/>
      </c>
      <c r="AY50" s="73">
        <f>AX50*(1+$B$50)^(1/4)</f>
        <v/>
      </c>
      <c r="AZ50" s="73">
        <f>AY50*(1+$B$50)^(1/4)</f>
        <v/>
      </c>
      <c r="BA50" s="73">
        <f>AZ50*(1+$B$50)^(1/4)</f>
        <v/>
      </c>
      <c r="BB50" s="73">
        <f>BA50*(1+$B$50)^(1/4)</f>
        <v/>
      </c>
      <c r="BC50" s="73">
        <f>BB50*(1+$B$50)^(1/4)</f>
        <v/>
      </c>
      <c r="BD50" s="73">
        <f>BC50*(1+$B$50)^(1/4)</f>
        <v/>
      </c>
      <c r="BE50" s="73">
        <f>BD50*(1+$B$50)^(1/4)</f>
        <v/>
      </c>
      <c r="BF50" s="73">
        <f>BE50*(1+$B$50)^(1/4)</f>
        <v/>
      </c>
      <c r="BG50" s="73">
        <f>BF50*(1+$B$50)^(1/4)</f>
        <v/>
      </c>
      <c r="BH50" s="73">
        <f>BG50*(1+$B$50)^(1/4)</f>
        <v/>
      </c>
      <c r="BI50" s="73">
        <f>BH50*(1+$B$50)^(1/4)</f>
        <v/>
      </c>
      <c r="BJ50" s="73">
        <f>BI50*(1+$B$50)^(1/4)</f>
        <v/>
      </c>
      <c r="BK50" s="73">
        <f>BJ50*(1+$B$50)^(1/4)</f>
        <v/>
      </c>
      <c r="BL50" s="73">
        <f>BK50*(1+$B$50)^(1/4)</f>
        <v/>
      </c>
      <c r="BM50" s="73">
        <f>BL50*(1+$B$50)^(1/4)</f>
        <v/>
      </c>
      <c r="BN50" s="73">
        <f>BM50*(1+$B$50)^(1/4)</f>
        <v/>
      </c>
      <c r="BO50" s="73">
        <f>BN50*(1+$B$50)^(1/4)</f>
        <v/>
      </c>
      <c r="BP50" s="73">
        <f>BO50*(1+$B$50)^(1/4)</f>
        <v/>
      </c>
      <c r="BQ50" s="73">
        <f>BP50*(1+$B$50)^(1/4)</f>
        <v/>
      </c>
      <c r="BR50" s="73">
        <f>BQ50*(1+$B$50)^(1/4)</f>
        <v/>
      </c>
      <c r="BS50" s="73">
        <f>BR50*(1+$B$50)^(1/4)</f>
        <v/>
      </c>
      <c r="BT50" s="73">
        <f>BS50*(1+$B$50)^(1/4)</f>
        <v/>
      </c>
      <c r="BU50" s="73">
        <f>BT50*(1+$B$50)^(1/4)</f>
        <v/>
      </c>
      <c r="BV50" s="73">
        <f>BU50*(1+$B$50)^(1/4)</f>
        <v/>
      </c>
      <c r="BW50" s="73">
        <f>BV50*(1+$B$50)^(1/4)</f>
        <v/>
      </c>
      <c r="BX50" s="73">
        <f>BW50*(1+$B$50)^(1/4)</f>
        <v/>
      </c>
      <c r="BY50" s="73">
        <f>BX50*(1+$B$50)^(1/4)</f>
        <v/>
      </c>
      <c r="BZ50" s="73">
        <f>BY50*(1+$B$50)^(1/4)</f>
        <v/>
      </c>
      <c r="CA50" s="73">
        <f>BZ50*(1+$B$50)^(1/4)</f>
        <v/>
      </c>
      <c r="CB50" s="73">
        <f>CA50*(1+$B$50)^(1/4)</f>
        <v/>
      </c>
      <c r="CC50" s="73">
        <f>CB50*(1+$B$50)^(1/4)</f>
        <v/>
      </c>
      <c r="CD50" s="73">
        <f>CC50*(1+$B$50)^(1/4)</f>
        <v/>
      </c>
    </row>
    <row r="51">
      <c r="A51" t="inlineStr">
        <is>
          <t>Escalation Factor 3</t>
        </is>
      </c>
      <c r="B51" s="56">
        <f>Assumptions_Constant!$B$18</f>
        <v/>
      </c>
      <c r="C51" s="73" t="n">
        <v>1</v>
      </c>
      <c r="D51" s="73">
        <f>C51*(1+$B$51)^(1/4)</f>
        <v/>
      </c>
      <c r="E51" s="73">
        <f>D51*(1+$B$51)^(1/4)</f>
        <v/>
      </c>
      <c r="F51" s="73">
        <f>E51*(1+$B$51)^(1/4)</f>
        <v/>
      </c>
      <c r="G51" s="73">
        <f>F51*(1+$B$51)^(1/4)</f>
        <v/>
      </c>
      <c r="H51" s="73">
        <f>G51*(1+$B$51)^(1/4)</f>
        <v/>
      </c>
      <c r="I51" s="73">
        <f>H51*(1+$B$51)^(1/4)</f>
        <v/>
      </c>
      <c r="J51" s="73">
        <f>I51*(1+$B$51)^(1/4)</f>
        <v/>
      </c>
      <c r="K51" s="73">
        <f>J51*(1+$B$51)^(1/4)</f>
        <v/>
      </c>
      <c r="L51" s="73">
        <f>K51*(1+$B$51)^(1/4)</f>
        <v/>
      </c>
      <c r="M51" s="73">
        <f>L51*(1+$B$51)^(1/4)</f>
        <v/>
      </c>
      <c r="N51" s="73">
        <f>M51*(1+$B$51)^(1/4)</f>
        <v/>
      </c>
      <c r="O51" s="73">
        <f>N51*(1+$B$51)^(1/4)</f>
        <v/>
      </c>
      <c r="P51" s="73">
        <f>O51*(1+$B$51)^(1/4)</f>
        <v/>
      </c>
      <c r="Q51" s="73">
        <f>P51*(1+$B$51)^(1/4)</f>
        <v/>
      </c>
      <c r="R51" s="73">
        <f>Q51*(1+$B$51)^(1/4)</f>
        <v/>
      </c>
      <c r="S51" s="73">
        <f>R51*(1+$B$51)^(1/4)</f>
        <v/>
      </c>
      <c r="T51" s="73">
        <f>S51*(1+$B$51)^(1/4)</f>
        <v/>
      </c>
      <c r="U51" s="73">
        <f>T51*(1+$B$51)^(1/4)</f>
        <v/>
      </c>
      <c r="V51" s="73">
        <f>U51*(1+$B$51)^(1/4)</f>
        <v/>
      </c>
      <c r="W51" s="73">
        <f>V51*(1+$B$51)^(1/4)</f>
        <v/>
      </c>
      <c r="X51" s="73">
        <f>W51*(1+$B$51)^(1/4)</f>
        <v/>
      </c>
      <c r="Y51" s="73">
        <f>X51*(1+$B$51)^(1/4)</f>
        <v/>
      </c>
      <c r="Z51" s="73">
        <f>Y51*(1+$B$51)^(1/4)</f>
        <v/>
      </c>
      <c r="AA51" s="73">
        <f>Z51*(1+$B$51)^(1/4)</f>
        <v/>
      </c>
      <c r="AB51" s="73">
        <f>AA51*(1+$B$51)^(1/4)</f>
        <v/>
      </c>
      <c r="AC51" s="73">
        <f>AB51*(1+$B$51)^(1/4)</f>
        <v/>
      </c>
      <c r="AD51" s="73">
        <f>AC51*(1+$B$51)^(1/4)</f>
        <v/>
      </c>
      <c r="AE51" s="73">
        <f>AD51*(1+$B$51)^(1/4)</f>
        <v/>
      </c>
      <c r="AF51" s="73">
        <f>AE51*(1+$B$51)^(1/4)</f>
        <v/>
      </c>
      <c r="AG51" s="73">
        <f>AF51*(1+$B$51)^(1/4)</f>
        <v/>
      </c>
      <c r="AH51" s="73">
        <f>AG51*(1+$B$51)^(1/4)</f>
        <v/>
      </c>
      <c r="AI51" s="73">
        <f>AH51*(1+$B$51)^(1/4)</f>
        <v/>
      </c>
      <c r="AJ51" s="73">
        <f>AI51*(1+$B$51)^(1/4)</f>
        <v/>
      </c>
      <c r="AK51" s="73">
        <f>AJ51*(1+$B$51)^(1/4)</f>
        <v/>
      </c>
      <c r="AL51" s="73">
        <f>AK51*(1+$B$51)^(1/4)</f>
        <v/>
      </c>
      <c r="AM51" s="73">
        <f>AL51*(1+$B$51)^(1/4)</f>
        <v/>
      </c>
      <c r="AN51" s="73">
        <f>AM51*(1+$B$51)^(1/4)</f>
        <v/>
      </c>
      <c r="AO51" s="73">
        <f>AN51*(1+$B$51)^(1/4)</f>
        <v/>
      </c>
      <c r="AP51" s="73">
        <f>AO51*(1+$B$51)^(1/4)</f>
        <v/>
      </c>
      <c r="AQ51" s="73">
        <f>AP51*(1+$B$51)^(1/4)</f>
        <v/>
      </c>
      <c r="AR51" s="73">
        <f>AQ51*(1+$B$51)^(1/4)</f>
        <v/>
      </c>
      <c r="AS51" s="73">
        <f>AR51*(1+$B$51)^(1/4)</f>
        <v/>
      </c>
      <c r="AT51" s="73">
        <f>AS51*(1+$B$51)^(1/4)</f>
        <v/>
      </c>
      <c r="AU51" s="73">
        <f>AT51*(1+$B$51)^(1/4)</f>
        <v/>
      </c>
      <c r="AV51" s="73">
        <f>AU51*(1+$B$51)^(1/4)</f>
        <v/>
      </c>
      <c r="AW51" s="73">
        <f>AV51*(1+$B$51)^(1/4)</f>
        <v/>
      </c>
      <c r="AX51" s="73">
        <f>AW51*(1+$B$51)^(1/4)</f>
        <v/>
      </c>
      <c r="AY51" s="73">
        <f>AX51*(1+$B$51)^(1/4)</f>
        <v/>
      </c>
      <c r="AZ51" s="73">
        <f>AY51*(1+$B$51)^(1/4)</f>
        <v/>
      </c>
      <c r="BA51" s="73">
        <f>AZ51*(1+$B$51)^(1/4)</f>
        <v/>
      </c>
      <c r="BB51" s="73">
        <f>BA51*(1+$B$51)^(1/4)</f>
        <v/>
      </c>
      <c r="BC51" s="73">
        <f>BB51*(1+$B$51)^(1/4)</f>
        <v/>
      </c>
      <c r="BD51" s="73">
        <f>BC51*(1+$B$51)^(1/4)</f>
        <v/>
      </c>
      <c r="BE51" s="73">
        <f>BD51*(1+$B$51)^(1/4)</f>
        <v/>
      </c>
      <c r="BF51" s="73">
        <f>BE51*(1+$B$51)^(1/4)</f>
        <v/>
      </c>
      <c r="BG51" s="73">
        <f>BF51*(1+$B$51)^(1/4)</f>
        <v/>
      </c>
      <c r="BH51" s="73">
        <f>BG51*(1+$B$51)^(1/4)</f>
        <v/>
      </c>
      <c r="BI51" s="73">
        <f>BH51*(1+$B$51)^(1/4)</f>
        <v/>
      </c>
      <c r="BJ51" s="73">
        <f>BI51*(1+$B$51)^(1/4)</f>
        <v/>
      </c>
      <c r="BK51" s="73">
        <f>BJ51*(1+$B$51)^(1/4)</f>
        <v/>
      </c>
      <c r="BL51" s="73">
        <f>BK51*(1+$B$51)^(1/4)</f>
        <v/>
      </c>
      <c r="BM51" s="73">
        <f>BL51*(1+$B$51)^(1/4)</f>
        <v/>
      </c>
      <c r="BN51" s="73">
        <f>BM51*(1+$B$51)^(1/4)</f>
        <v/>
      </c>
      <c r="BO51" s="73">
        <f>BN51*(1+$B$51)^(1/4)</f>
        <v/>
      </c>
      <c r="BP51" s="73">
        <f>BO51*(1+$B$51)^(1/4)</f>
        <v/>
      </c>
      <c r="BQ51" s="73">
        <f>BP51*(1+$B$51)^(1/4)</f>
        <v/>
      </c>
      <c r="BR51" s="73">
        <f>BQ51*(1+$B$51)^(1/4)</f>
        <v/>
      </c>
      <c r="BS51" s="73">
        <f>BR51*(1+$B$51)^(1/4)</f>
        <v/>
      </c>
      <c r="BT51" s="73">
        <f>BS51*(1+$B$51)^(1/4)</f>
        <v/>
      </c>
      <c r="BU51" s="73">
        <f>BT51*(1+$B$51)^(1/4)</f>
        <v/>
      </c>
      <c r="BV51" s="73">
        <f>BU51*(1+$B$51)^(1/4)</f>
        <v/>
      </c>
      <c r="BW51" s="73">
        <f>BV51*(1+$B$51)^(1/4)</f>
        <v/>
      </c>
      <c r="BX51" s="73">
        <f>BW51*(1+$B$51)^(1/4)</f>
        <v/>
      </c>
      <c r="BY51" s="73">
        <f>BX51*(1+$B$51)^(1/4)</f>
        <v/>
      </c>
      <c r="BZ51" s="73">
        <f>BY51*(1+$B$51)^(1/4)</f>
        <v/>
      </c>
      <c r="CA51" s="73">
        <f>BZ51*(1+$B$51)^(1/4)</f>
        <v/>
      </c>
      <c r="CB51" s="73">
        <f>CA51*(1+$B$51)^(1/4)</f>
        <v/>
      </c>
      <c r="CC51" s="73">
        <f>CB51*(1+$B$51)^(1/4)</f>
        <v/>
      </c>
      <c r="CD51" s="73">
        <f>CC51*(1+$B$51)^(1/4)</f>
        <v/>
      </c>
    </row>
    <row r="52">
      <c r="A52" t="inlineStr">
        <is>
          <t>Escalation Factor 4</t>
        </is>
      </c>
      <c r="B52" s="56">
        <f>Assumptions_Constant!$B$19</f>
        <v/>
      </c>
      <c r="C52" s="73" t="n">
        <v>1</v>
      </c>
      <c r="D52" s="73">
        <f>C52*(1+$B$52)^(1/4)</f>
        <v/>
      </c>
      <c r="E52" s="73">
        <f>D52*(1+$B$52)^(1/4)</f>
        <v/>
      </c>
      <c r="F52" s="73">
        <f>E52*(1+$B$52)^(1/4)</f>
        <v/>
      </c>
      <c r="G52" s="73">
        <f>F52*(1+$B$52)^(1/4)</f>
        <v/>
      </c>
      <c r="H52" s="73">
        <f>G52*(1+$B$52)^(1/4)</f>
        <v/>
      </c>
      <c r="I52" s="73">
        <f>H52*(1+$B$52)^(1/4)</f>
        <v/>
      </c>
      <c r="J52" s="73">
        <f>I52*(1+$B$52)^(1/4)</f>
        <v/>
      </c>
      <c r="K52" s="73">
        <f>J52*(1+$B$52)^(1/4)</f>
        <v/>
      </c>
      <c r="L52" s="73">
        <f>K52*(1+$B$52)^(1/4)</f>
        <v/>
      </c>
      <c r="M52" s="73">
        <f>L52*(1+$B$52)^(1/4)</f>
        <v/>
      </c>
      <c r="N52" s="73">
        <f>M52*(1+$B$52)^(1/4)</f>
        <v/>
      </c>
      <c r="O52" s="73">
        <f>N52*(1+$B$52)^(1/4)</f>
        <v/>
      </c>
      <c r="P52" s="73">
        <f>O52*(1+$B$52)^(1/4)</f>
        <v/>
      </c>
      <c r="Q52" s="73">
        <f>P52*(1+$B$52)^(1/4)</f>
        <v/>
      </c>
      <c r="R52" s="73">
        <f>Q52*(1+$B$52)^(1/4)</f>
        <v/>
      </c>
      <c r="S52" s="73">
        <f>R52*(1+$B$52)^(1/4)</f>
        <v/>
      </c>
      <c r="T52" s="73">
        <f>S52*(1+$B$52)^(1/4)</f>
        <v/>
      </c>
      <c r="U52" s="73">
        <f>T52*(1+$B$52)^(1/4)</f>
        <v/>
      </c>
      <c r="V52" s="73">
        <f>U52*(1+$B$52)^(1/4)</f>
        <v/>
      </c>
      <c r="W52" s="73">
        <f>V52*(1+$B$52)^(1/4)</f>
        <v/>
      </c>
      <c r="X52" s="73">
        <f>W52*(1+$B$52)^(1/4)</f>
        <v/>
      </c>
      <c r="Y52" s="73">
        <f>X52*(1+$B$52)^(1/4)</f>
        <v/>
      </c>
      <c r="Z52" s="73">
        <f>Y52*(1+$B$52)^(1/4)</f>
        <v/>
      </c>
      <c r="AA52" s="73">
        <f>Z52*(1+$B$52)^(1/4)</f>
        <v/>
      </c>
      <c r="AB52" s="73">
        <f>AA52*(1+$B$52)^(1/4)</f>
        <v/>
      </c>
      <c r="AC52" s="73">
        <f>AB52*(1+$B$52)^(1/4)</f>
        <v/>
      </c>
      <c r="AD52" s="73">
        <f>AC52*(1+$B$52)^(1/4)</f>
        <v/>
      </c>
      <c r="AE52" s="73">
        <f>AD52*(1+$B$52)^(1/4)</f>
        <v/>
      </c>
      <c r="AF52" s="73">
        <f>AE52*(1+$B$52)^(1/4)</f>
        <v/>
      </c>
      <c r="AG52" s="73">
        <f>AF52*(1+$B$52)^(1/4)</f>
        <v/>
      </c>
      <c r="AH52" s="73">
        <f>AG52*(1+$B$52)^(1/4)</f>
        <v/>
      </c>
      <c r="AI52" s="73">
        <f>AH52*(1+$B$52)^(1/4)</f>
        <v/>
      </c>
      <c r="AJ52" s="73">
        <f>AI52*(1+$B$52)^(1/4)</f>
        <v/>
      </c>
      <c r="AK52" s="73">
        <f>AJ52*(1+$B$52)^(1/4)</f>
        <v/>
      </c>
      <c r="AL52" s="73">
        <f>AK52*(1+$B$52)^(1/4)</f>
        <v/>
      </c>
      <c r="AM52" s="73">
        <f>AL52*(1+$B$52)^(1/4)</f>
        <v/>
      </c>
      <c r="AN52" s="73">
        <f>AM52*(1+$B$52)^(1/4)</f>
        <v/>
      </c>
      <c r="AO52" s="73">
        <f>AN52*(1+$B$52)^(1/4)</f>
        <v/>
      </c>
      <c r="AP52" s="73">
        <f>AO52*(1+$B$52)^(1/4)</f>
        <v/>
      </c>
      <c r="AQ52" s="73">
        <f>AP52*(1+$B$52)^(1/4)</f>
        <v/>
      </c>
      <c r="AR52" s="73">
        <f>AQ52*(1+$B$52)^(1/4)</f>
        <v/>
      </c>
      <c r="AS52" s="73">
        <f>AR52*(1+$B$52)^(1/4)</f>
        <v/>
      </c>
      <c r="AT52" s="73">
        <f>AS52*(1+$B$52)^(1/4)</f>
        <v/>
      </c>
      <c r="AU52" s="73">
        <f>AT52*(1+$B$52)^(1/4)</f>
        <v/>
      </c>
      <c r="AV52" s="73">
        <f>AU52*(1+$B$52)^(1/4)</f>
        <v/>
      </c>
      <c r="AW52" s="73">
        <f>AV52*(1+$B$52)^(1/4)</f>
        <v/>
      </c>
      <c r="AX52" s="73">
        <f>AW52*(1+$B$52)^(1/4)</f>
        <v/>
      </c>
      <c r="AY52" s="73">
        <f>AX52*(1+$B$52)^(1/4)</f>
        <v/>
      </c>
      <c r="AZ52" s="73">
        <f>AY52*(1+$B$52)^(1/4)</f>
        <v/>
      </c>
      <c r="BA52" s="73">
        <f>AZ52*(1+$B$52)^(1/4)</f>
        <v/>
      </c>
      <c r="BB52" s="73">
        <f>BA52*(1+$B$52)^(1/4)</f>
        <v/>
      </c>
      <c r="BC52" s="73">
        <f>BB52*(1+$B$52)^(1/4)</f>
        <v/>
      </c>
      <c r="BD52" s="73">
        <f>BC52*(1+$B$52)^(1/4)</f>
        <v/>
      </c>
      <c r="BE52" s="73">
        <f>BD52*(1+$B$52)^(1/4)</f>
        <v/>
      </c>
      <c r="BF52" s="73">
        <f>BE52*(1+$B$52)^(1/4)</f>
        <v/>
      </c>
      <c r="BG52" s="73">
        <f>BF52*(1+$B$52)^(1/4)</f>
        <v/>
      </c>
      <c r="BH52" s="73">
        <f>BG52*(1+$B$52)^(1/4)</f>
        <v/>
      </c>
      <c r="BI52" s="73">
        <f>BH52*(1+$B$52)^(1/4)</f>
        <v/>
      </c>
      <c r="BJ52" s="73">
        <f>BI52*(1+$B$52)^(1/4)</f>
        <v/>
      </c>
      <c r="BK52" s="73">
        <f>BJ52*(1+$B$52)^(1/4)</f>
        <v/>
      </c>
      <c r="BL52" s="73">
        <f>BK52*(1+$B$52)^(1/4)</f>
        <v/>
      </c>
      <c r="BM52" s="73">
        <f>BL52*(1+$B$52)^(1/4)</f>
        <v/>
      </c>
      <c r="BN52" s="73">
        <f>BM52*(1+$B$52)^(1/4)</f>
        <v/>
      </c>
      <c r="BO52" s="73">
        <f>BN52*(1+$B$52)^(1/4)</f>
        <v/>
      </c>
      <c r="BP52" s="73">
        <f>BO52*(1+$B$52)^(1/4)</f>
        <v/>
      </c>
      <c r="BQ52" s="73">
        <f>BP52*(1+$B$52)^(1/4)</f>
        <v/>
      </c>
      <c r="BR52" s="73">
        <f>BQ52*(1+$B$52)^(1/4)</f>
        <v/>
      </c>
      <c r="BS52" s="73">
        <f>BR52*(1+$B$52)^(1/4)</f>
        <v/>
      </c>
      <c r="BT52" s="73">
        <f>BS52*(1+$B$52)^(1/4)</f>
        <v/>
      </c>
      <c r="BU52" s="73">
        <f>BT52*(1+$B$52)^(1/4)</f>
        <v/>
      </c>
      <c r="BV52" s="73">
        <f>BU52*(1+$B$52)^(1/4)</f>
        <v/>
      </c>
      <c r="BW52" s="73">
        <f>BV52*(1+$B$52)^(1/4)</f>
        <v/>
      </c>
      <c r="BX52" s="73">
        <f>BW52*(1+$B$52)^(1/4)</f>
        <v/>
      </c>
      <c r="BY52" s="73">
        <f>BX52*(1+$B$52)^(1/4)</f>
        <v/>
      </c>
      <c r="BZ52" s="73">
        <f>BY52*(1+$B$52)^(1/4)</f>
        <v/>
      </c>
      <c r="CA52" s="73">
        <f>BZ52*(1+$B$52)^(1/4)</f>
        <v/>
      </c>
      <c r="CB52" s="73">
        <f>CA52*(1+$B$52)^(1/4)</f>
        <v/>
      </c>
      <c r="CC52" s="73">
        <f>CB52*(1+$B$52)^(1/4)</f>
        <v/>
      </c>
      <c r="CD52" s="73">
        <f>CC52*(1+$B$52)^(1/4)</f>
        <v/>
      </c>
    </row>
    <row r="54">
      <c r="A54" t="inlineStr">
        <is>
          <t>Revenue escalation factor # (1-4)</t>
        </is>
      </c>
      <c r="B54" s="43" t="n">
        <v>1</v>
      </c>
    </row>
    <row r="55">
      <c r="A55" t="inlineStr">
        <is>
          <t>Opex escalation factor # (1-4)</t>
        </is>
      </c>
      <c r="B55" s="43" t="n">
        <v>2</v>
      </c>
    </row>
    <row r="57">
      <c r="A57" s="41" t="inlineStr">
        <is>
          <t>ACTIVE — Revenue Escalation Index</t>
        </is>
      </c>
      <c r="C57" s="73">
        <f>INDEX(C$49:C$52,$B$54)</f>
        <v/>
      </c>
      <c r="D57" s="73">
        <f>INDEX(D$49:D$52,$B$54)</f>
        <v/>
      </c>
      <c r="E57" s="73">
        <f>INDEX(E$49:E$52,$B$54)</f>
        <v/>
      </c>
      <c r="F57" s="73">
        <f>INDEX(F$49:F$52,$B$54)</f>
        <v/>
      </c>
      <c r="G57" s="73">
        <f>INDEX(G$49:G$52,$B$54)</f>
        <v/>
      </c>
      <c r="H57" s="73">
        <f>INDEX(H$49:H$52,$B$54)</f>
        <v/>
      </c>
      <c r="I57" s="73">
        <f>INDEX(I$49:I$52,$B$54)</f>
        <v/>
      </c>
      <c r="J57" s="73">
        <f>INDEX(J$49:J$52,$B$54)</f>
        <v/>
      </c>
      <c r="K57" s="73">
        <f>INDEX(K$49:K$52,$B$54)</f>
        <v/>
      </c>
      <c r="L57" s="73">
        <f>INDEX(L$49:L$52,$B$54)</f>
        <v/>
      </c>
      <c r="M57" s="73">
        <f>INDEX(M$49:M$52,$B$54)</f>
        <v/>
      </c>
      <c r="N57" s="73">
        <f>INDEX(N$49:N$52,$B$54)</f>
        <v/>
      </c>
      <c r="O57" s="73">
        <f>INDEX(O$49:O$52,$B$54)</f>
        <v/>
      </c>
      <c r="P57" s="73">
        <f>INDEX(P$49:P$52,$B$54)</f>
        <v/>
      </c>
      <c r="Q57" s="73">
        <f>INDEX(Q$49:Q$52,$B$54)</f>
        <v/>
      </c>
      <c r="R57" s="73">
        <f>INDEX(R$49:R$52,$B$54)</f>
        <v/>
      </c>
      <c r="S57" s="73">
        <f>INDEX(S$49:S$52,$B$54)</f>
        <v/>
      </c>
      <c r="T57" s="73">
        <f>INDEX(T$49:T$52,$B$54)</f>
        <v/>
      </c>
      <c r="U57" s="73">
        <f>INDEX(U$49:U$52,$B$54)</f>
        <v/>
      </c>
      <c r="V57" s="73">
        <f>INDEX(V$49:V$52,$B$54)</f>
        <v/>
      </c>
      <c r="W57" s="73">
        <f>INDEX(W$49:W$52,$B$54)</f>
        <v/>
      </c>
      <c r="X57" s="73">
        <f>INDEX(X$49:X$52,$B$54)</f>
        <v/>
      </c>
      <c r="Y57" s="73">
        <f>INDEX(Y$49:Y$52,$B$54)</f>
        <v/>
      </c>
      <c r="Z57" s="73">
        <f>INDEX(Z$49:Z$52,$B$54)</f>
        <v/>
      </c>
      <c r="AA57" s="73">
        <f>INDEX(AA$49:AA$52,$B$54)</f>
        <v/>
      </c>
      <c r="AB57" s="73">
        <f>INDEX(AB$49:AB$52,$B$54)</f>
        <v/>
      </c>
      <c r="AC57" s="73">
        <f>INDEX(AC$49:AC$52,$B$54)</f>
        <v/>
      </c>
      <c r="AD57" s="73">
        <f>INDEX(AD$49:AD$52,$B$54)</f>
        <v/>
      </c>
      <c r="AE57" s="73">
        <f>INDEX(AE$49:AE$52,$B$54)</f>
        <v/>
      </c>
      <c r="AF57" s="73">
        <f>INDEX(AF$49:AF$52,$B$54)</f>
        <v/>
      </c>
      <c r="AG57" s="73">
        <f>INDEX(AG$49:AG$52,$B$54)</f>
        <v/>
      </c>
      <c r="AH57" s="73">
        <f>INDEX(AH$49:AH$52,$B$54)</f>
        <v/>
      </c>
      <c r="AI57" s="73">
        <f>INDEX(AI$49:AI$52,$B$54)</f>
        <v/>
      </c>
      <c r="AJ57" s="73">
        <f>INDEX(AJ$49:AJ$52,$B$54)</f>
        <v/>
      </c>
      <c r="AK57" s="73">
        <f>INDEX(AK$49:AK$52,$B$54)</f>
        <v/>
      </c>
      <c r="AL57" s="73">
        <f>INDEX(AL$49:AL$52,$B$54)</f>
        <v/>
      </c>
      <c r="AM57" s="73">
        <f>INDEX(AM$49:AM$52,$B$54)</f>
        <v/>
      </c>
      <c r="AN57" s="73">
        <f>INDEX(AN$49:AN$52,$B$54)</f>
        <v/>
      </c>
      <c r="AO57" s="73">
        <f>INDEX(AO$49:AO$52,$B$54)</f>
        <v/>
      </c>
      <c r="AP57" s="73">
        <f>INDEX(AP$49:AP$52,$B$54)</f>
        <v/>
      </c>
      <c r="AQ57" s="73">
        <f>INDEX(AQ$49:AQ$52,$B$54)</f>
        <v/>
      </c>
      <c r="AR57" s="73">
        <f>INDEX(AR$49:AR$52,$B$54)</f>
        <v/>
      </c>
      <c r="AS57" s="73">
        <f>INDEX(AS$49:AS$52,$B$54)</f>
        <v/>
      </c>
      <c r="AT57" s="73">
        <f>INDEX(AT$49:AT$52,$B$54)</f>
        <v/>
      </c>
      <c r="AU57" s="73">
        <f>INDEX(AU$49:AU$52,$B$54)</f>
        <v/>
      </c>
      <c r="AV57" s="73">
        <f>INDEX(AV$49:AV$52,$B$54)</f>
        <v/>
      </c>
      <c r="AW57" s="73">
        <f>INDEX(AW$49:AW$52,$B$54)</f>
        <v/>
      </c>
      <c r="AX57" s="73">
        <f>INDEX(AX$49:AX$52,$B$54)</f>
        <v/>
      </c>
      <c r="AY57" s="73">
        <f>INDEX(AY$49:AY$52,$B$54)</f>
        <v/>
      </c>
      <c r="AZ57" s="73">
        <f>INDEX(AZ$49:AZ$52,$B$54)</f>
        <v/>
      </c>
      <c r="BA57" s="73">
        <f>INDEX(BA$49:BA$52,$B$54)</f>
        <v/>
      </c>
      <c r="BB57" s="73">
        <f>INDEX(BB$49:BB$52,$B$54)</f>
        <v/>
      </c>
      <c r="BC57" s="73">
        <f>INDEX(BC$49:BC$52,$B$54)</f>
        <v/>
      </c>
      <c r="BD57" s="73">
        <f>INDEX(BD$49:BD$52,$B$54)</f>
        <v/>
      </c>
      <c r="BE57" s="73">
        <f>INDEX(BE$49:BE$52,$B$54)</f>
        <v/>
      </c>
      <c r="BF57" s="73">
        <f>INDEX(BF$49:BF$52,$B$54)</f>
        <v/>
      </c>
      <c r="BG57" s="73">
        <f>INDEX(BG$49:BG$52,$B$54)</f>
        <v/>
      </c>
      <c r="BH57" s="73">
        <f>INDEX(BH$49:BH$52,$B$54)</f>
        <v/>
      </c>
      <c r="BI57" s="73">
        <f>INDEX(BI$49:BI$52,$B$54)</f>
        <v/>
      </c>
      <c r="BJ57" s="73">
        <f>INDEX(BJ$49:BJ$52,$B$54)</f>
        <v/>
      </c>
      <c r="BK57" s="73">
        <f>INDEX(BK$49:BK$52,$B$54)</f>
        <v/>
      </c>
      <c r="BL57" s="73">
        <f>INDEX(BL$49:BL$52,$B$54)</f>
        <v/>
      </c>
      <c r="BM57" s="73">
        <f>INDEX(BM$49:BM$52,$B$54)</f>
        <v/>
      </c>
      <c r="BN57" s="73">
        <f>INDEX(BN$49:BN$52,$B$54)</f>
        <v/>
      </c>
      <c r="BO57" s="73">
        <f>INDEX(BO$49:BO$52,$B$54)</f>
        <v/>
      </c>
      <c r="BP57" s="73">
        <f>INDEX(BP$49:BP$52,$B$54)</f>
        <v/>
      </c>
      <c r="BQ57" s="73">
        <f>INDEX(BQ$49:BQ$52,$B$54)</f>
        <v/>
      </c>
      <c r="BR57" s="73">
        <f>INDEX(BR$49:BR$52,$B$54)</f>
        <v/>
      </c>
      <c r="BS57" s="73">
        <f>INDEX(BS$49:BS$52,$B$54)</f>
        <v/>
      </c>
      <c r="BT57" s="73">
        <f>INDEX(BT$49:BT$52,$B$54)</f>
        <v/>
      </c>
      <c r="BU57" s="73">
        <f>INDEX(BU$49:BU$52,$B$54)</f>
        <v/>
      </c>
      <c r="BV57" s="73">
        <f>INDEX(BV$49:BV$52,$B$54)</f>
        <v/>
      </c>
      <c r="BW57" s="73">
        <f>INDEX(BW$49:BW$52,$B$54)</f>
        <v/>
      </c>
      <c r="BX57" s="73">
        <f>INDEX(BX$49:BX$52,$B$54)</f>
        <v/>
      </c>
      <c r="BY57" s="73">
        <f>INDEX(BY$49:BY$52,$B$54)</f>
        <v/>
      </c>
      <c r="BZ57" s="73">
        <f>INDEX(BZ$49:BZ$52,$B$54)</f>
        <v/>
      </c>
      <c r="CA57" s="73">
        <f>INDEX(CA$49:CA$52,$B$54)</f>
        <v/>
      </c>
      <c r="CB57" s="73">
        <f>INDEX(CB$49:CB$52,$B$54)</f>
        <v/>
      </c>
      <c r="CC57" s="73">
        <f>INDEX(CC$49:CC$52,$B$54)</f>
        <v/>
      </c>
      <c r="CD57" s="73">
        <f>INDEX(CD$49:CD$52,$B$54)</f>
        <v/>
      </c>
    </row>
    <row r="58">
      <c r="A58" s="41" t="inlineStr">
        <is>
          <t>ACTIVE — Opex Escalation Index</t>
        </is>
      </c>
      <c r="C58" s="73">
        <f>INDEX(C$49:C$52,$B$55)</f>
        <v/>
      </c>
      <c r="D58" s="73">
        <f>INDEX(D$49:D$52,$B$55)</f>
        <v/>
      </c>
      <c r="E58" s="73">
        <f>INDEX(E$49:E$52,$B$55)</f>
        <v/>
      </c>
      <c r="F58" s="73">
        <f>INDEX(F$49:F$52,$B$55)</f>
        <v/>
      </c>
      <c r="G58" s="73">
        <f>INDEX(G$49:G$52,$B$55)</f>
        <v/>
      </c>
      <c r="H58" s="73">
        <f>INDEX(H$49:H$52,$B$55)</f>
        <v/>
      </c>
      <c r="I58" s="73">
        <f>INDEX(I$49:I$52,$B$55)</f>
        <v/>
      </c>
      <c r="J58" s="73">
        <f>INDEX(J$49:J$52,$B$55)</f>
        <v/>
      </c>
      <c r="K58" s="73">
        <f>INDEX(K$49:K$52,$B$55)</f>
        <v/>
      </c>
      <c r="L58" s="73">
        <f>INDEX(L$49:L$52,$B$55)</f>
        <v/>
      </c>
      <c r="M58" s="73">
        <f>INDEX(M$49:M$52,$B$55)</f>
        <v/>
      </c>
      <c r="N58" s="73">
        <f>INDEX(N$49:N$52,$B$55)</f>
        <v/>
      </c>
      <c r="O58" s="73">
        <f>INDEX(O$49:O$52,$B$55)</f>
        <v/>
      </c>
      <c r="P58" s="73">
        <f>INDEX(P$49:P$52,$B$55)</f>
        <v/>
      </c>
      <c r="Q58" s="73">
        <f>INDEX(Q$49:Q$52,$B$55)</f>
        <v/>
      </c>
      <c r="R58" s="73">
        <f>INDEX(R$49:R$52,$B$55)</f>
        <v/>
      </c>
      <c r="S58" s="73">
        <f>INDEX(S$49:S$52,$B$55)</f>
        <v/>
      </c>
      <c r="T58" s="73">
        <f>INDEX(T$49:T$52,$B$55)</f>
        <v/>
      </c>
      <c r="U58" s="73">
        <f>INDEX(U$49:U$52,$B$55)</f>
        <v/>
      </c>
      <c r="V58" s="73">
        <f>INDEX(V$49:V$52,$B$55)</f>
        <v/>
      </c>
      <c r="W58" s="73">
        <f>INDEX(W$49:W$52,$B$55)</f>
        <v/>
      </c>
      <c r="X58" s="73">
        <f>INDEX(X$49:X$52,$B$55)</f>
        <v/>
      </c>
      <c r="Y58" s="73">
        <f>INDEX(Y$49:Y$52,$B$55)</f>
        <v/>
      </c>
      <c r="Z58" s="73">
        <f>INDEX(Z$49:Z$52,$B$55)</f>
        <v/>
      </c>
      <c r="AA58" s="73">
        <f>INDEX(AA$49:AA$52,$B$55)</f>
        <v/>
      </c>
      <c r="AB58" s="73">
        <f>INDEX(AB$49:AB$52,$B$55)</f>
        <v/>
      </c>
      <c r="AC58" s="73">
        <f>INDEX(AC$49:AC$52,$B$55)</f>
        <v/>
      </c>
      <c r="AD58" s="73">
        <f>INDEX(AD$49:AD$52,$B$55)</f>
        <v/>
      </c>
      <c r="AE58" s="73">
        <f>INDEX(AE$49:AE$52,$B$55)</f>
        <v/>
      </c>
      <c r="AF58" s="73">
        <f>INDEX(AF$49:AF$52,$B$55)</f>
        <v/>
      </c>
      <c r="AG58" s="73">
        <f>INDEX(AG$49:AG$52,$B$55)</f>
        <v/>
      </c>
      <c r="AH58" s="73">
        <f>INDEX(AH$49:AH$52,$B$55)</f>
        <v/>
      </c>
      <c r="AI58" s="73">
        <f>INDEX(AI$49:AI$52,$B$55)</f>
        <v/>
      </c>
      <c r="AJ58" s="73">
        <f>INDEX(AJ$49:AJ$52,$B$55)</f>
        <v/>
      </c>
      <c r="AK58" s="73">
        <f>INDEX(AK$49:AK$52,$B$55)</f>
        <v/>
      </c>
      <c r="AL58" s="73">
        <f>INDEX(AL$49:AL$52,$B$55)</f>
        <v/>
      </c>
      <c r="AM58" s="73">
        <f>INDEX(AM$49:AM$52,$B$55)</f>
        <v/>
      </c>
      <c r="AN58" s="73">
        <f>INDEX(AN$49:AN$52,$B$55)</f>
        <v/>
      </c>
      <c r="AO58" s="73">
        <f>INDEX(AO$49:AO$52,$B$55)</f>
        <v/>
      </c>
      <c r="AP58" s="73">
        <f>INDEX(AP$49:AP$52,$B$55)</f>
        <v/>
      </c>
      <c r="AQ58" s="73">
        <f>INDEX(AQ$49:AQ$52,$B$55)</f>
        <v/>
      </c>
      <c r="AR58" s="73">
        <f>INDEX(AR$49:AR$52,$B$55)</f>
        <v/>
      </c>
      <c r="AS58" s="73">
        <f>INDEX(AS$49:AS$52,$B$55)</f>
        <v/>
      </c>
      <c r="AT58" s="73">
        <f>INDEX(AT$49:AT$52,$B$55)</f>
        <v/>
      </c>
      <c r="AU58" s="73">
        <f>INDEX(AU$49:AU$52,$B$55)</f>
        <v/>
      </c>
      <c r="AV58" s="73">
        <f>INDEX(AV$49:AV$52,$B$55)</f>
        <v/>
      </c>
      <c r="AW58" s="73">
        <f>INDEX(AW$49:AW$52,$B$55)</f>
        <v/>
      </c>
      <c r="AX58" s="73">
        <f>INDEX(AX$49:AX$52,$B$55)</f>
        <v/>
      </c>
      <c r="AY58" s="73">
        <f>INDEX(AY$49:AY$52,$B$55)</f>
        <v/>
      </c>
      <c r="AZ58" s="73">
        <f>INDEX(AZ$49:AZ$52,$B$55)</f>
        <v/>
      </c>
      <c r="BA58" s="73">
        <f>INDEX(BA$49:BA$52,$B$55)</f>
        <v/>
      </c>
      <c r="BB58" s="73">
        <f>INDEX(BB$49:BB$52,$B$55)</f>
        <v/>
      </c>
      <c r="BC58" s="73">
        <f>INDEX(BC$49:BC$52,$B$55)</f>
        <v/>
      </c>
      <c r="BD58" s="73">
        <f>INDEX(BD$49:BD$52,$B$55)</f>
        <v/>
      </c>
      <c r="BE58" s="73">
        <f>INDEX(BE$49:BE$52,$B$55)</f>
        <v/>
      </c>
      <c r="BF58" s="73">
        <f>INDEX(BF$49:BF$52,$B$55)</f>
        <v/>
      </c>
      <c r="BG58" s="73">
        <f>INDEX(BG$49:BG$52,$B$55)</f>
        <v/>
      </c>
      <c r="BH58" s="73">
        <f>INDEX(BH$49:BH$52,$B$55)</f>
        <v/>
      </c>
      <c r="BI58" s="73">
        <f>INDEX(BI$49:BI$52,$B$55)</f>
        <v/>
      </c>
      <c r="BJ58" s="73">
        <f>INDEX(BJ$49:BJ$52,$B$55)</f>
        <v/>
      </c>
      <c r="BK58" s="73">
        <f>INDEX(BK$49:BK$52,$B$55)</f>
        <v/>
      </c>
      <c r="BL58" s="73">
        <f>INDEX(BL$49:BL$52,$B$55)</f>
        <v/>
      </c>
      <c r="BM58" s="73">
        <f>INDEX(BM$49:BM$52,$B$55)</f>
        <v/>
      </c>
      <c r="BN58" s="73">
        <f>INDEX(BN$49:BN$52,$B$55)</f>
        <v/>
      </c>
      <c r="BO58" s="73">
        <f>INDEX(BO$49:BO$52,$B$55)</f>
        <v/>
      </c>
      <c r="BP58" s="73">
        <f>INDEX(BP$49:BP$52,$B$55)</f>
        <v/>
      </c>
      <c r="BQ58" s="73">
        <f>INDEX(BQ$49:BQ$52,$B$55)</f>
        <v/>
      </c>
      <c r="BR58" s="73">
        <f>INDEX(BR$49:BR$52,$B$55)</f>
        <v/>
      </c>
      <c r="BS58" s="73">
        <f>INDEX(BS$49:BS$52,$B$55)</f>
        <v/>
      </c>
      <c r="BT58" s="73">
        <f>INDEX(BT$49:BT$52,$B$55)</f>
        <v/>
      </c>
      <c r="BU58" s="73">
        <f>INDEX(BU$49:BU$52,$B$55)</f>
        <v/>
      </c>
      <c r="BV58" s="73">
        <f>INDEX(BV$49:BV$52,$B$55)</f>
        <v/>
      </c>
      <c r="BW58" s="73">
        <f>INDEX(BW$49:BW$52,$B$55)</f>
        <v/>
      </c>
      <c r="BX58" s="73">
        <f>INDEX(BX$49:BX$52,$B$55)</f>
        <v/>
      </c>
      <c r="BY58" s="73">
        <f>INDEX(BY$49:BY$52,$B$55)</f>
        <v/>
      </c>
      <c r="BZ58" s="73">
        <f>INDEX(BZ$49:BZ$52,$B$55)</f>
        <v/>
      </c>
      <c r="CA58" s="73">
        <f>INDEX(CA$49:CA$52,$B$55)</f>
        <v/>
      </c>
      <c r="CB58" s="73">
        <f>INDEX(CB$49:CB$52,$B$55)</f>
        <v/>
      </c>
      <c r="CC58" s="73">
        <f>INDEX(CC$49:CC$52,$B$55)</f>
        <v/>
      </c>
      <c r="CD58" s="73">
        <f>INDEX(CD$49:CD$52,$B$55)</f>
        <v/>
      </c>
    </row>
    <row r="61">
      <c r="A61" s="41" t="inlineStr">
        <is>
          <t>Checks</t>
        </is>
      </c>
    </row>
    <row r="62">
      <c r="A62" t="inlineStr">
        <is>
          <t>Check: All escalation indices start at 1.00</t>
        </is>
      </c>
      <c r="B62" s="69">
        <f>IF(SUMPRODUCT(--(ROUND(C49:C52-1,9)&lt;&gt;0))=0,1,0)</f>
        <v/>
      </c>
    </row>
    <row r="63">
      <c r="A63" t="inlineStr">
        <is>
          <t>Check: Active volume indices &gt; 0 in every quarter</t>
        </is>
      </c>
      <c r="B63" s="69">
        <f>IF(AND(MIN(C18:CD18)&gt;0,MIN(C31:CD31)&gt;0),1,0)</f>
        <v/>
      </c>
    </row>
    <row r="64">
      <c r="A64" t="inlineStr">
        <is>
          <t>Check: Active lumpy maintenance capex &gt;= 0 in every quarter</t>
        </is>
      </c>
      <c r="B64" s="69">
        <f>IF(MIN(C44:CD44)&gt;=0,1,0)</f>
        <v/>
      </c>
    </row>
  </sheetData>
  <pageMargins left="0.75" right="0.75" top="1" bottom="1" header="0.5" footer="0.5"/>
</worksheet>
</file>

<file path=xl/worksheets/sheet6.xml><?xml version="1.0" encoding="utf-8"?>
<worksheet xmlns="http://schemas.openxmlformats.org/spreadsheetml/2006/main">
  <sheetPr>
    <tabColor rgb="00808080"/>
    <outlinePr summaryBelow="1" summaryRight="1"/>
    <pageSetUpPr/>
  </sheetPr>
  <dimension ref="A1:Z22"/>
  <sheetViews>
    <sheetView workbookViewId="0">
      <pane xSplit="2" ySplit="17" topLeftCell="C18" activePane="bottomRight" state="frozen"/>
      <selection pane="topRight"/>
      <selection pane="bottomLeft"/>
      <selection pane="bottomRight" activeCell="A1" sqref="A1"/>
    </sheetView>
  </sheetViews>
  <sheetFormatPr baseColWidth="8" defaultRowHeight="15"/>
  <sheetData>
    <row r="1">
      <c r="A1" s="59" t="inlineStr">
        <is>
          <t>Calc_Capex — Monthly Construction Capex &amp; Funding</t>
        </is>
      </c>
    </row>
    <row r="2">
      <c r="A2" t="inlineStr">
        <is>
          <t>Period End Date</t>
        </is>
      </c>
      <c r="C2" s="16" t="n">
        <v>46418</v>
      </c>
      <c r="D2" s="16" t="n">
        <v>46446</v>
      </c>
      <c r="E2" s="16" t="n">
        <v>46477</v>
      </c>
      <c r="F2" s="16" t="n">
        <v>46507</v>
      </c>
      <c r="G2" s="16" t="n">
        <v>46538</v>
      </c>
      <c r="H2" s="16" t="n">
        <v>46568</v>
      </c>
      <c r="I2" s="16" t="n">
        <v>46599</v>
      </c>
      <c r="J2" s="16" t="n">
        <v>46630</v>
      </c>
      <c r="K2" s="16" t="n">
        <v>46660</v>
      </c>
      <c r="L2" s="16" t="n">
        <v>46691</v>
      </c>
      <c r="M2" s="16" t="n">
        <v>46721</v>
      </c>
      <c r="N2" s="16" t="n">
        <v>46752</v>
      </c>
      <c r="O2" s="16" t="n">
        <v>46783</v>
      </c>
      <c r="P2" s="16" t="n">
        <v>46812</v>
      </c>
      <c r="Q2" s="16" t="n">
        <v>46843</v>
      </c>
      <c r="R2" s="16" t="n">
        <v>46873</v>
      </c>
      <c r="S2" s="16" t="n">
        <v>46904</v>
      </c>
      <c r="T2" s="16" t="n">
        <v>46934</v>
      </c>
      <c r="U2" s="16" t="n">
        <v>46965</v>
      </c>
      <c r="V2" s="16" t="n">
        <v>46996</v>
      </c>
      <c r="W2" s="16" t="n">
        <v>47026</v>
      </c>
      <c r="X2" s="16" t="n">
        <v>47057</v>
      </c>
      <c r="Y2" s="16" t="n">
        <v>47087</v>
      </c>
      <c r="Z2" s="16" t="n">
        <v>47118</v>
      </c>
    </row>
    <row r="3">
      <c r="A3" t="inlineStr">
        <is>
          <t>Construction Month #</t>
        </is>
      </c>
      <c r="C3" t="n">
        <v>1</v>
      </c>
      <c r="D3" t="n">
        <v>2</v>
      </c>
      <c r="E3" t="n">
        <v>3</v>
      </c>
      <c r="F3" t="n">
        <v>4</v>
      </c>
      <c r="G3" t="n">
        <v>5</v>
      </c>
      <c r="H3" t="n">
        <v>6</v>
      </c>
      <c r="I3" t="n">
        <v>7</v>
      </c>
      <c r="J3" t="n">
        <v>8</v>
      </c>
      <c r="K3" t="n">
        <v>9</v>
      </c>
      <c r="L3" t="n">
        <v>10</v>
      </c>
      <c r="M3" t="n">
        <v>11</v>
      </c>
      <c r="N3" t="n">
        <v>12</v>
      </c>
      <c r="O3" t="n">
        <v>13</v>
      </c>
      <c r="P3" t="n">
        <v>14</v>
      </c>
      <c r="Q3" t="n">
        <v>15</v>
      </c>
      <c r="R3" t="n">
        <v>16</v>
      </c>
      <c r="S3" t="n">
        <v>17</v>
      </c>
      <c r="T3" t="n">
        <v>18</v>
      </c>
      <c r="U3" t="n">
        <v>19</v>
      </c>
      <c r="V3" t="n">
        <v>20</v>
      </c>
      <c r="W3" t="n">
        <v>21</v>
      </c>
      <c r="X3" t="n">
        <v>22</v>
      </c>
      <c r="Y3" t="n">
        <v>23</v>
      </c>
      <c r="Z3" t="n">
        <v>24</v>
      </c>
    </row>
    <row r="4">
      <c r="A4" t="inlineStr">
        <is>
          <t>Total Capex Input ($) — linked from Assumptions_Model</t>
        </is>
      </c>
      <c r="B4" s="55">
        <f>Assumptions_Model!$B$3</f>
        <v/>
      </c>
    </row>
    <row r="5">
      <c r="A5" t="inlineStr">
        <is>
          <t>Capex Phasing %</t>
        </is>
      </c>
      <c r="C5" s="56">
        <f>Assumptions_Model!C18</f>
        <v/>
      </c>
      <c r="D5" s="56">
        <f>Assumptions_Model!D18</f>
        <v/>
      </c>
      <c r="E5" s="56">
        <f>Assumptions_Model!E18</f>
        <v/>
      </c>
      <c r="F5" s="56">
        <f>Assumptions_Model!F18</f>
        <v/>
      </c>
      <c r="G5" s="56">
        <f>Assumptions_Model!G18</f>
        <v/>
      </c>
      <c r="H5" s="56">
        <f>Assumptions_Model!H18</f>
        <v/>
      </c>
      <c r="I5" s="56">
        <f>Assumptions_Model!I18</f>
        <v/>
      </c>
      <c r="J5" s="56">
        <f>Assumptions_Model!J18</f>
        <v/>
      </c>
      <c r="K5" s="56">
        <f>Assumptions_Model!K18</f>
        <v/>
      </c>
      <c r="L5" s="56">
        <f>Assumptions_Model!L18</f>
        <v/>
      </c>
      <c r="M5" s="56">
        <f>Assumptions_Model!M18</f>
        <v/>
      </c>
      <c r="N5" s="56">
        <f>Assumptions_Model!N18</f>
        <v/>
      </c>
      <c r="O5" s="56">
        <f>Assumptions_Model!O18</f>
        <v/>
      </c>
      <c r="P5" s="56">
        <f>Assumptions_Model!P18</f>
        <v/>
      </c>
      <c r="Q5" s="56">
        <f>Assumptions_Model!Q18</f>
        <v/>
      </c>
      <c r="R5" s="56">
        <f>Assumptions_Model!R18</f>
        <v/>
      </c>
      <c r="S5" s="56">
        <f>Assumptions_Model!S18</f>
        <v/>
      </c>
      <c r="T5" s="56">
        <f>Assumptions_Model!T18</f>
        <v/>
      </c>
      <c r="U5" s="56">
        <f>Assumptions_Model!U18</f>
        <v/>
      </c>
      <c r="V5" s="56">
        <f>Assumptions_Model!V18</f>
        <v/>
      </c>
      <c r="W5" s="56">
        <f>Assumptions_Model!W18</f>
        <v/>
      </c>
      <c r="X5" s="56">
        <f>Assumptions_Model!X18</f>
        <v/>
      </c>
      <c r="Y5" s="56">
        <f>Assumptions_Model!Y18</f>
        <v/>
      </c>
      <c r="Z5" s="56">
        <f>Assumptions_Model!Z18</f>
        <v/>
      </c>
    </row>
    <row r="6">
      <c r="A6" t="inlineStr">
        <is>
          <t>Capex Draw ($)</t>
        </is>
      </c>
      <c r="C6" s="64">
        <f>C5*$B$4</f>
        <v/>
      </c>
      <c r="D6" s="64">
        <f>D5*$B$4</f>
        <v/>
      </c>
      <c r="E6" s="64">
        <f>E5*$B$4</f>
        <v/>
      </c>
      <c r="F6" s="64">
        <f>F5*$B$4</f>
        <v/>
      </c>
      <c r="G6" s="64">
        <f>G5*$B$4</f>
        <v/>
      </c>
      <c r="H6" s="64">
        <f>H5*$B$4</f>
        <v/>
      </c>
      <c r="I6" s="64">
        <f>I5*$B$4</f>
        <v/>
      </c>
      <c r="J6" s="64">
        <f>J5*$B$4</f>
        <v/>
      </c>
      <c r="K6" s="64">
        <f>K5*$B$4</f>
        <v/>
      </c>
      <c r="L6" s="64">
        <f>L5*$B$4</f>
        <v/>
      </c>
      <c r="M6" s="64">
        <f>M5*$B$4</f>
        <v/>
      </c>
      <c r="N6" s="64">
        <f>N5*$B$4</f>
        <v/>
      </c>
      <c r="O6" s="64">
        <f>O5*$B$4</f>
        <v/>
      </c>
      <c r="P6" s="64">
        <f>P5*$B$4</f>
        <v/>
      </c>
      <c r="Q6" s="64">
        <f>Q5*$B$4</f>
        <v/>
      </c>
      <c r="R6" s="64">
        <f>R5*$B$4</f>
        <v/>
      </c>
      <c r="S6" s="64">
        <f>S5*$B$4</f>
        <v/>
      </c>
      <c r="T6" s="64">
        <f>T5*$B$4</f>
        <v/>
      </c>
      <c r="U6" s="64">
        <f>U5*$B$4</f>
        <v/>
      </c>
      <c r="V6" s="64">
        <f>V5*$B$4</f>
        <v/>
      </c>
      <c r="W6" s="64">
        <f>W5*$B$4</f>
        <v/>
      </c>
      <c r="X6" s="64">
        <f>X5*$B$4</f>
        <v/>
      </c>
      <c r="Y6" s="64">
        <f>Y5*$B$4</f>
        <v/>
      </c>
      <c r="Z6" s="64">
        <f>Z5*$B$4</f>
        <v/>
      </c>
    </row>
    <row r="7">
      <c r="A7" t="inlineStr">
        <is>
          <t>Cumulative Capex Draw ($)</t>
        </is>
      </c>
      <c r="C7" s="64">
        <f>C6</f>
        <v/>
      </c>
      <c r="D7" s="64">
        <f>C7+D6</f>
        <v/>
      </c>
      <c r="E7" s="64">
        <f>D7+E6</f>
        <v/>
      </c>
      <c r="F7" s="64">
        <f>E7+F6</f>
        <v/>
      </c>
      <c r="G7" s="64">
        <f>F7+G6</f>
        <v/>
      </c>
      <c r="H7" s="64">
        <f>G7+H6</f>
        <v/>
      </c>
      <c r="I7" s="64">
        <f>H7+I6</f>
        <v/>
      </c>
      <c r="J7" s="64">
        <f>I7+J6</f>
        <v/>
      </c>
      <c r="K7" s="64">
        <f>J7+K6</f>
        <v/>
      </c>
      <c r="L7" s="64">
        <f>K7+L6</f>
        <v/>
      </c>
      <c r="M7" s="64">
        <f>L7+M6</f>
        <v/>
      </c>
      <c r="N7" s="64">
        <f>M7+N6</f>
        <v/>
      </c>
      <c r="O7" s="64">
        <f>N7+O6</f>
        <v/>
      </c>
      <c r="P7" s="64">
        <f>O7+P6</f>
        <v/>
      </c>
      <c r="Q7" s="64">
        <f>P7+Q6</f>
        <v/>
      </c>
      <c r="R7" s="64">
        <f>Q7+R6</f>
        <v/>
      </c>
      <c r="S7" s="64">
        <f>R7+S6</f>
        <v/>
      </c>
      <c r="T7" s="64">
        <f>S7+T6</f>
        <v/>
      </c>
      <c r="U7" s="64">
        <f>T7+U6</f>
        <v/>
      </c>
      <c r="V7" s="64">
        <f>U7+V6</f>
        <v/>
      </c>
      <c r="W7" s="64">
        <f>V7+W6</f>
        <v/>
      </c>
      <c r="X7" s="64">
        <f>W7+X6</f>
        <v/>
      </c>
      <c r="Y7" s="64">
        <f>X7+Y6</f>
        <v/>
      </c>
      <c r="Z7" s="64">
        <f>Y7+Z6</f>
        <v/>
      </c>
    </row>
    <row r="9">
      <c r="A9" t="inlineStr">
        <is>
          <t>Debt Funding % — linked from Assumptions_Model (Stage 1a: fixed ratio; Stage 1b: Loop 1 draw sequencing)</t>
        </is>
      </c>
      <c r="B9" s="56">
        <f>Assumptions_Model!$B$4</f>
        <v/>
      </c>
    </row>
    <row r="10">
      <c r="A10" t="inlineStr">
        <is>
          <t>Debt Draw ($) — linked from Calc_Financing_Cons</t>
        </is>
      </c>
      <c r="C10" s="55">
        <f>Calc_Financing_Cons!C21</f>
        <v/>
      </c>
      <c r="D10" s="55">
        <f>Calc_Financing_Cons!D21</f>
        <v/>
      </c>
      <c r="E10" s="55">
        <f>Calc_Financing_Cons!E21</f>
        <v/>
      </c>
      <c r="F10" s="55">
        <f>Calc_Financing_Cons!F21</f>
        <v/>
      </c>
      <c r="G10" s="55">
        <f>Calc_Financing_Cons!G21</f>
        <v/>
      </c>
      <c r="H10" s="55">
        <f>Calc_Financing_Cons!H21</f>
        <v/>
      </c>
      <c r="I10" s="55">
        <f>Calc_Financing_Cons!I21</f>
        <v/>
      </c>
      <c r="J10" s="55">
        <f>Calc_Financing_Cons!J21</f>
        <v/>
      </c>
      <c r="K10" s="55">
        <f>Calc_Financing_Cons!K21</f>
        <v/>
      </c>
      <c r="L10" s="55">
        <f>Calc_Financing_Cons!L21</f>
        <v/>
      </c>
      <c r="M10" s="55">
        <f>Calc_Financing_Cons!M21</f>
        <v/>
      </c>
      <c r="N10" s="55">
        <f>Calc_Financing_Cons!N21</f>
        <v/>
      </c>
      <c r="O10" s="55">
        <f>Calc_Financing_Cons!O21</f>
        <v/>
      </c>
      <c r="P10" s="55">
        <f>Calc_Financing_Cons!P21</f>
        <v/>
      </c>
      <c r="Q10" s="55">
        <f>Calc_Financing_Cons!Q21</f>
        <v/>
      </c>
      <c r="R10" s="55">
        <f>Calc_Financing_Cons!R21</f>
        <v/>
      </c>
      <c r="S10" s="55">
        <f>Calc_Financing_Cons!S21</f>
        <v/>
      </c>
      <c r="T10" s="55">
        <f>Calc_Financing_Cons!T21</f>
        <v/>
      </c>
      <c r="U10" s="55">
        <f>Calc_Financing_Cons!U21</f>
        <v/>
      </c>
      <c r="V10" s="55">
        <f>Calc_Financing_Cons!V21</f>
        <v/>
      </c>
      <c r="W10" s="55">
        <f>Calc_Financing_Cons!W21</f>
        <v/>
      </c>
      <c r="X10" s="55">
        <f>Calc_Financing_Cons!X21</f>
        <v/>
      </c>
      <c r="Y10" s="55">
        <f>Calc_Financing_Cons!Y21</f>
        <v/>
      </c>
      <c r="Z10" s="55">
        <f>Calc_Financing_Cons!Z21</f>
        <v/>
      </c>
    </row>
    <row r="11">
      <c r="A11" t="inlineStr">
        <is>
          <t>Equity Draw ($) — linked from Calc_Financing_Cons</t>
        </is>
      </c>
      <c r="C11" s="55">
        <f>Calc_Financing_Cons!C22</f>
        <v/>
      </c>
      <c r="D11" s="55">
        <f>Calc_Financing_Cons!D22</f>
        <v/>
      </c>
      <c r="E11" s="55">
        <f>Calc_Financing_Cons!E22</f>
        <v/>
      </c>
      <c r="F11" s="55">
        <f>Calc_Financing_Cons!F22</f>
        <v/>
      </c>
      <c r="G11" s="55">
        <f>Calc_Financing_Cons!G22</f>
        <v/>
      </c>
      <c r="H11" s="55">
        <f>Calc_Financing_Cons!H22</f>
        <v/>
      </c>
      <c r="I11" s="55">
        <f>Calc_Financing_Cons!I22</f>
        <v/>
      </c>
      <c r="J11" s="55">
        <f>Calc_Financing_Cons!J22</f>
        <v/>
      </c>
      <c r="K11" s="55">
        <f>Calc_Financing_Cons!K22</f>
        <v/>
      </c>
      <c r="L11" s="55">
        <f>Calc_Financing_Cons!L22</f>
        <v/>
      </c>
      <c r="M11" s="55">
        <f>Calc_Financing_Cons!M22</f>
        <v/>
      </c>
      <c r="N11" s="55">
        <f>Calc_Financing_Cons!N22</f>
        <v/>
      </c>
      <c r="O11" s="55">
        <f>Calc_Financing_Cons!O22</f>
        <v/>
      </c>
      <c r="P11" s="55">
        <f>Calc_Financing_Cons!P22</f>
        <v/>
      </c>
      <c r="Q11" s="55">
        <f>Calc_Financing_Cons!Q22</f>
        <v/>
      </c>
      <c r="R11" s="55">
        <f>Calc_Financing_Cons!R22</f>
        <v/>
      </c>
      <c r="S11" s="55">
        <f>Calc_Financing_Cons!S22</f>
        <v/>
      </c>
      <c r="T11" s="55">
        <f>Calc_Financing_Cons!T22</f>
        <v/>
      </c>
      <c r="U11" s="55">
        <f>Calc_Financing_Cons!U22</f>
        <v/>
      </c>
      <c r="V11" s="55">
        <f>Calc_Financing_Cons!V22</f>
        <v/>
      </c>
      <c r="W11" s="55">
        <f>Calc_Financing_Cons!W22</f>
        <v/>
      </c>
      <c r="X11" s="55">
        <f>Calc_Financing_Cons!X22</f>
        <v/>
      </c>
      <c r="Y11" s="55">
        <f>Calc_Financing_Cons!Y22</f>
        <v/>
      </c>
      <c r="Z11" s="55">
        <f>Calc_Financing_Cons!Z22</f>
        <v/>
      </c>
    </row>
    <row r="12">
      <c r="A12" t="inlineStr">
        <is>
          <t>Cumulative Debt Draw ($) — linked from Calc_Financing_Cons</t>
        </is>
      </c>
      <c r="C12" s="55">
        <f>Calc_Financing_Cons!C23</f>
        <v/>
      </c>
      <c r="D12" s="55">
        <f>Calc_Financing_Cons!D23</f>
        <v/>
      </c>
      <c r="E12" s="55">
        <f>Calc_Financing_Cons!E23</f>
        <v/>
      </c>
      <c r="F12" s="55">
        <f>Calc_Financing_Cons!F23</f>
        <v/>
      </c>
      <c r="G12" s="55">
        <f>Calc_Financing_Cons!G23</f>
        <v/>
      </c>
      <c r="H12" s="55">
        <f>Calc_Financing_Cons!H23</f>
        <v/>
      </c>
      <c r="I12" s="55">
        <f>Calc_Financing_Cons!I23</f>
        <v/>
      </c>
      <c r="J12" s="55">
        <f>Calc_Financing_Cons!J23</f>
        <v/>
      </c>
      <c r="K12" s="55">
        <f>Calc_Financing_Cons!K23</f>
        <v/>
      </c>
      <c r="L12" s="55">
        <f>Calc_Financing_Cons!L23</f>
        <v/>
      </c>
      <c r="M12" s="55">
        <f>Calc_Financing_Cons!M23</f>
        <v/>
      </c>
      <c r="N12" s="55">
        <f>Calc_Financing_Cons!N23</f>
        <v/>
      </c>
      <c r="O12" s="55">
        <f>Calc_Financing_Cons!O23</f>
        <v/>
      </c>
      <c r="P12" s="55">
        <f>Calc_Financing_Cons!P23</f>
        <v/>
      </c>
      <c r="Q12" s="55">
        <f>Calc_Financing_Cons!Q23</f>
        <v/>
      </c>
      <c r="R12" s="55">
        <f>Calc_Financing_Cons!R23</f>
        <v/>
      </c>
      <c r="S12" s="55">
        <f>Calc_Financing_Cons!S23</f>
        <v/>
      </c>
      <c r="T12" s="55">
        <f>Calc_Financing_Cons!T23</f>
        <v/>
      </c>
      <c r="U12" s="55">
        <f>Calc_Financing_Cons!U23</f>
        <v/>
      </c>
      <c r="V12" s="55">
        <f>Calc_Financing_Cons!V23</f>
        <v/>
      </c>
      <c r="W12" s="55">
        <f>Calc_Financing_Cons!W23</f>
        <v/>
      </c>
      <c r="X12" s="55">
        <f>Calc_Financing_Cons!X23</f>
        <v/>
      </c>
      <c r="Y12" s="55">
        <f>Calc_Financing_Cons!Y23</f>
        <v/>
      </c>
      <c r="Z12" s="55">
        <f>Calc_Financing_Cons!Z23</f>
        <v/>
      </c>
    </row>
    <row r="13">
      <c r="A13" t="inlineStr">
        <is>
          <t>Cumulative Equity Draw ($) — linked from Calc_Financing_Cons</t>
        </is>
      </c>
      <c r="C13" s="55">
        <f>Calc_Financing_Cons!C24</f>
        <v/>
      </c>
      <c r="D13" s="55">
        <f>Calc_Financing_Cons!D24</f>
        <v/>
      </c>
      <c r="E13" s="55">
        <f>Calc_Financing_Cons!E24</f>
        <v/>
      </c>
      <c r="F13" s="55">
        <f>Calc_Financing_Cons!F24</f>
        <v/>
      </c>
      <c r="G13" s="55">
        <f>Calc_Financing_Cons!G24</f>
        <v/>
      </c>
      <c r="H13" s="55">
        <f>Calc_Financing_Cons!H24</f>
        <v/>
      </c>
      <c r="I13" s="55">
        <f>Calc_Financing_Cons!I24</f>
        <v/>
      </c>
      <c r="J13" s="55">
        <f>Calc_Financing_Cons!J24</f>
        <v/>
      </c>
      <c r="K13" s="55">
        <f>Calc_Financing_Cons!K24</f>
        <v/>
      </c>
      <c r="L13" s="55">
        <f>Calc_Financing_Cons!L24</f>
        <v/>
      </c>
      <c r="M13" s="55">
        <f>Calc_Financing_Cons!M24</f>
        <v/>
      </c>
      <c r="N13" s="55">
        <f>Calc_Financing_Cons!N24</f>
        <v/>
      </c>
      <c r="O13" s="55">
        <f>Calc_Financing_Cons!O24</f>
        <v/>
      </c>
      <c r="P13" s="55">
        <f>Calc_Financing_Cons!P24</f>
        <v/>
      </c>
      <c r="Q13" s="55">
        <f>Calc_Financing_Cons!Q24</f>
        <v/>
      </c>
      <c r="R13" s="55">
        <f>Calc_Financing_Cons!R24</f>
        <v/>
      </c>
      <c r="S13" s="55">
        <f>Calc_Financing_Cons!S24</f>
        <v/>
      </c>
      <c r="T13" s="55">
        <f>Calc_Financing_Cons!T24</f>
        <v/>
      </c>
      <c r="U13" s="55">
        <f>Calc_Financing_Cons!U24</f>
        <v/>
      </c>
      <c r="V13" s="55">
        <f>Calc_Financing_Cons!V24</f>
        <v/>
      </c>
      <c r="W13" s="55">
        <f>Calc_Financing_Cons!W24</f>
        <v/>
      </c>
      <c r="X13" s="55">
        <f>Calc_Financing_Cons!X24</f>
        <v/>
      </c>
      <c r="Y13" s="55">
        <f>Calc_Financing_Cons!Y24</f>
        <v/>
      </c>
      <c r="Z13" s="55">
        <f>Calc_Financing_Cons!Z24</f>
        <v/>
      </c>
    </row>
    <row r="15">
      <c r="A15" t="inlineStr">
        <is>
          <t>IDC ($, monthly) — solved via Loop 1, linked from Calc_Financing_Cons</t>
        </is>
      </c>
      <c r="C15" s="55">
        <f>Calc_Financing_Cons!C18</f>
        <v/>
      </c>
      <c r="D15" s="55">
        <f>Calc_Financing_Cons!D18</f>
        <v/>
      </c>
      <c r="E15" s="55">
        <f>Calc_Financing_Cons!E18</f>
        <v/>
      </c>
      <c r="F15" s="55">
        <f>Calc_Financing_Cons!F18</f>
        <v/>
      </c>
      <c r="G15" s="55">
        <f>Calc_Financing_Cons!G18</f>
        <v/>
      </c>
      <c r="H15" s="55">
        <f>Calc_Financing_Cons!H18</f>
        <v/>
      </c>
      <c r="I15" s="55">
        <f>Calc_Financing_Cons!I18</f>
        <v/>
      </c>
      <c r="J15" s="55">
        <f>Calc_Financing_Cons!J18</f>
        <v/>
      </c>
      <c r="K15" s="55">
        <f>Calc_Financing_Cons!K18</f>
        <v/>
      </c>
      <c r="L15" s="55">
        <f>Calc_Financing_Cons!L18</f>
        <v/>
      </c>
      <c r="M15" s="55">
        <f>Calc_Financing_Cons!M18</f>
        <v/>
      </c>
      <c r="N15" s="55">
        <f>Calc_Financing_Cons!N18</f>
        <v/>
      </c>
      <c r="O15" s="55">
        <f>Calc_Financing_Cons!O18</f>
        <v/>
      </c>
      <c r="P15" s="55">
        <f>Calc_Financing_Cons!P18</f>
        <v/>
      </c>
      <c r="Q15" s="55">
        <f>Calc_Financing_Cons!Q18</f>
        <v/>
      </c>
      <c r="R15" s="55">
        <f>Calc_Financing_Cons!R18</f>
        <v/>
      </c>
      <c r="S15" s="55">
        <f>Calc_Financing_Cons!S18</f>
        <v/>
      </c>
      <c r="T15" s="55">
        <f>Calc_Financing_Cons!T18</f>
        <v/>
      </c>
      <c r="U15" s="55">
        <f>Calc_Financing_Cons!U18</f>
        <v/>
      </c>
      <c r="V15" s="55">
        <f>Calc_Financing_Cons!V18</f>
        <v/>
      </c>
      <c r="W15" s="55">
        <f>Calc_Financing_Cons!W18</f>
        <v/>
      </c>
      <c r="X15" s="55">
        <f>Calc_Financing_Cons!X18</f>
        <v/>
      </c>
      <c r="Y15" s="55">
        <f>Calc_Financing_Cons!Y18</f>
        <v/>
      </c>
      <c r="Z15" s="55">
        <f>Calc_Financing_Cons!Z18</f>
        <v/>
      </c>
    </row>
    <row r="16">
      <c r="A16" t="inlineStr">
        <is>
          <t>Cumulative IDC ($)</t>
        </is>
      </c>
      <c r="C16" s="64">
        <f>C15</f>
        <v/>
      </c>
      <c r="D16" s="64">
        <f>C16+D15</f>
        <v/>
      </c>
      <c r="E16" s="64">
        <f>D16+E15</f>
        <v/>
      </c>
      <c r="F16" s="64">
        <f>E16+F15</f>
        <v/>
      </c>
      <c r="G16" s="64">
        <f>F16+G15</f>
        <v/>
      </c>
      <c r="H16" s="64">
        <f>G16+H15</f>
        <v/>
      </c>
      <c r="I16" s="64">
        <f>H16+I15</f>
        <v/>
      </c>
      <c r="J16" s="64">
        <f>I16+J15</f>
        <v/>
      </c>
      <c r="K16" s="64">
        <f>J16+K15</f>
        <v/>
      </c>
      <c r="L16" s="64">
        <f>K16+L15</f>
        <v/>
      </c>
      <c r="M16" s="64">
        <f>L16+M15</f>
        <v/>
      </c>
      <c r="N16" s="64">
        <f>M16+N15</f>
        <v/>
      </c>
      <c r="O16" s="64">
        <f>N16+O15</f>
        <v/>
      </c>
      <c r="P16" s="64">
        <f>O16+P15</f>
        <v/>
      </c>
      <c r="Q16" s="64">
        <f>P16+Q15</f>
        <v/>
      </c>
      <c r="R16" s="64">
        <f>Q16+R15</f>
        <v/>
      </c>
      <c r="S16" s="64">
        <f>R16+S15</f>
        <v/>
      </c>
      <c r="T16" s="64">
        <f>S16+T15</f>
        <v/>
      </c>
      <c r="U16" s="64">
        <f>T16+U15</f>
        <v/>
      </c>
      <c r="V16" s="64">
        <f>U16+V15</f>
        <v/>
      </c>
      <c r="W16" s="64">
        <f>V16+W15</f>
        <v/>
      </c>
      <c r="X16" s="64">
        <f>W16+X15</f>
        <v/>
      </c>
      <c r="Y16" s="64">
        <f>X16+Y15</f>
        <v/>
      </c>
      <c r="Z16" s="64">
        <f>Y16+Z15</f>
        <v/>
      </c>
    </row>
    <row r="17">
      <c r="A17" t="inlineStr">
        <is>
          <t>Total Project Cost (Cumulative) = Cum Capex + Cum IDC</t>
        </is>
      </c>
      <c r="C17" s="64">
        <f>C7+C16</f>
        <v/>
      </c>
      <c r="D17" s="64">
        <f>D7+D16</f>
        <v/>
      </c>
      <c r="E17" s="64">
        <f>E7+E16</f>
        <v/>
      </c>
      <c r="F17" s="64">
        <f>F7+F16</f>
        <v/>
      </c>
      <c r="G17" s="64">
        <f>G7+G16</f>
        <v/>
      </c>
      <c r="H17" s="64">
        <f>H7+H16</f>
        <v/>
      </c>
      <c r="I17" s="64">
        <f>I7+I16</f>
        <v/>
      </c>
      <c r="J17" s="64">
        <f>J7+J16</f>
        <v/>
      </c>
      <c r="K17" s="64">
        <f>K7+K16</f>
        <v/>
      </c>
      <c r="L17" s="64">
        <f>L7+L16</f>
        <v/>
      </c>
      <c r="M17" s="64">
        <f>M7+M16</f>
        <v/>
      </c>
      <c r="N17" s="64">
        <f>N7+N16</f>
        <v/>
      </c>
      <c r="O17" s="64">
        <f>O7+O16</f>
        <v/>
      </c>
      <c r="P17" s="64">
        <f>P7+P16</f>
        <v/>
      </c>
      <c r="Q17" s="64">
        <f>Q7+Q16</f>
        <v/>
      </c>
      <c r="R17" s="64">
        <f>R7+R16</f>
        <v/>
      </c>
      <c r="S17" s="64">
        <f>S7+S16</f>
        <v/>
      </c>
      <c r="T17" s="64">
        <f>T7+T16</f>
        <v/>
      </c>
      <c r="U17" s="64">
        <f>U7+U16</f>
        <v/>
      </c>
      <c r="V17" s="64">
        <f>V7+V16</f>
        <v/>
      </c>
      <c r="W17" s="64">
        <f>W7+W16</f>
        <v/>
      </c>
      <c r="X17" s="64">
        <f>X7+X16</f>
        <v/>
      </c>
      <c r="Y17" s="64">
        <f>Y7+Y16</f>
        <v/>
      </c>
      <c r="Z17" s="64">
        <f>Z7+Z16</f>
        <v/>
      </c>
    </row>
    <row r="18"/>
    <row r="20">
      <c r="A20" s="41" t="inlineStr">
        <is>
          <t>Checks</t>
        </is>
      </c>
    </row>
    <row r="21">
      <c r="A21" t="inlineStr">
        <is>
          <t>Check: Cum Debt + Cum Equity = Cum Capex + Cum IDC</t>
        </is>
      </c>
      <c r="Z21" s="69">
        <f>IF(ROUND(Z12+Z13-Z7-Z16,2)=0,1,0)</f>
        <v/>
      </c>
    </row>
    <row r="22">
      <c r="A22" t="inlineStr">
        <is>
          <t>Check: Final Cumulative Capex = Total Capex Input</t>
        </is>
      </c>
      <c r="Z22" s="69">
        <f>IF(ROUND(Z7-$B$4,2)=0,1,0)</f>
        <v/>
      </c>
    </row>
  </sheetData>
  <pageMargins left="0.75" right="0.75" top="1" bottom="1" header="0.5" footer="0.5"/>
</worksheet>
</file>

<file path=xl/worksheets/sheet7.xml><?xml version="1.0" encoding="utf-8"?>
<worksheet xmlns="http://schemas.openxmlformats.org/spreadsheetml/2006/main">
  <sheetPr>
    <tabColor rgb="00808080"/>
    <outlinePr summaryBelow="1" summaryRight="1"/>
    <pageSetUpPr/>
  </sheetPr>
  <dimension ref="A1:Z33"/>
  <sheetViews>
    <sheetView workbookViewId="0">
      <pane xSplit="2" ySplit="25" topLeftCell="C26" activePane="bottomRight" state="frozen"/>
      <selection pane="topRight"/>
      <selection pane="bottomLeft"/>
      <selection pane="bottomRight" activeCell="A1" sqref="A1"/>
    </sheetView>
  </sheetViews>
  <sheetFormatPr baseColWidth="8" defaultRowHeight="15"/>
  <cols>
    <col width="52" customWidth="1" min="1" max="1"/>
  </cols>
  <sheetData>
    <row r="1">
      <c r="A1" s="59" t="inlineStr">
        <is>
          <t>Calc_Financing_Cons — Monthly Construction Funding &amp; IDC (Loop 1)</t>
        </is>
      </c>
    </row>
    <row r="3">
      <c r="A3" t="inlineStr">
        <is>
          <t>Drawdown Method — linked from Cover</t>
        </is>
      </c>
      <c r="B3" s="60">
        <f>Cover!$B$14</f>
        <v/>
      </c>
    </row>
    <row r="4">
      <c r="A4" t="inlineStr">
        <is>
          <t>Interest Rate (Annual) — linked from Assumptions_Model</t>
        </is>
      </c>
      <c r="B4" s="56">
        <f>Assumptions_Model!$B$5</f>
        <v/>
      </c>
    </row>
    <row r="5">
      <c r="A5" t="inlineStr">
        <is>
          <t>Gearing (Debt % of Total Project Cost) — linked from Assumptions_Model</t>
        </is>
      </c>
      <c r="B5" s="56">
        <f>Assumptions_Model!$B$4</f>
        <v/>
      </c>
    </row>
    <row r="6">
      <c r="A6" t="inlineStr">
        <is>
          <t>Staged IDC ($) — VBA-written, breaks Loop 1 circularity</t>
        </is>
      </c>
      <c r="B6" s="74" t="n">
        <v>0</v>
      </c>
    </row>
    <row r="7">
      <c r="A7" t="inlineStr">
        <is>
          <t>Total Project Cost ($) = Total Capex + Staged IDC</t>
        </is>
      </c>
      <c r="B7" s="64">
        <f>Assumptions_Model!$B$3+B6</f>
        <v/>
      </c>
    </row>
    <row r="8">
      <c r="A8" t="inlineStr">
        <is>
          <t>Debt Facility ($) — per Cover Debt Sizing Mode</t>
        </is>
      </c>
      <c r="B8" s="64">
        <f>IF(Cover!$B$17="DSCR Sculpted",Calc_Financing_Ops!$B$7,$B$5*$B$7)</f>
        <v/>
      </c>
    </row>
    <row r="9">
      <c r="A9" t="inlineStr">
        <is>
          <t>Equity Commitment ($) = Total Project Cost - Debt Facility</t>
        </is>
      </c>
      <c r="B9" s="64">
        <f>B7-B8</f>
        <v/>
      </c>
    </row>
    <row r="10">
      <c r="A10" t="inlineStr">
        <is>
          <t>Calculated IDC ($) = SUM of monthly interest accrued</t>
        </is>
      </c>
      <c r="B10" s="75">
        <f>SUM(C18:Z18)</f>
        <v/>
      </c>
    </row>
    <row r="11">
      <c r="A11" t="inlineStr">
        <is>
          <t>Convergence Gap ($) = Calculated IDC - Staged IDC</t>
        </is>
      </c>
      <c r="B11" s="76">
        <f>B10-B6</f>
        <v/>
      </c>
    </row>
    <row r="13">
      <c r="A13" t="inlineStr">
        <is>
          <t>Period End Date</t>
        </is>
      </c>
      <c r="C13" s="16" t="n">
        <v>46418</v>
      </c>
      <c r="D13" s="16" t="n">
        <v>46446</v>
      </c>
      <c r="E13" s="16" t="n">
        <v>46477</v>
      </c>
      <c r="F13" s="16" t="n">
        <v>46507</v>
      </c>
      <c r="G13" s="16" t="n">
        <v>46538</v>
      </c>
      <c r="H13" s="16" t="n">
        <v>46568</v>
      </c>
      <c r="I13" s="16" t="n">
        <v>46599</v>
      </c>
      <c r="J13" s="16" t="n">
        <v>46630</v>
      </c>
      <c r="K13" s="16" t="n">
        <v>46660</v>
      </c>
      <c r="L13" s="16" t="n">
        <v>46691</v>
      </c>
      <c r="M13" s="16" t="n">
        <v>46721</v>
      </c>
      <c r="N13" s="16" t="n">
        <v>46752</v>
      </c>
      <c r="O13" s="16" t="n">
        <v>46783</v>
      </c>
      <c r="P13" s="16" t="n">
        <v>46812</v>
      </c>
      <c r="Q13" s="16" t="n">
        <v>46843</v>
      </c>
      <c r="R13" s="16" t="n">
        <v>46873</v>
      </c>
      <c r="S13" s="16" t="n">
        <v>46904</v>
      </c>
      <c r="T13" s="16" t="n">
        <v>46934</v>
      </c>
      <c r="U13" s="16" t="n">
        <v>46965</v>
      </c>
      <c r="V13" s="16" t="n">
        <v>46996</v>
      </c>
      <c r="W13" s="16" t="n">
        <v>47026</v>
      </c>
      <c r="X13" s="16" t="n">
        <v>47057</v>
      </c>
      <c r="Y13" s="16" t="n">
        <v>47087</v>
      </c>
      <c r="Z13" s="16" t="n">
        <v>47118</v>
      </c>
    </row>
    <row r="14">
      <c r="A14" t="inlineStr">
        <is>
          <t>Construction Month #</t>
        </is>
      </c>
      <c r="C14" t="n">
        <v>1</v>
      </c>
      <c r="D14" t="n">
        <v>2</v>
      </c>
      <c r="E14" t="n">
        <v>3</v>
      </c>
      <c r="F14" t="n">
        <v>4</v>
      </c>
      <c r="G14" t="n">
        <v>5</v>
      </c>
      <c r="H14" t="n">
        <v>6</v>
      </c>
      <c r="I14" t="n">
        <v>7</v>
      </c>
      <c r="J14" t="n">
        <v>8</v>
      </c>
      <c r="K14" t="n">
        <v>9</v>
      </c>
      <c r="L14" t="n">
        <v>10</v>
      </c>
      <c r="M14" t="n">
        <v>11</v>
      </c>
      <c r="N14" t="n">
        <v>12</v>
      </c>
      <c r="O14" t="n">
        <v>13</v>
      </c>
      <c r="P14" t="n">
        <v>14</v>
      </c>
      <c r="Q14" t="n">
        <v>15</v>
      </c>
      <c r="R14" t="n">
        <v>16</v>
      </c>
      <c r="S14" t="n">
        <v>17</v>
      </c>
      <c r="T14" t="n">
        <v>18</v>
      </c>
      <c r="U14" t="n">
        <v>19</v>
      </c>
      <c r="V14" t="n">
        <v>20</v>
      </c>
      <c r="W14" t="n">
        <v>21</v>
      </c>
      <c r="X14" t="n">
        <v>22</v>
      </c>
      <c r="Y14" t="n">
        <v>23</v>
      </c>
      <c r="Z14" t="n">
        <v>24</v>
      </c>
    </row>
    <row r="16">
      <c r="A16" t="inlineStr">
        <is>
          <t>Capex Draw ($) — linked from Calc_Capex</t>
        </is>
      </c>
      <c r="C16" s="55">
        <f>Calc_Capex!C6</f>
        <v/>
      </c>
      <c r="D16" s="55">
        <f>Calc_Capex!D6</f>
        <v/>
      </c>
      <c r="E16" s="55">
        <f>Calc_Capex!E6</f>
        <v/>
      </c>
      <c r="F16" s="55">
        <f>Calc_Capex!F6</f>
        <v/>
      </c>
      <c r="G16" s="55">
        <f>Calc_Capex!G6</f>
        <v/>
      </c>
      <c r="H16" s="55">
        <f>Calc_Capex!H6</f>
        <v/>
      </c>
      <c r="I16" s="55">
        <f>Calc_Capex!I6</f>
        <v/>
      </c>
      <c r="J16" s="55">
        <f>Calc_Capex!J6</f>
        <v/>
      </c>
      <c r="K16" s="55">
        <f>Calc_Capex!K6</f>
        <v/>
      </c>
      <c r="L16" s="55">
        <f>Calc_Capex!L6</f>
        <v/>
      </c>
      <c r="M16" s="55">
        <f>Calc_Capex!M6</f>
        <v/>
      </c>
      <c r="N16" s="55">
        <f>Calc_Capex!N6</f>
        <v/>
      </c>
      <c r="O16" s="55">
        <f>Calc_Capex!O6</f>
        <v/>
      </c>
      <c r="P16" s="55">
        <f>Calc_Capex!P6</f>
        <v/>
      </c>
      <c r="Q16" s="55">
        <f>Calc_Capex!Q6</f>
        <v/>
      </c>
      <c r="R16" s="55">
        <f>Calc_Capex!R6</f>
        <v/>
      </c>
      <c r="S16" s="55">
        <f>Calc_Capex!S6</f>
        <v/>
      </c>
      <c r="T16" s="55">
        <f>Calc_Capex!T6</f>
        <v/>
      </c>
      <c r="U16" s="55">
        <f>Calc_Capex!U6</f>
        <v/>
      </c>
      <c r="V16" s="55">
        <f>Calc_Capex!V6</f>
        <v/>
      </c>
      <c r="W16" s="55">
        <f>Calc_Capex!W6</f>
        <v/>
      </c>
      <c r="X16" s="55">
        <f>Calc_Capex!X6</f>
        <v/>
      </c>
      <c r="Y16" s="55">
        <f>Calc_Capex!Y6</f>
        <v/>
      </c>
      <c r="Z16" s="55">
        <f>Calc_Capex!Z6</f>
        <v/>
      </c>
    </row>
    <row r="17">
      <c r="A17" t="inlineStr">
        <is>
          <t>Opening Debt Balance ($)</t>
        </is>
      </c>
      <c r="C17" s="64">
        <f>0</f>
        <v/>
      </c>
      <c r="D17" s="64">
        <f>C25</f>
        <v/>
      </c>
      <c r="E17" s="64">
        <f>D25</f>
        <v/>
      </c>
      <c r="F17" s="64">
        <f>E25</f>
        <v/>
      </c>
      <c r="G17" s="64">
        <f>F25</f>
        <v/>
      </c>
      <c r="H17" s="64">
        <f>G25</f>
        <v/>
      </c>
      <c r="I17" s="64">
        <f>H25</f>
        <v/>
      </c>
      <c r="J17" s="64">
        <f>I25</f>
        <v/>
      </c>
      <c r="K17" s="64">
        <f>J25</f>
        <v/>
      </c>
      <c r="L17" s="64">
        <f>K25</f>
        <v/>
      </c>
      <c r="M17" s="64">
        <f>L25</f>
        <v/>
      </c>
      <c r="N17" s="64">
        <f>M25</f>
        <v/>
      </c>
      <c r="O17" s="64">
        <f>N25</f>
        <v/>
      </c>
      <c r="P17" s="64">
        <f>O25</f>
        <v/>
      </c>
      <c r="Q17" s="64">
        <f>P25</f>
        <v/>
      </c>
      <c r="R17" s="64">
        <f>Q25</f>
        <v/>
      </c>
      <c r="S17" s="64">
        <f>R25</f>
        <v/>
      </c>
      <c r="T17" s="64">
        <f>S25</f>
        <v/>
      </c>
      <c r="U17" s="64">
        <f>T25</f>
        <v/>
      </c>
      <c r="V17" s="64">
        <f>U25</f>
        <v/>
      </c>
      <c r="W17" s="64">
        <f>V25</f>
        <v/>
      </c>
      <c r="X17" s="64">
        <f>W25</f>
        <v/>
      </c>
      <c r="Y17" s="64">
        <f>X25</f>
        <v/>
      </c>
      <c r="Z17" s="64">
        <f>Y25</f>
        <v/>
      </c>
    </row>
    <row r="18">
      <c r="A18" t="inlineStr">
        <is>
          <t>Interest Accrued / IDC ($)</t>
        </is>
      </c>
      <c r="C18" s="64">
        <f>C17*$B$4/12</f>
        <v/>
      </c>
      <c r="D18" s="64">
        <f>D17*$B$4/12</f>
        <v/>
      </c>
      <c r="E18" s="64">
        <f>E17*$B$4/12</f>
        <v/>
      </c>
      <c r="F18" s="64">
        <f>F17*$B$4/12</f>
        <v/>
      </c>
      <c r="G18" s="64">
        <f>G17*$B$4/12</f>
        <v/>
      </c>
      <c r="H18" s="64">
        <f>H17*$B$4/12</f>
        <v/>
      </c>
      <c r="I18" s="64">
        <f>I17*$B$4/12</f>
        <v/>
      </c>
      <c r="J18" s="64">
        <f>J17*$B$4/12</f>
        <v/>
      </c>
      <c r="K18" s="64">
        <f>K17*$B$4/12</f>
        <v/>
      </c>
      <c r="L18" s="64">
        <f>L17*$B$4/12</f>
        <v/>
      </c>
      <c r="M18" s="64">
        <f>M17*$B$4/12</f>
        <v/>
      </c>
      <c r="N18" s="64">
        <f>N17*$B$4/12</f>
        <v/>
      </c>
      <c r="O18" s="64">
        <f>O17*$B$4/12</f>
        <v/>
      </c>
      <c r="P18" s="64">
        <f>P17*$B$4/12</f>
        <v/>
      </c>
      <c r="Q18" s="64">
        <f>Q17*$B$4/12</f>
        <v/>
      </c>
      <c r="R18" s="64">
        <f>R17*$B$4/12</f>
        <v/>
      </c>
      <c r="S18" s="64">
        <f>S17*$B$4/12</f>
        <v/>
      </c>
      <c r="T18" s="64">
        <f>T17*$B$4/12</f>
        <v/>
      </c>
      <c r="U18" s="64">
        <f>U17*$B$4/12</f>
        <v/>
      </c>
      <c r="V18" s="64">
        <f>V17*$B$4/12</f>
        <v/>
      </c>
      <c r="W18" s="64">
        <f>W17*$B$4/12</f>
        <v/>
      </c>
      <c r="X18" s="64">
        <f>X17*$B$4/12</f>
        <v/>
      </c>
      <c r="Y18" s="64">
        <f>Y17*$B$4/12</f>
        <v/>
      </c>
      <c r="Z18" s="64">
        <f>Z17*$B$4/12</f>
        <v/>
      </c>
    </row>
    <row r="19">
      <c r="A19" t="inlineStr">
        <is>
          <t>Funding Requirement ($) = Capex Draw + Interest</t>
        </is>
      </c>
      <c r="C19" s="64">
        <f>C16+C18</f>
        <v/>
      </c>
      <c r="D19" s="64">
        <f>D16+D18</f>
        <v/>
      </c>
      <c r="E19" s="64">
        <f>E16+E18</f>
        <v/>
      </c>
      <c r="F19" s="64">
        <f>F16+F18</f>
        <v/>
      </c>
      <c r="G19" s="64">
        <f>G16+G18</f>
        <v/>
      </c>
      <c r="H19" s="64">
        <f>H16+H18</f>
        <v/>
      </c>
      <c r="I19" s="64">
        <f>I16+I18</f>
        <v/>
      </c>
      <c r="J19" s="64">
        <f>J16+J18</f>
        <v/>
      </c>
      <c r="K19" s="64">
        <f>K16+K18</f>
        <v/>
      </c>
      <c r="L19" s="64">
        <f>L16+L18</f>
        <v/>
      </c>
      <c r="M19" s="64">
        <f>M16+M18</f>
        <v/>
      </c>
      <c r="N19" s="64">
        <f>N16+N18</f>
        <v/>
      </c>
      <c r="O19" s="64">
        <f>O16+O18</f>
        <v/>
      </c>
      <c r="P19" s="64">
        <f>P16+P18</f>
        <v/>
      </c>
      <c r="Q19" s="64">
        <f>Q16+Q18</f>
        <v/>
      </c>
      <c r="R19" s="64">
        <f>R16+R18</f>
        <v/>
      </c>
      <c r="S19" s="64">
        <f>S16+S18</f>
        <v/>
      </c>
      <c r="T19" s="64">
        <f>T16+T18</f>
        <v/>
      </c>
      <c r="U19" s="64">
        <f>U16+U18</f>
        <v/>
      </c>
      <c r="V19" s="64">
        <f>V16+V18</f>
        <v/>
      </c>
      <c r="W19" s="64">
        <f>W16+W18</f>
        <v/>
      </c>
      <c r="X19" s="64">
        <f>X16+X18</f>
        <v/>
      </c>
      <c r="Y19" s="64">
        <f>Y16+Y18</f>
        <v/>
      </c>
      <c r="Z19" s="64">
        <f>Z16+Z18</f>
        <v/>
      </c>
    </row>
    <row r="20">
      <c r="A20" t="inlineStr">
        <is>
          <t>Cumulative Funding Requirement ($)</t>
        </is>
      </c>
      <c r="C20" s="64">
        <f>C19</f>
        <v/>
      </c>
      <c r="D20" s="64">
        <f>C20+D19</f>
        <v/>
      </c>
      <c r="E20" s="64">
        <f>D20+E19</f>
        <v/>
      </c>
      <c r="F20" s="64">
        <f>E20+F19</f>
        <v/>
      </c>
      <c r="G20" s="64">
        <f>F20+G19</f>
        <v/>
      </c>
      <c r="H20" s="64">
        <f>G20+H19</f>
        <v/>
      </c>
      <c r="I20" s="64">
        <f>H20+I19</f>
        <v/>
      </c>
      <c r="J20" s="64">
        <f>I20+J19</f>
        <v/>
      </c>
      <c r="K20" s="64">
        <f>J20+K19</f>
        <v/>
      </c>
      <c r="L20" s="64">
        <f>K20+L19</f>
        <v/>
      </c>
      <c r="M20" s="64">
        <f>L20+M19</f>
        <v/>
      </c>
      <c r="N20" s="64">
        <f>M20+N19</f>
        <v/>
      </c>
      <c r="O20" s="64">
        <f>N20+O19</f>
        <v/>
      </c>
      <c r="P20" s="64">
        <f>O20+P19</f>
        <v/>
      </c>
      <c r="Q20" s="64">
        <f>P20+Q19</f>
        <v/>
      </c>
      <c r="R20" s="64">
        <f>Q20+R19</f>
        <v/>
      </c>
      <c r="S20" s="64">
        <f>R20+S19</f>
        <v/>
      </c>
      <c r="T20" s="64">
        <f>S20+T19</f>
        <v/>
      </c>
      <c r="U20" s="64">
        <f>T20+U19</f>
        <v/>
      </c>
      <c r="V20" s="64">
        <f>U20+V19</f>
        <v/>
      </c>
      <c r="W20" s="64">
        <f>V20+W19</f>
        <v/>
      </c>
      <c r="X20" s="64">
        <f>W20+X19</f>
        <v/>
      </c>
      <c r="Y20" s="64">
        <f>X20+Y19</f>
        <v/>
      </c>
      <c r="Z20" s="64">
        <f>Y20+Z19</f>
        <v/>
      </c>
    </row>
    <row r="21">
      <c r="A21" t="inlineStr">
        <is>
          <t>Debt Draw ($) — per Drawdown Method</t>
        </is>
      </c>
      <c r="C21" s="64">
        <f>IF($B$3="Debt First",MIN(C20,$B$8)-0,IF($B$3="Equity First",C19-(MIN(C20,$B$9)-0),C19*IFERROR($B$8/$B$7,0)))</f>
        <v/>
      </c>
      <c r="D21" s="64">
        <f>IF($B$3="Debt First",MIN(D20,$B$8)-MIN(C20,$B$8),IF($B$3="Equity First",D19-(MIN(D20,$B$9)-MIN(C20,$B$9)),D19*IFERROR($B$8/$B$7,0)))</f>
        <v/>
      </c>
      <c r="E21" s="64">
        <f>IF($B$3="Debt First",MIN(E20,$B$8)-MIN(D20,$B$8),IF($B$3="Equity First",E19-(MIN(E20,$B$9)-MIN(D20,$B$9)),E19*IFERROR($B$8/$B$7,0)))</f>
        <v/>
      </c>
      <c r="F21" s="64">
        <f>IF($B$3="Debt First",MIN(F20,$B$8)-MIN(E20,$B$8),IF($B$3="Equity First",F19-(MIN(F20,$B$9)-MIN(E20,$B$9)),F19*IFERROR($B$8/$B$7,0)))</f>
        <v/>
      </c>
      <c r="G21" s="64">
        <f>IF($B$3="Debt First",MIN(G20,$B$8)-MIN(F20,$B$8),IF($B$3="Equity First",G19-(MIN(G20,$B$9)-MIN(F20,$B$9)),G19*IFERROR($B$8/$B$7,0)))</f>
        <v/>
      </c>
      <c r="H21" s="64">
        <f>IF($B$3="Debt First",MIN(H20,$B$8)-MIN(G20,$B$8),IF($B$3="Equity First",H19-(MIN(H20,$B$9)-MIN(G20,$B$9)),H19*IFERROR($B$8/$B$7,0)))</f>
        <v/>
      </c>
      <c r="I21" s="64">
        <f>IF($B$3="Debt First",MIN(I20,$B$8)-MIN(H20,$B$8),IF($B$3="Equity First",I19-(MIN(I20,$B$9)-MIN(H20,$B$9)),I19*IFERROR($B$8/$B$7,0)))</f>
        <v/>
      </c>
      <c r="J21" s="64">
        <f>IF($B$3="Debt First",MIN(J20,$B$8)-MIN(I20,$B$8),IF($B$3="Equity First",J19-(MIN(J20,$B$9)-MIN(I20,$B$9)),J19*IFERROR($B$8/$B$7,0)))</f>
        <v/>
      </c>
      <c r="K21" s="64">
        <f>IF($B$3="Debt First",MIN(K20,$B$8)-MIN(J20,$B$8),IF($B$3="Equity First",K19-(MIN(K20,$B$9)-MIN(J20,$B$9)),K19*IFERROR($B$8/$B$7,0)))</f>
        <v/>
      </c>
      <c r="L21" s="64">
        <f>IF($B$3="Debt First",MIN(L20,$B$8)-MIN(K20,$B$8),IF($B$3="Equity First",L19-(MIN(L20,$B$9)-MIN(K20,$B$9)),L19*IFERROR($B$8/$B$7,0)))</f>
        <v/>
      </c>
      <c r="M21" s="64">
        <f>IF($B$3="Debt First",MIN(M20,$B$8)-MIN(L20,$B$8),IF($B$3="Equity First",M19-(MIN(M20,$B$9)-MIN(L20,$B$9)),M19*IFERROR($B$8/$B$7,0)))</f>
        <v/>
      </c>
      <c r="N21" s="64">
        <f>IF($B$3="Debt First",MIN(N20,$B$8)-MIN(M20,$B$8),IF($B$3="Equity First",N19-(MIN(N20,$B$9)-MIN(M20,$B$9)),N19*IFERROR($B$8/$B$7,0)))</f>
        <v/>
      </c>
      <c r="O21" s="64">
        <f>IF($B$3="Debt First",MIN(O20,$B$8)-MIN(N20,$B$8),IF($B$3="Equity First",O19-(MIN(O20,$B$9)-MIN(N20,$B$9)),O19*IFERROR($B$8/$B$7,0)))</f>
        <v/>
      </c>
      <c r="P21" s="64">
        <f>IF($B$3="Debt First",MIN(P20,$B$8)-MIN(O20,$B$8),IF($B$3="Equity First",P19-(MIN(P20,$B$9)-MIN(O20,$B$9)),P19*IFERROR($B$8/$B$7,0)))</f>
        <v/>
      </c>
      <c r="Q21" s="64">
        <f>IF($B$3="Debt First",MIN(Q20,$B$8)-MIN(P20,$B$8),IF($B$3="Equity First",Q19-(MIN(Q20,$B$9)-MIN(P20,$B$9)),Q19*IFERROR($B$8/$B$7,0)))</f>
        <v/>
      </c>
      <c r="R21" s="64">
        <f>IF($B$3="Debt First",MIN(R20,$B$8)-MIN(Q20,$B$8),IF($B$3="Equity First",R19-(MIN(R20,$B$9)-MIN(Q20,$B$9)),R19*IFERROR($B$8/$B$7,0)))</f>
        <v/>
      </c>
      <c r="S21" s="64">
        <f>IF($B$3="Debt First",MIN(S20,$B$8)-MIN(R20,$B$8),IF($B$3="Equity First",S19-(MIN(S20,$B$9)-MIN(R20,$B$9)),S19*IFERROR($B$8/$B$7,0)))</f>
        <v/>
      </c>
      <c r="T21" s="64">
        <f>IF($B$3="Debt First",MIN(T20,$B$8)-MIN(S20,$B$8),IF($B$3="Equity First",T19-(MIN(T20,$B$9)-MIN(S20,$B$9)),T19*IFERROR($B$8/$B$7,0)))</f>
        <v/>
      </c>
      <c r="U21" s="64">
        <f>IF($B$3="Debt First",MIN(U20,$B$8)-MIN(T20,$B$8),IF($B$3="Equity First",U19-(MIN(U20,$B$9)-MIN(T20,$B$9)),U19*IFERROR($B$8/$B$7,0)))</f>
        <v/>
      </c>
      <c r="V21" s="64">
        <f>IF($B$3="Debt First",MIN(V20,$B$8)-MIN(U20,$B$8),IF($B$3="Equity First",V19-(MIN(V20,$B$9)-MIN(U20,$B$9)),V19*IFERROR($B$8/$B$7,0)))</f>
        <v/>
      </c>
      <c r="W21" s="64">
        <f>IF($B$3="Debt First",MIN(W20,$B$8)-MIN(V20,$B$8),IF($B$3="Equity First",W19-(MIN(W20,$B$9)-MIN(V20,$B$9)),W19*IFERROR($B$8/$B$7,0)))</f>
        <v/>
      </c>
      <c r="X21" s="64">
        <f>IF($B$3="Debt First",MIN(X20,$B$8)-MIN(W20,$B$8),IF($B$3="Equity First",X19-(MIN(X20,$B$9)-MIN(W20,$B$9)),X19*IFERROR($B$8/$B$7,0)))</f>
        <v/>
      </c>
      <c r="Y21" s="64">
        <f>IF($B$3="Debt First",MIN(Y20,$B$8)-MIN(X20,$B$8),IF($B$3="Equity First",Y19-(MIN(Y20,$B$9)-MIN(X20,$B$9)),Y19*IFERROR($B$8/$B$7,0)))</f>
        <v/>
      </c>
      <c r="Z21" s="64">
        <f>IF($B$3="Debt First",MIN(Z20,$B$8)-MIN(Y20,$B$8),IF($B$3="Equity First",Z19-(MIN(Z20,$B$9)-MIN(Y20,$B$9)),Z19*IFERROR($B$8/$B$7,0)))</f>
        <v/>
      </c>
    </row>
    <row r="22">
      <c r="A22" t="inlineStr">
        <is>
          <t>Equity Draw ($)</t>
        </is>
      </c>
      <c r="C22" s="64">
        <f>C19-C21</f>
        <v/>
      </c>
      <c r="D22" s="64">
        <f>D19-D21</f>
        <v/>
      </c>
      <c r="E22" s="64">
        <f>E19-E21</f>
        <v/>
      </c>
      <c r="F22" s="64">
        <f>F19-F21</f>
        <v/>
      </c>
      <c r="G22" s="64">
        <f>G19-G21</f>
        <v/>
      </c>
      <c r="H22" s="64">
        <f>H19-H21</f>
        <v/>
      </c>
      <c r="I22" s="64">
        <f>I19-I21</f>
        <v/>
      </c>
      <c r="J22" s="64">
        <f>J19-J21</f>
        <v/>
      </c>
      <c r="K22" s="64">
        <f>K19-K21</f>
        <v/>
      </c>
      <c r="L22" s="64">
        <f>L19-L21</f>
        <v/>
      </c>
      <c r="M22" s="64">
        <f>M19-M21</f>
        <v/>
      </c>
      <c r="N22" s="64">
        <f>N19-N21</f>
        <v/>
      </c>
      <c r="O22" s="64">
        <f>O19-O21</f>
        <v/>
      </c>
      <c r="P22" s="64">
        <f>P19-P21</f>
        <v/>
      </c>
      <c r="Q22" s="64">
        <f>Q19-Q21</f>
        <v/>
      </c>
      <c r="R22" s="64">
        <f>R19-R21</f>
        <v/>
      </c>
      <c r="S22" s="64">
        <f>S19-S21</f>
        <v/>
      </c>
      <c r="T22" s="64">
        <f>T19-T21</f>
        <v/>
      </c>
      <c r="U22" s="64">
        <f>U19-U21</f>
        <v/>
      </c>
      <c r="V22" s="64">
        <f>V19-V21</f>
        <v/>
      </c>
      <c r="W22" s="64">
        <f>W19-W21</f>
        <v/>
      </c>
      <c r="X22" s="64">
        <f>X19-X21</f>
        <v/>
      </c>
      <c r="Y22" s="64">
        <f>Y19-Y21</f>
        <v/>
      </c>
      <c r="Z22" s="64">
        <f>Z19-Z21</f>
        <v/>
      </c>
    </row>
    <row r="23">
      <c r="A23" t="inlineStr">
        <is>
          <t>Cumulative Debt Draw ($)</t>
        </is>
      </c>
      <c r="C23" s="64">
        <f>C21</f>
        <v/>
      </c>
      <c r="D23" s="64">
        <f>C23+D21</f>
        <v/>
      </c>
      <c r="E23" s="64">
        <f>D23+E21</f>
        <v/>
      </c>
      <c r="F23" s="64">
        <f>E23+F21</f>
        <v/>
      </c>
      <c r="G23" s="64">
        <f>F23+G21</f>
        <v/>
      </c>
      <c r="H23" s="64">
        <f>G23+H21</f>
        <v/>
      </c>
      <c r="I23" s="64">
        <f>H23+I21</f>
        <v/>
      </c>
      <c r="J23" s="64">
        <f>I23+J21</f>
        <v/>
      </c>
      <c r="K23" s="64">
        <f>J23+K21</f>
        <v/>
      </c>
      <c r="L23" s="64">
        <f>K23+L21</f>
        <v/>
      </c>
      <c r="M23" s="64">
        <f>L23+M21</f>
        <v/>
      </c>
      <c r="N23" s="64">
        <f>M23+N21</f>
        <v/>
      </c>
      <c r="O23" s="64">
        <f>N23+O21</f>
        <v/>
      </c>
      <c r="P23" s="64">
        <f>O23+P21</f>
        <v/>
      </c>
      <c r="Q23" s="64">
        <f>P23+Q21</f>
        <v/>
      </c>
      <c r="R23" s="64">
        <f>Q23+R21</f>
        <v/>
      </c>
      <c r="S23" s="64">
        <f>R23+S21</f>
        <v/>
      </c>
      <c r="T23" s="64">
        <f>S23+T21</f>
        <v/>
      </c>
      <c r="U23" s="64">
        <f>T23+U21</f>
        <v/>
      </c>
      <c r="V23" s="64">
        <f>U23+V21</f>
        <v/>
      </c>
      <c r="W23" s="64">
        <f>V23+W21</f>
        <v/>
      </c>
      <c r="X23" s="64">
        <f>W23+X21</f>
        <v/>
      </c>
      <c r="Y23" s="64">
        <f>X23+Y21</f>
        <v/>
      </c>
      <c r="Z23" s="64">
        <f>Y23+Z21</f>
        <v/>
      </c>
    </row>
    <row r="24">
      <c r="A24" t="inlineStr">
        <is>
          <t>Cumulative Equity Draw ($)</t>
        </is>
      </c>
      <c r="C24" s="64">
        <f>C22</f>
        <v/>
      </c>
      <c r="D24" s="64">
        <f>C24+D22</f>
        <v/>
      </c>
      <c r="E24" s="64">
        <f>D24+E22</f>
        <v/>
      </c>
      <c r="F24" s="64">
        <f>E24+F22</f>
        <v/>
      </c>
      <c r="G24" s="64">
        <f>F24+G22</f>
        <v/>
      </c>
      <c r="H24" s="64">
        <f>G24+H22</f>
        <v/>
      </c>
      <c r="I24" s="64">
        <f>H24+I22</f>
        <v/>
      </c>
      <c r="J24" s="64">
        <f>I24+J22</f>
        <v/>
      </c>
      <c r="K24" s="64">
        <f>J24+K22</f>
        <v/>
      </c>
      <c r="L24" s="64">
        <f>K24+L22</f>
        <v/>
      </c>
      <c r="M24" s="64">
        <f>L24+M22</f>
        <v/>
      </c>
      <c r="N24" s="64">
        <f>M24+N22</f>
        <v/>
      </c>
      <c r="O24" s="64">
        <f>N24+O22</f>
        <v/>
      </c>
      <c r="P24" s="64">
        <f>O24+P22</f>
        <v/>
      </c>
      <c r="Q24" s="64">
        <f>P24+Q22</f>
        <v/>
      </c>
      <c r="R24" s="64">
        <f>Q24+R22</f>
        <v/>
      </c>
      <c r="S24" s="64">
        <f>R24+S22</f>
        <v/>
      </c>
      <c r="T24" s="64">
        <f>S24+T22</f>
        <v/>
      </c>
      <c r="U24" s="64">
        <f>T24+U22</f>
        <v/>
      </c>
      <c r="V24" s="64">
        <f>U24+V22</f>
        <v/>
      </c>
      <c r="W24" s="64">
        <f>V24+W22</f>
        <v/>
      </c>
      <c r="X24" s="64">
        <f>W24+X22</f>
        <v/>
      </c>
      <c r="Y24" s="64">
        <f>X24+Y22</f>
        <v/>
      </c>
      <c r="Z24" s="64">
        <f>Y24+Z22</f>
        <v/>
      </c>
    </row>
    <row r="25">
      <c r="A25" t="inlineStr">
        <is>
          <t>Closing Debt Balance ($)</t>
        </is>
      </c>
      <c r="C25" s="64">
        <f>C17+C21</f>
        <v/>
      </c>
      <c r="D25" s="64">
        <f>D17+D21</f>
        <v/>
      </c>
      <c r="E25" s="64">
        <f>E17+E21</f>
        <v/>
      </c>
      <c r="F25" s="64">
        <f>F17+F21</f>
        <v/>
      </c>
      <c r="G25" s="64">
        <f>G17+G21</f>
        <v/>
      </c>
      <c r="H25" s="64">
        <f>H17+H21</f>
        <v/>
      </c>
      <c r="I25" s="64">
        <f>I17+I21</f>
        <v/>
      </c>
      <c r="J25" s="64">
        <f>J17+J21</f>
        <v/>
      </c>
      <c r="K25" s="64">
        <f>K17+K21</f>
        <v/>
      </c>
      <c r="L25" s="64">
        <f>L17+L21</f>
        <v/>
      </c>
      <c r="M25" s="64">
        <f>M17+M21</f>
        <v/>
      </c>
      <c r="N25" s="64">
        <f>N17+N21</f>
        <v/>
      </c>
      <c r="O25" s="64">
        <f>O17+O21</f>
        <v/>
      </c>
      <c r="P25" s="64">
        <f>P17+P21</f>
        <v/>
      </c>
      <c r="Q25" s="64">
        <f>Q17+Q21</f>
        <v/>
      </c>
      <c r="R25" s="64">
        <f>R17+R21</f>
        <v/>
      </c>
      <c r="S25" s="64">
        <f>S17+S21</f>
        <v/>
      </c>
      <c r="T25" s="64">
        <f>T17+T21</f>
        <v/>
      </c>
      <c r="U25" s="64">
        <f>U17+U21</f>
        <v/>
      </c>
      <c r="V25" s="64">
        <f>V17+V21</f>
        <v/>
      </c>
      <c r="W25" s="64">
        <f>W17+W21</f>
        <v/>
      </c>
      <c r="X25" s="64">
        <f>X17+X21</f>
        <v/>
      </c>
      <c r="Y25" s="64">
        <f>Y17+Y21</f>
        <v/>
      </c>
      <c r="Z25" s="64">
        <f>Z17+Z21</f>
        <v/>
      </c>
    </row>
    <row r="26"/>
    <row r="28">
      <c r="A28" s="41" t="inlineStr">
        <is>
          <t>Checks</t>
        </is>
      </c>
    </row>
    <row r="29">
      <c r="A29" t="inlineStr">
        <is>
          <t>Check: Closing Balance = Cumulative Debt Draws</t>
        </is>
      </c>
      <c r="Z29" s="69">
        <f>IF(ROUND(Z25-Z23,2)=0,1,0)</f>
        <v/>
      </c>
    </row>
    <row r="30">
      <c r="A30" t="inlineStr">
        <is>
          <t>Check: IDC Converged (|gap| &lt;= Cover tolerance)</t>
        </is>
      </c>
      <c r="Z30" s="69">
        <f>IF(ABS(B11)&lt;=Cover!$B$4,1,0)</f>
        <v/>
      </c>
    </row>
    <row r="31">
      <c r="A31" t="inlineStr">
        <is>
          <t>Check: Cum Debt + Cum Equity = Cum Funding Requirement</t>
        </is>
      </c>
      <c r="Z31" s="69">
        <f>IF(ROUND(Z23+Z24-Z20,2)=0,1,0)</f>
        <v/>
      </c>
    </row>
    <row r="32">
      <c r="A32" t="inlineStr">
        <is>
          <t>Check: Cumulative Debt Draw &lt;= Debt Facility</t>
        </is>
      </c>
      <c r="Z32" s="69">
        <f>IF(Z23&lt;=$B$8+Cover!$B$4,1,0)</f>
        <v/>
      </c>
    </row>
    <row r="33">
      <c r="A33" t="inlineStr">
        <is>
          <t>Check: Cumulative Debt Draw = Debt Facility (draws honour the solve)</t>
        </is>
      </c>
      <c r="Z33" s="69">
        <f>IF(ABS(Z23-$B$8)&lt;=Cover!$B$4,1,0)</f>
        <v/>
      </c>
    </row>
  </sheetData>
  <pageMargins left="0.75" right="0.75" top="1" bottom="1" header="0.5" footer="0.5"/>
</worksheet>
</file>

<file path=xl/worksheets/sheet8.xml><?xml version="1.0" encoding="utf-8"?>
<worksheet xmlns="http://schemas.openxmlformats.org/spreadsheetml/2006/main">
  <sheetPr>
    <tabColor rgb="00808080"/>
    <outlinePr summaryBelow="1" summaryRight="1"/>
    <pageSetUpPr/>
  </sheetPr>
  <dimension ref="A1:CD22"/>
  <sheetViews>
    <sheetView workbookViewId="0">
      <pane xSplit="2" ySplit="16" topLeftCell="C17" activePane="bottomRight" state="frozen"/>
      <selection pane="topRight"/>
      <selection pane="bottomLeft"/>
      <selection pane="bottomRight" activeCell="A1" sqref="A1"/>
    </sheetView>
  </sheetViews>
  <sheetFormatPr baseColWidth="8" defaultRowHeight="15"/>
  <sheetData>
    <row r="1">
      <c r="A1" s="59" t="inlineStr">
        <is>
          <t>Calc_Revenue_Opex — Quarterly Revenue &amp; Opex (flat dummy, Stage 1a)</t>
        </is>
      </c>
    </row>
    <row r="2">
      <c r="A2" t="inlineStr">
        <is>
          <t>Period End Date</t>
        </is>
      </c>
      <c r="C2" s="16" t="n">
        <v>47208</v>
      </c>
      <c r="D2" s="16" t="n">
        <v>47299</v>
      </c>
      <c r="E2" s="16" t="n">
        <v>47391</v>
      </c>
      <c r="F2" s="16" t="n">
        <v>47483</v>
      </c>
      <c r="G2" s="16" t="n">
        <v>47573</v>
      </c>
      <c r="H2" s="16" t="n">
        <v>47664</v>
      </c>
      <c r="I2" s="16" t="n">
        <v>47756</v>
      </c>
      <c r="J2" s="16" t="n">
        <v>47848</v>
      </c>
      <c r="K2" s="16" t="n">
        <v>47938</v>
      </c>
      <c r="L2" s="16" t="n">
        <v>48029</v>
      </c>
      <c r="M2" s="16" t="n">
        <v>48121</v>
      </c>
      <c r="N2" s="16" t="n">
        <v>48213</v>
      </c>
      <c r="O2" s="16" t="n">
        <v>48304</v>
      </c>
      <c r="P2" s="16" t="n">
        <v>48395</v>
      </c>
      <c r="Q2" s="16" t="n">
        <v>48487</v>
      </c>
      <c r="R2" s="16" t="n">
        <v>48579</v>
      </c>
      <c r="S2" s="16" t="n">
        <v>48669</v>
      </c>
      <c r="T2" s="16" t="n">
        <v>48760</v>
      </c>
      <c r="U2" s="16" t="n">
        <v>48852</v>
      </c>
      <c r="V2" s="16" t="n">
        <v>48944</v>
      </c>
      <c r="W2" s="16" t="n">
        <v>49034</v>
      </c>
      <c r="X2" s="16" t="n">
        <v>49125</v>
      </c>
      <c r="Y2" s="16" t="n">
        <v>49217</v>
      </c>
      <c r="Z2" s="16" t="n">
        <v>49309</v>
      </c>
      <c r="AA2" s="16" t="n">
        <v>49399</v>
      </c>
      <c r="AB2" s="16" t="n">
        <v>49490</v>
      </c>
      <c r="AC2" s="16" t="n">
        <v>49582</v>
      </c>
      <c r="AD2" s="16" t="n">
        <v>49674</v>
      </c>
      <c r="AE2" s="16" t="n">
        <v>49765</v>
      </c>
      <c r="AF2" s="16" t="n">
        <v>49856</v>
      </c>
      <c r="AG2" s="16" t="n">
        <v>49948</v>
      </c>
      <c r="AH2" s="16" t="n">
        <v>50040</v>
      </c>
      <c r="AI2" s="16" t="n">
        <v>50130</v>
      </c>
      <c r="AJ2" s="16" t="n">
        <v>50221</v>
      </c>
      <c r="AK2" s="16" t="n">
        <v>50313</v>
      </c>
      <c r="AL2" s="16" t="n">
        <v>50405</v>
      </c>
      <c r="AM2" s="16" t="n">
        <v>50495</v>
      </c>
      <c r="AN2" s="16" t="n">
        <v>50586</v>
      </c>
      <c r="AO2" s="16" t="n">
        <v>50678</v>
      </c>
      <c r="AP2" s="16" t="n">
        <v>50770</v>
      </c>
      <c r="AQ2" s="16" t="n">
        <v>50860</v>
      </c>
      <c r="AR2" s="16" t="n">
        <v>50951</v>
      </c>
      <c r="AS2" s="16" t="n">
        <v>51043</v>
      </c>
      <c r="AT2" s="16" t="n">
        <v>51135</v>
      </c>
      <c r="AU2" s="16" t="n">
        <v>51226</v>
      </c>
      <c r="AV2" s="16" t="n">
        <v>51317</v>
      </c>
      <c r="AW2" s="16" t="n">
        <v>51409</v>
      </c>
      <c r="AX2" s="16" t="n">
        <v>51501</v>
      </c>
      <c r="AY2" s="16" t="n">
        <v>51591</v>
      </c>
      <c r="AZ2" s="16" t="n">
        <v>51682</v>
      </c>
      <c r="BA2" s="16" t="n">
        <v>51774</v>
      </c>
      <c r="BB2" s="16" t="n">
        <v>51866</v>
      </c>
      <c r="BC2" s="16" t="n">
        <v>51956</v>
      </c>
      <c r="BD2" s="16" t="n">
        <v>52047</v>
      </c>
      <c r="BE2" s="16" t="n">
        <v>52139</v>
      </c>
      <c r="BF2" s="16" t="n">
        <v>52231</v>
      </c>
      <c r="BG2" s="16" t="n">
        <v>52321</v>
      </c>
      <c r="BH2" s="16" t="n">
        <v>52412</v>
      </c>
      <c r="BI2" s="16" t="n">
        <v>52504</v>
      </c>
      <c r="BJ2" s="16" t="n">
        <v>52596</v>
      </c>
      <c r="BK2" s="16" t="n">
        <v>52687</v>
      </c>
      <c r="BL2" s="16" t="n">
        <v>52778</v>
      </c>
      <c r="BM2" s="16" t="n">
        <v>52870</v>
      </c>
      <c r="BN2" s="16" t="n">
        <v>52962</v>
      </c>
      <c r="BO2" s="16" t="n">
        <v>53052</v>
      </c>
      <c r="BP2" s="16" t="n">
        <v>53143</v>
      </c>
      <c r="BQ2" s="16" t="n">
        <v>53235</v>
      </c>
      <c r="BR2" s="16" t="n">
        <v>53327</v>
      </c>
      <c r="BS2" s="16" t="n">
        <v>53417</v>
      </c>
      <c r="BT2" s="16" t="n">
        <v>53508</v>
      </c>
      <c r="BU2" s="16" t="n">
        <v>53600</v>
      </c>
      <c r="BV2" s="16" t="n">
        <v>53692</v>
      </c>
      <c r="BW2" s="16" t="n">
        <v>53782</v>
      </c>
      <c r="BX2" s="16" t="n">
        <v>53873</v>
      </c>
      <c r="BY2" s="16" t="n">
        <v>53965</v>
      </c>
      <c r="BZ2" s="16" t="n">
        <v>54057</v>
      </c>
      <c r="CA2" s="16" t="n">
        <v>54148</v>
      </c>
      <c r="CB2" s="16" t="n">
        <v>54239</v>
      </c>
      <c r="CC2" s="16" t="n">
        <v>54331</v>
      </c>
      <c r="CD2" s="16" t="n">
        <v>54423</v>
      </c>
    </row>
    <row r="3">
      <c r="A3" t="inlineStr">
        <is>
          <t>Operating Quarter #</t>
        </is>
      </c>
      <c r="C3" t="n">
        <v>1</v>
      </c>
      <c r="D3" t="n">
        <v>2</v>
      </c>
      <c r="E3" t="n">
        <v>3</v>
      </c>
      <c r="F3" t="n">
        <v>4</v>
      </c>
      <c r="G3" t="n">
        <v>5</v>
      </c>
      <c r="H3" t="n">
        <v>6</v>
      </c>
      <c r="I3" t="n">
        <v>7</v>
      </c>
      <c r="J3" t="n">
        <v>8</v>
      </c>
      <c r="K3" t="n">
        <v>9</v>
      </c>
      <c r="L3" t="n">
        <v>10</v>
      </c>
      <c r="M3" t="n">
        <v>11</v>
      </c>
      <c r="N3" t="n">
        <v>12</v>
      </c>
      <c r="O3" t="n">
        <v>13</v>
      </c>
      <c r="P3" t="n">
        <v>14</v>
      </c>
      <c r="Q3" t="n">
        <v>15</v>
      </c>
      <c r="R3" t="n">
        <v>16</v>
      </c>
      <c r="S3" t="n">
        <v>17</v>
      </c>
      <c r="T3" t="n">
        <v>18</v>
      </c>
      <c r="U3" t="n">
        <v>19</v>
      </c>
      <c r="V3" t="n">
        <v>20</v>
      </c>
      <c r="W3" t="n">
        <v>21</v>
      </c>
      <c r="X3" t="n">
        <v>22</v>
      </c>
      <c r="Y3" t="n">
        <v>23</v>
      </c>
      <c r="Z3" t="n">
        <v>24</v>
      </c>
      <c r="AA3" t="n">
        <v>25</v>
      </c>
      <c r="AB3" t="n">
        <v>26</v>
      </c>
      <c r="AC3" t="n">
        <v>27</v>
      </c>
      <c r="AD3" t="n">
        <v>28</v>
      </c>
      <c r="AE3" t="n">
        <v>29</v>
      </c>
      <c r="AF3" t="n">
        <v>30</v>
      </c>
      <c r="AG3" t="n">
        <v>31</v>
      </c>
      <c r="AH3" t="n">
        <v>32</v>
      </c>
      <c r="AI3" t="n">
        <v>33</v>
      </c>
      <c r="AJ3" t="n">
        <v>34</v>
      </c>
      <c r="AK3" t="n">
        <v>35</v>
      </c>
      <c r="AL3" t="n">
        <v>36</v>
      </c>
      <c r="AM3" t="n">
        <v>37</v>
      </c>
      <c r="AN3" t="n">
        <v>38</v>
      </c>
      <c r="AO3" t="n">
        <v>39</v>
      </c>
      <c r="AP3" t="n">
        <v>40</v>
      </c>
      <c r="AQ3" t="n">
        <v>41</v>
      </c>
      <c r="AR3" t="n">
        <v>42</v>
      </c>
      <c r="AS3" t="n">
        <v>43</v>
      </c>
      <c r="AT3" t="n">
        <v>44</v>
      </c>
      <c r="AU3" t="n">
        <v>45</v>
      </c>
      <c r="AV3" t="n">
        <v>46</v>
      </c>
      <c r="AW3" t="n">
        <v>47</v>
      </c>
      <c r="AX3" t="n">
        <v>48</v>
      </c>
      <c r="AY3" t="n">
        <v>49</v>
      </c>
      <c r="AZ3" t="n">
        <v>50</v>
      </c>
      <c r="BA3" t="n">
        <v>51</v>
      </c>
      <c r="BB3" t="n">
        <v>52</v>
      </c>
      <c r="BC3" t="n">
        <v>53</v>
      </c>
      <c r="BD3" t="n">
        <v>54</v>
      </c>
      <c r="BE3" t="n">
        <v>55</v>
      </c>
      <c r="BF3" t="n">
        <v>56</v>
      </c>
      <c r="BG3" t="n">
        <v>57</v>
      </c>
      <c r="BH3" t="n">
        <v>58</v>
      </c>
      <c r="BI3" t="n">
        <v>59</v>
      </c>
      <c r="BJ3" t="n">
        <v>60</v>
      </c>
      <c r="BK3" t="n">
        <v>61</v>
      </c>
      <c r="BL3" t="n">
        <v>62</v>
      </c>
      <c r="BM3" t="n">
        <v>63</v>
      </c>
      <c r="BN3" t="n">
        <v>64</v>
      </c>
      <c r="BO3" t="n">
        <v>65</v>
      </c>
      <c r="BP3" t="n">
        <v>66</v>
      </c>
      <c r="BQ3" t="n">
        <v>67</v>
      </c>
      <c r="BR3" t="n">
        <v>68</v>
      </c>
      <c r="BS3" t="n">
        <v>69</v>
      </c>
      <c r="BT3" t="n">
        <v>70</v>
      </c>
      <c r="BU3" t="n">
        <v>71</v>
      </c>
      <c r="BV3" t="n">
        <v>72</v>
      </c>
      <c r="BW3" t="n">
        <v>73</v>
      </c>
      <c r="BX3" t="n">
        <v>74</v>
      </c>
      <c r="BY3" t="n">
        <v>75</v>
      </c>
      <c r="BZ3" t="n">
        <v>76</v>
      </c>
      <c r="CA3" t="n">
        <v>77</v>
      </c>
      <c r="CB3" t="n">
        <v>78</v>
      </c>
      <c r="CC3" t="n">
        <v>79</v>
      </c>
      <c r="CD3" t="n">
        <v>80</v>
      </c>
    </row>
    <row r="4">
      <c r="A4" t="inlineStr">
        <is>
          <t>Annual Revenue Input ($) — linked from Assumptions_Model, flat dummy placeholder</t>
        </is>
      </c>
      <c r="B4" s="55">
        <f>Assumptions_Model!$B$8</f>
        <v/>
      </c>
    </row>
    <row r="5">
      <c r="A5" t="inlineStr">
        <is>
          <t>Revenue Volume Index — linked from Assumptions_Periodic_Ops</t>
        </is>
      </c>
      <c r="C5" s="57">
        <f>Assumptions_Periodic_Ops!C18</f>
        <v/>
      </c>
      <c r="D5" s="57">
        <f>Assumptions_Periodic_Ops!D18</f>
        <v/>
      </c>
      <c r="E5" s="57">
        <f>Assumptions_Periodic_Ops!E18</f>
        <v/>
      </c>
      <c r="F5" s="57">
        <f>Assumptions_Periodic_Ops!F18</f>
        <v/>
      </c>
      <c r="G5" s="57">
        <f>Assumptions_Periodic_Ops!G18</f>
        <v/>
      </c>
      <c r="H5" s="57">
        <f>Assumptions_Periodic_Ops!H18</f>
        <v/>
      </c>
      <c r="I5" s="57">
        <f>Assumptions_Periodic_Ops!I18</f>
        <v/>
      </c>
      <c r="J5" s="57">
        <f>Assumptions_Periodic_Ops!J18</f>
        <v/>
      </c>
      <c r="K5" s="57">
        <f>Assumptions_Periodic_Ops!K18</f>
        <v/>
      </c>
      <c r="L5" s="57">
        <f>Assumptions_Periodic_Ops!L18</f>
        <v/>
      </c>
      <c r="M5" s="57">
        <f>Assumptions_Periodic_Ops!M18</f>
        <v/>
      </c>
      <c r="N5" s="57">
        <f>Assumptions_Periodic_Ops!N18</f>
        <v/>
      </c>
      <c r="O5" s="57">
        <f>Assumptions_Periodic_Ops!O18</f>
        <v/>
      </c>
      <c r="P5" s="57">
        <f>Assumptions_Periodic_Ops!P18</f>
        <v/>
      </c>
      <c r="Q5" s="57">
        <f>Assumptions_Periodic_Ops!Q18</f>
        <v/>
      </c>
      <c r="R5" s="57">
        <f>Assumptions_Periodic_Ops!R18</f>
        <v/>
      </c>
      <c r="S5" s="57">
        <f>Assumptions_Periodic_Ops!S18</f>
        <v/>
      </c>
      <c r="T5" s="57">
        <f>Assumptions_Periodic_Ops!T18</f>
        <v/>
      </c>
      <c r="U5" s="57">
        <f>Assumptions_Periodic_Ops!U18</f>
        <v/>
      </c>
      <c r="V5" s="57">
        <f>Assumptions_Periodic_Ops!V18</f>
        <v/>
      </c>
      <c r="W5" s="57">
        <f>Assumptions_Periodic_Ops!W18</f>
        <v/>
      </c>
      <c r="X5" s="57">
        <f>Assumptions_Periodic_Ops!X18</f>
        <v/>
      </c>
      <c r="Y5" s="57">
        <f>Assumptions_Periodic_Ops!Y18</f>
        <v/>
      </c>
      <c r="Z5" s="57">
        <f>Assumptions_Periodic_Ops!Z18</f>
        <v/>
      </c>
      <c r="AA5" s="57">
        <f>Assumptions_Periodic_Ops!AA18</f>
        <v/>
      </c>
      <c r="AB5" s="57">
        <f>Assumptions_Periodic_Ops!AB18</f>
        <v/>
      </c>
      <c r="AC5" s="57">
        <f>Assumptions_Periodic_Ops!AC18</f>
        <v/>
      </c>
      <c r="AD5" s="57">
        <f>Assumptions_Periodic_Ops!AD18</f>
        <v/>
      </c>
      <c r="AE5" s="57">
        <f>Assumptions_Periodic_Ops!AE18</f>
        <v/>
      </c>
      <c r="AF5" s="57">
        <f>Assumptions_Periodic_Ops!AF18</f>
        <v/>
      </c>
      <c r="AG5" s="57">
        <f>Assumptions_Periodic_Ops!AG18</f>
        <v/>
      </c>
      <c r="AH5" s="57">
        <f>Assumptions_Periodic_Ops!AH18</f>
        <v/>
      </c>
      <c r="AI5" s="57">
        <f>Assumptions_Periodic_Ops!AI18</f>
        <v/>
      </c>
      <c r="AJ5" s="57">
        <f>Assumptions_Periodic_Ops!AJ18</f>
        <v/>
      </c>
      <c r="AK5" s="57">
        <f>Assumptions_Periodic_Ops!AK18</f>
        <v/>
      </c>
      <c r="AL5" s="57">
        <f>Assumptions_Periodic_Ops!AL18</f>
        <v/>
      </c>
      <c r="AM5" s="57">
        <f>Assumptions_Periodic_Ops!AM18</f>
        <v/>
      </c>
      <c r="AN5" s="57">
        <f>Assumptions_Periodic_Ops!AN18</f>
        <v/>
      </c>
      <c r="AO5" s="57">
        <f>Assumptions_Periodic_Ops!AO18</f>
        <v/>
      </c>
      <c r="AP5" s="57">
        <f>Assumptions_Periodic_Ops!AP18</f>
        <v/>
      </c>
      <c r="AQ5" s="57">
        <f>Assumptions_Periodic_Ops!AQ18</f>
        <v/>
      </c>
      <c r="AR5" s="57">
        <f>Assumptions_Periodic_Ops!AR18</f>
        <v/>
      </c>
      <c r="AS5" s="57">
        <f>Assumptions_Periodic_Ops!AS18</f>
        <v/>
      </c>
      <c r="AT5" s="57">
        <f>Assumptions_Periodic_Ops!AT18</f>
        <v/>
      </c>
      <c r="AU5" s="57">
        <f>Assumptions_Periodic_Ops!AU18</f>
        <v/>
      </c>
      <c r="AV5" s="57">
        <f>Assumptions_Periodic_Ops!AV18</f>
        <v/>
      </c>
      <c r="AW5" s="57">
        <f>Assumptions_Periodic_Ops!AW18</f>
        <v/>
      </c>
      <c r="AX5" s="57">
        <f>Assumptions_Periodic_Ops!AX18</f>
        <v/>
      </c>
      <c r="AY5" s="57">
        <f>Assumptions_Periodic_Ops!AY18</f>
        <v/>
      </c>
      <c r="AZ5" s="57">
        <f>Assumptions_Periodic_Ops!AZ18</f>
        <v/>
      </c>
      <c r="BA5" s="57">
        <f>Assumptions_Periodic_Ops!BA18</f>
        <v/>
      </c>
      <c r="BB5" s="57">
        <f>Assumptions_Periodic_Ops!BB18</f>
        <v/>
      </c>
      <c r="BC5" s="57">
        <f>Assumptions_Periodic_Ops!BC18</f>
        <v/>
      </c>
      <c r="BD5" s="57">
        <f>Assumptions_Periodic_Ops!BD18</f>
        <v/>
      </c>
      <c r="BE5" s="57">
        <f>Assumptions_Periodic_Ops!BE18</f>
        <v/>
      </c>
      <c r="BF5" s="57">
        <f>Assumptions_Periodic_Ops!BF18</f>
        <v/>
      </c>
      <c r="BG5" s="57">
        <f>Assumptions_Periodic_Ops!BG18</f>
        <v/>
      </c>
      <c r="BH5" s="57">
        <f>Assumptions_Periodic_Ops!BH18</f>
        <v/>
      </c>
      <c r="BI5" s="57">
        <f>Assumptions_Periodic_Ops!BI18</f>
        <v/>
      </c>
      <c r="BJ5" s="57">
        <f>Assumptions_Periodic_Ops!BJ18</f>
        <v/>
      </c>
      <c r="BK5" s="57">
        <f>Assumptions_Periodic_Ops!BK18</f>
        <v/>
      </c>
      <c r="BL5" s="57">
        <f>Assumptions_Periodic_Ops!BL18</f>
        <v/>
      </c>
      <c r="BM5" s="57">
        <f>Assumptions_Periodic_Ops!BM18</f>
        <v/>
      </c>
      <c r="BN5" s="57">
        <f>Assumptions_Periodic_Ops!BN18</f>
        <v/>
      </c>
      <c r="BO5" s="57">
        <f>Assumptions_Periodic_Ops!BO18</f>
        <v/>
      </c>
      <c r="BP5" s="57">
        <f>Assumptions_Periodic_Ops!BP18</f>
        <v/>
      </c>
      <c r="BQ5" s="57">
        <f>Assumptions_Periodic_Ops!BQ18</f>
        <v/>
      </c>
      <c r="BR5" s="57">
        <f>Assumptions_Periodic_Ops!BR18</f>
        <v/>
      </c>
      <c r="BS5" s="57">
        <f>Assumptions_Periodic_Ops!BS18</f>
        <v/>
      </c>
      <c r="BT5" s="57">
        <f>Assumptions_Periodic_Ops!BT18</f>
        <v/>
      </c>
      <c r="BU5" s="57">
        <f>Assumptions_Periodic_Ops!BU18</f>
        <v/>
      </c>
      <c r="BV5" s="57">
        <f>Assumptions_Periodic_Ops!BV18</f>
        <v/>
      </c>
      <c r="BW5" s="57">
        <f>Assumptions_Periodic_Ops!BW18</f>
        <v/>
      </c>
      <c r="BX5" s="57">
        <f>Assumptions_Periodic_Ops!BX18</f>
        <v/>
      </c>
      <c r="BY5" s="57">
        <f>Assumptions_Periodic_Ops!BY18</f>
        <v/>
      </c>
      <c r="BZ5" s="57">
        <f>Assumptions_Periodic_Ops!BZ18</f>
        <v/>
      </c>
      <c r="CA5" s="57">
        <f>Assumptions_Periodic_Ops!CA18</f>
        <v/>
      </c>
      <c r="CB5" s="57">
        <f>Assumptions_Periodic_Ops!CB18</f>
        <v/>
      </c>
      <c r="CC5" s="57">
        <f>Assumptions_Periodic_Ops!CC18</f>
        <v/>
      </c>
      <c r="CD5" s="57">
        <f>Assumptions_Periodic_Ops!CD18</f>
        <v/>
      </c>
    </row>
    <row r="6">
      <c r="A6" t="inlineStr">
        <is>
          <t>Revenue Escalation Index — linked from Assumptions_Periodic_Ops</t>
        </is>
      </c>
      <c r="C6" s="57">
        <f>Assumptions_Periodic_Ops!C57</f>
        <v/>
      </c>
      <c r="D6" s="57">
        <f>Assumptions_Periodic_Ops!D57</f>
        <v/>
      </c>
      <c r="E6" s="57">
        <f>Assumptions_Periodic_Ops!E57</f>
        <v/>
      </c>
      <c r="F6" s="57">
        <f>Assumptions_Periodic_Ops!F57</f>
        <v/>
      </c>
      <c r="G6" s="57">
        <f>Assumptions_Periodic_Ops!G57</f>
        <v/>
      </c>
      <c r="H6" s="57">
        <f>Assumptions_Periodic_Ops!H57</f>
        <v/>
      </c>
      <c r="I6" s="57">
        <f>Assumptions_Periodic_Ops!I57</f>
        <v/>
      </c>
      <c r="J6" s="57">
        <f>Assumptions_Periodic_Ops!J57</f>
        <v/>
      </c>
      <c r="K6" s="57">
        <f>Assumptions_Periodic_Ops!K57</f>
        <v/>
      </c>
      <c r="L6" s="57">
        <f>Assumptions_Periodic_Ops!L57</f>
        <v/>
      </c>
      <c r="M6" s="57">
        <f>Assumptions_Periodic_Ops!M57</f>
        <v/>
      </c>
      <c r="N6" s="57">
        <f>Assumptions_Periodic_Ops!N57</f>
        <v/>
      </c>
      <c r="O6" s="57">
        <f>Assumptions_Periodic_Ops!O57</f>
        <v/>
      </c>
      <c r="P6" s="57">
        <f>Assumptions_Periodic_Ops!P57</f>
        <v/>
      </c>
      <c r="Q6" s="57">
        <f>Assumptions_Periodic_Ops!Q57</f>
        <v/>
      </c>
      <c r="R6" s="57">
        <f>Assumptions_Periodic_Ops!R57</f>
        <v/>
      </c>
      <c r="S6" s="57">
        <f>Assumptions_Periodic_Ops!S57</f>
        <v/>
      </c>
      <c r="T6" s="57">
        <f>Assumptions_Periodic_Ops!T57</f>
        <v/>
      </c>
      <c r="U6" s="57">
        <f>Assumptions_Periodic_Ops!U57</f>
        <v/>
      </c>
      <c r="V6" s="57">
        <f>Assumptions_Periodic_Ops!V57</f>
        <v/>
      </c>
      <c r="W6" s="57">
        <f>Assumptions_Periodic_Ops!W57</f>
        <v/>
      </c>
      <c r="X6" s="57">
        <f>Assumptions_Periodic_Ops!X57</f>
        <v/>
      </c>
      <c r="Y6" s="57">
        <f>Assumptions_Periodic_Ops!Y57</f>
        <v/>
      </c>
      <c r="Z6" s="57">
        <f>Assumptions_Periodic_Ops!Z57</f>
        <v/>
      </c>
      <c r="AA6" s="57">
        <f>Assumptions_Periodic_Ops!AA57</f>
        <v/>
      </c>
      <c r="AB6" s="57">
        <f>Assumptions_Periodic_Ops!AB57</f>
        <v/>
      </c>
      <c r="AC6" s="57">
        <f>Assumptions_Periodic_Ops!AC57</f>
        <v/>
      </c>
      <c r="AD6" s="57">
        <f>Assumptions_Periodic_Ops!AD57</f>
        <v/>
      </c>
      <c r="AE6" s="57">
        <f>Assumptions_Periodic_Ops!AE57</f>
        <v/>
      </c>
      <c r="AF6" s="57">
        <f>Assumptions_Periodic_Ops!AF57</f>
        <v/>
      </c>
      <c r="AG6" s="57">
        <f>Assumptions_Periodic_Ops!AG57</f>
        <v/>
      </c>
      <c r="AH6" s="57">
        <f>Assumptions_Periodic_Ops!AH57</f>
        <v/>
      </c>
      <c r="AI6" s="57">
        <f>Assumptions_Periodic_Ops!AI57</f>
        <v/>
      </c>
      <c r="AJ6" s="57">
        <f>Assumptions_Periodic_Ops!AJ57</f>
        <v/>
      </c>
      <c r="AK6" s="57">
        <f>Assumptions_Periodic_Ops!AK57</f>
        <v/>
      </c>
      <c r="AL6" s="57">
        <f>Assumptions_Periodic_Ops!AL57</f>
        <v/>
      </c>
      <c r="AM6" s="57">
        <f>Assumptions_Periodic_Ops!AM57</f>
        <v/>
      </c>
      <c r="AN6" s="57">
        <f>Assumptions_Periodic_Ops!AN57</f>
        <v/>
      </c>
      <c r="AO6" s="57">
        <f>Assumptions_Periodic_Ops!AO57</f>
        <v/>
      </c>
      <c r="AP6" s="57">
        <f>Assumptions_Periodic_Ops!AP57</f>
        <v/>
      </c>
      <c r="AQ6" s="57">
        <f>Assumptions_Periodic_Ops!AQ57</f>
        <v/>
      </c>
      <c r="AR6" s="57">
        <f>Assumptions_Periodic_Ops!AR57</f>
        <v/>
      </c>
      <c r="AS6" s="57">
        <f>Assumptions_Periodic_Ops!AS57</f>
        <v/>
      </c>
      <c r="AT6" s="57">
        <f>Assumptions_Periodic_Ops!AT57</f>
        <v/>
      </c>
      <c r="AU6" s="57">
        <f>Assumptions_Periodic_Ops!AU57</f>
        <v/>
      </c>
      <c r="AV6" s="57">
        <f>Assumptions_Periodic_Ops!AV57</f>
        <v/>
      </c>
      <c r="AW6" s="57">
        <f>Assumptions_Periodic_Ops!AW57</f>
        <v/>
      </c>
      <c r="AX6" s="57">
        <f>Assumptions_Periodic_Ops!AX57</f>
        <v/>
      </c>
      <c r="AY6" s="57">
        <f>Assumptions_Periodic_Ops!AY57</f>
        <v/>
      </c>
      <c r="AZ6" s="57">
        <f>Assumptions_Periodic_Ops!AZ57</f>
        <v/>
      </c>
      <c r="BA6" s="57">
        <f>Assumptions_Periodic_Ops!BA57</f>
        <v/>
      </c>
      <c r="BB6" s="57">
        <f>Assumptions_Periodic_Ops!BB57</f>
        <v/>
      </c>
      <c r="BC6" s="57">
        <f>Assumptions_Periodic_Ops!BC57</f>
        <v/>
      </c>
      <c r="BD6" s="57">
        <f>Assumptions_Periodic_Ops!BD57</f>
        <v/>
      </c>
      <c r="BE6" s="57">
        <f>Assumptions_Periodic_Ops!BE57</f>
        <v/>
      </c>
      <c r="BF6" s="57">
        <f>Assumptions_Periodic_Ops!BF57</f>
        <v/>
      </c>
      <c r="BG6" s="57">
        <f>Assumptions_Periodic_Ops!BG57</f>
        <v/>
      </c>
      <c r="BH6" s="57">
        <f>Assumptions_Periodic_Ops!BH57</f>
        <v/>
      </c>
      <c r="BI6" s="57">
        <f>Assumptions_Periodic_Ops!BI57</f>
        <v/>
      </c>
      <c r="BJ6" s="57">
        <f>Assumptions_Periodic_Ops!BJ57</f>
        <v/>
      </c>
      <c r="BK6" s="57">
        <f>Assumptions_Periodic_Ops!BK57</f>
        <v/>
      </c>
      <c r="BL6" s="57">
        <f>Assumptions_Periodic_Ops!BL57</f>
        <v/>
      </c>
      <c r="BM6" s="57">
        <f>Assumptions_Periodic_Ops!BM57</f>
        <v/>
      </c>
      <c r="BN6" s="57">
        <f>Assumptions_Periodic_Ops!BN57</f>
        <v/>
      </c>
      <c r="BO6" s="57">
        <f>Assumptions_Periodic_Ops!BO57</f>
        <v/>
      </c>
      <c r="BP6" s="57">
        <f>Assumptions_Periodic_Ops!BP57</f>
        <v/>
      </c>
      <c r="BQ6" s="57">
        <f>Assumptions_Periodic_Ops!BQ57</f>
        <v/>
      </c>
      <c r="BR6" s="57">
        <f>Assumptions_Periodic_Ops!BR57</f>
        <v/>
      </c>
      <c r="BS6" s="57">
        <f>Assumptions_Periodic_Ops!BS57</f>
        <v/>
      </c>
      <c r="BT6" s="57">
        <f>Assumptions_Periodic_Ops!BT57</f>
        <v/>
      </c>
      <c r="BU6" s="57">
        <f>Assumptions_Periodic_Ops!BU57</f>
        <v/>
      </c>
      <c r="BV6" s="57">
        <f>Assumptions_Periodic_Ops!BV57</f>
        <v/>
      </c>
      <c r="BW6" s="57">
        <f>Assumptions_Periodic_Ops!BW57</f>
        <v/>
      </c>
      <c r="BX6" s="57">
        <f>Assumptions_Periodic_Ops!BX57</f>
        <v/>
      </c>
      <c r="BY6" s="57">
        <f>Assumptions_Periodic_Ops!BY57</f>
        <v/>
      </c>
      <c r="BZ6" s="57">
        <f>Assumptions_Periodic_Ops!BZ57</f>
        <v/>
      </c>
      <c r="CA6" s="57">
        <f>Assumptions_Periodic_Ops!CA57</f>
        <v/>
      </c>
      <c r="CB6" s="57">
        <f>Assumptions_Periodic_Ops!CB57</f>
        <v/>
      </c>
      <c r="CC6" s="57">
        <f>Assumptions_Periodic_Ops!CC57</f>
        <v/>
      </c>
      <c r="CD6" s="57">
        <f>Assumptions_Periodic_Ops!CD57</f>
        <v/>
      </c>
    </row>
    <row r="7">
      <c r="A7" t="inlineStr">
        <is>
          <t>Opex Volume Index — linked from Assumptions_Periodic_Ops</t>
        </is>
      </c>
      <c r="C7" s="57">
        <f>Assumptions_Periodic_Ops!C31</f>
        <v/>
      </c>
      <c r="D7" s="57">
        <f>Assumptions_Periodic_Ops!D31</f>
        <v/>
      </c>
      <c r="E7" s="57">
        <f>Assumptions_Periodic_Ops!E31</f>
        <v/>
      </c>
      <c r="F7" s="57">
        <f>Assumptions_Periodic_Ops!F31</f>
        <v/>
      </c>
      <c r="G7" s="57">
        <f>Assumptions_Periodic_Ops!G31</f>
        <v/>
      </c>
      <c r="H7" s="57">
        <f>Assumptions_Periodic_Ops!H31</f>
        <v/>
      </c>
      <c r="I7" s="57">
        <f>Assumptions_Periodic_Ops!I31</f>
        <v/>
      </c>
      <c r="J7" s="57">
        <f>Assumptions_Periodic_Ops!J31</f>
        <v/>
      </c>
      <c r="K7" s="57">
        <f>Assumptions_Periodic_Ops!K31</f>
        <v/>
      </c>
      <c r="L7" s="57">
        <f>Assumptions_Periodic_Ops!L31</f>
        <v/>
      </c>
      <c r="M7" s="57">
        <f>Assumptions_Periodic_Ops!M31</f>
        <v/>
      </c>
      <c r="N7" s="57">
        <f>Assumptions_Periodic_Ops!N31</f>
        <v/>
      </c>
      <c r="O7" s="57">
        <f>Assumptions_Periodic_Ops!O31</f>
        <v/>
      </c>
      <c r="P7" s="57">
        <f>Assumptions_Periodic_Ops!P31</f>
        <v/>
      </c>
      <c r="Q7" s="57">
        <f>Assumptions_Periodic_Ops!Q31</f>
        <v/>
      </c>
      <c r="R7" s="57">
        <f>Assumptions_Periodic_Ops!R31</f>
        <v/>
      </c>
      <c r="S7" s="57">
        <f>Assumptions_Periodic_Ops!S31</f>
        <v/>
      </c>
      <c r="T7" s="57">
        <f>Assumptions_Periodic_Ops!T31</f>
        <v/>
      </c>
      <c r="U7" s="57">
        <f>Assumptions_Periodic_Ops!U31</f>
        <v/>
      </c>
      <c r="V7" s="57">
        <f>Assumptions_Periodic_Ops!V31</f>
        <v/>
      </c>
      <c r="W7" s="57">
        <f>Assumptions_Periodic_Ops!W31</f>
        <v/>
      </c>
      <c r="X7" s="57">
        <f>Assumptions_Periodic_Ops!X31</f>
        <v/>
      </c>
      <c r="Y7" s="57">
        <f>Assumptions_Periodic_Ops!Y31</f>
        <v/>
      </c>
      <c r="Z7" s="57">
        <f>Assumptions_Periodic_Ops!Z31</f>
        <v/>
      </c>
      <c r="AA7" s="57">
        <f>Assumptions_Periodic_Ops!AA31</f>
        <v/>
      </c>
      <c r="AB7" s="57">
        <f>Assumptions_Periodic_Ops!AB31</f>
        <v/>
      </c>
      <c r="AC7" s="57">
        <f>Assumptions_Periodic_Ops!AC31</f>
        <v/>
      </c>
      <c r="AD7" s="57">
        <f>Assumptions_Periodic_Ops!AD31</f>
        <v/>
      </c>
      <c r="AE7" s="57">
        <f>Assumptions_Periodic_Ops!AE31</f>
        <v/>
      </c>
      <c r="AF7" s="57">
        <f>Assumptions_Periodic_Ops!AF31</f>
        <v/>
      </c>
      <c r="AG7" s="57">
        <f>Assumptions_Periodic_Ops!AG31</f>
        <v/>
      </c>
      <c r="AH7" s="57">
        <f>Assumptions_Periodic_Ops!AH31</f>
        <v/>
      </c>
      <c r="AI7" s="57">
        <f>Assumptions_Periodic_Ops!AI31</f>
        <v/>
      </c>
      <c r="AJ7" s="57">
        <f>Assumptions_Periodic_Ops!AJ31</f>
        <v/>
      </c>
      <c r="AK7" s="57">
        <f>Assumptions_Periodic_Ops!AK31</f>
        <v/>
      </c>
      <c r="AL7" s="57">
        <f>Assumptions_Periodic_Ops!AL31</f>
        <v/>
      </c>
      <c r="AM7" s="57">
        <f>Assumptions_Periodic_Ops!AM31</f>
        <v/>
      </c>
      <c r="AN7" s="57">
        <f>Assumptions_Periodic_Ops!AN31</f>
        <v/>
      </c>
      <c r="AO7" s="57">
        <f>Assumptions_Periodic_Ops!AO31</f>
        <v/>
      </c>
      <c r="AP7" s="57">
        <f>Assumptions_Periodic_Ops!AP31</f>
        <v/>
      </c>
      <c r="AQ7" s="57">
        <f>Assumptions_Periodic_Ops!AQ31</f>
        <v/>
      </c>
      <c r="AR7" s="57">
        <f>Assumptions_Periodic_Ops!AR31</f>
        <v/>
      </c>
      <c r="AS7" s="57">
        <f>Assumptions_Periodic_Ops!AS31</f>
        <v/>
      </c>
      <c r="AT7" s="57">
        <f>Assumptions_Periodic_Ops!AT31</f>
        <v/>
      </c>
      <c r="AU7" s="57">
        <f>Assumptions_Periodic_Ops!AU31</f>
        <v/>
      </c>
      <c r="AV7" s="57">
        <f>Assumptions_Periodic_Ops!AV31</f>
        <v/>
      </c>
      <c r="AW7" s="57">
        <f>Assumptions_Periodic_Ops!AW31</f>
        <v/>
      </c>
      <c r="AX7" s="57">
        <f>Assumptions_Periodic_Ops!AX31</f>
        <v/>
      </c>
      <c r="AY7" s="57">
        <f>Assumptions_Periodic_Ops!AY31</f>
        <v/>
      </c>
      <c r="AZ7" s="57">
        <f>Assumptions_Periodic_Ops!AZ31</f>
        <v/>
      </c>
      <c r="BA7" s="57">
        <f>Assumptions_Periodic_Ops!BA31</f>
        <v/>
      </c>
      <c r="BB7" s="57">
        <f>Assumptions_Periodic_Ops!BB31</f>
        <v/>
      </c>
      <c r="BC7" s="57">
        <f>Assumptions_Periodic_Ops!BC31</f>
        <v/>
      </c>
      <c r="BD7" s="57">
        <f>Assumptions_Periodic_Ops!BD31</f>
        <v/>
      </c>
      <c r="BE7" s="57">
        <f>Assumptions_Periodic_Ops!BE31</f>
        <v/>
      </c>
      <c r="BF7" s="57">
        <f>Assumptions_Periodic_Ops!BF31</f>
        <v/>
      </c>
      <c r="BG7" s="57">
        <f>Assumptions_Periodic_Ops!BG31</f>
        <v/>
      </c>
      <c r="BH7" s="57">
        <f>Assumptions_Periodic_Ops!BH31</f>
        <v/>
      </c>
      <c r="BI7" s="57">
        <f>Assumptions_Periodic_Ops!BI31</f>
        <v/>
      </c>
      <c r="BJ7" s="57">
        <f>Assumptions_Periodic_Ops!BJ31</f>
        <v/>
      </c>
      <c r="BK7" s="57">
        <f>Assumptions_Periodic_Ops!BK31</f>
        <v/>
      </c>
      <c r="BL7" s="57">
        <f>Assumptions_Periodic_Ops!BL31</f>
        <v/>
      </c>
      <c r="BM7" s="57">
        <f>Assumptions_Periodic_Ops!BM31</f>
        <v/>
      </c>
      <c r="BN7" s="57">
        <f>Assumptions_Periodic_Ops!BN31</f>
        <v/>
      </c>
      <c r="BO7" s="57">
        <f>Assumptions_Periodic_Ops!BO31</f>
        <v/>
      </c>
      <c r="BP7" s="57">
        <f>Assumptions_Periodic_Ops!BP31</f>
        <v/>
      </c>
      <c r="BQ7" s="57">
        <f>Assumptions_Periodic_Ops!BQ31</f>
        <v/>
      </c>
      <c r="BR7" s="57">
        <f>Assumptions_Periodic_Ops!BR31</f>
        <v/>
      </c>
      <c r="BS7" s="57">
        <f>Assumptions_Periodic_Ops!BS31</f>
        <v/>
      </c>
      <c r="BT7" s="57">
        <f>Assumptions_Periodic_Ops!BT31</f>
        <v/>
      </c>
      <c r="BU7" s="57">
        <f>Assumptions_Periodic_Ops!BU31</f>
        <v/>
      </c>
      <c r="BV7" s="57">
        <f>Assumptions_Periodic_Ops!BV31</f>
        <v/>
      </c>
      <c r="BW7" s="57">
        <f>Assumptions_Periodic_Ops!BW31</f>
        <v/>
      </c>
      <c r="BX7" s="57">
        <f>Assumptions_Periodic_Ops!BX31</f>
        <v/>
      </c>
      <c r="BY7" s="57">
        <f>Assumptions_Periodic_Ops!BY31</f>
        <v/>
      </c>
      <c r="BZ7" s="57">
        <f>Assumptions_Periodic_Ops!BZ31</f>
        <v/>
      </c>
      <c r="CA7" s="57">
        <f>Assumptions_Periodic_Ops!CA31</f>
        <v/>
      </c>
      <c r="CB7" s="57">
        <f>Assumptions_Periodic_Ops!CB31</f>
        <v/>
      </c>
      <c r="CC7" s="57">
        <f>Assumptions_Periodic_Ops!CC31</f>
        <v/>
      </c>
      <c r="CD7" s="57">
        <f>Assumptions_Periodic_Ops!CD31</f>
        <v/>
      </c>
    </row>
    <row r="8">
      <c r="A8" t="inlineStr">
        <is>
          <t>Opex Escalation Index — linked from Assumptions_Periodic_Ops</t>
        </is>
      </c>
      <c r="C8" s="57">
        <f>Assumptions_Periodic_Ops!C58</f>
        <v/>
      </c>
      <c r="D8" s="57">
        <f>Assumptions_Periodic_Ops!D58</f>
        <v/>
      </c>
      <c r="E8" s="57">
        <f>Assumptions_Periodic_Ops!E58</f>
        <v/>
      </c>
      <c r="F8" s="57">
        <f>Assumptions_Periodic_Ops!F58</f>
        <v/>
      </c>
      <c r="G8" s="57">
        <f>Assumptions_Periodic_Ops!G58</f>
        <v/>
      </c>
      <c r="H8" s="57">
        <f>Assumptions_Periodic_Ops!H58</f>
        <v/>
      </c>
      <c r="I8" s="57">
        <f>Assumptions_Periodic_Ops!I58</f>
        <v/>
      </c>
      <c r="J8" s="57">
        <f>Assumptions_Periodic_Ops!J58</f>
        <v/>
      </c>
      <c r="K8" s="57">
        <f>Assumptions_Periodic_Ops!K58</f>
        <v/>
      </c>
      <c r="L8" s="57">
        <f>Assumptions_Periodic_Ops!L58</f>
        <v/>
      </c>
      <c r="M8" s="57">
        <f>Assumptions_Periodic_Ops!M58</f>
        <v/>
      </c>
      <c r="N8" s="57">
        <f>Assumptions_Periodic_Ops!N58</f>
        <v/>
      </c>
      <c r="O8" s="57">
        <f>Assumptions_Periodic_Ops!O58</f>
        <v/>
      </c>
      <c r="P8" s="57">
        <f>Assumptions_Periodic_Ops!P58</f>
        <v/>
      </c>
      <c r="Q8" s="57">
        <f>Assumptions_Periodic_Ops!Q58</f>
        <v/>
      </c>
      <c r="R8" s="57">
        <f>Assumptions_Periodic_Ops!R58</f>
        <v/>
      </c>
      <c r="S8" s="57">
        <f>Assumptions_Periodic_Ops!S58</f>
        <v/>
      </c>
      <c r="T8" s="57">
        <f>Assumptions_Periodic_Ops!T58</f>
        <v/>
      </c>
      <c r="U8" s="57">
        <f>Assumptions_Periodic_Ops!U58</f>
        <v/>
      </c>
      <c r="V8" s="57">
        <f>Assumptions_Periodic_Ops!V58</f>
        <v/>
      </c>
      <c r="W8" s="57">
        <f>Assumptions_Periodic_Ops!W58</f>
        <v/>
      </c>
      <c r="X8" s="57">
        <f>Assumptions_Periodic_Ops!X58</f>
        <v/>
      </c>
      <c r="Y8" s="57">
        <f>Assumptions_Periodic_Ops!Y58</f>
        <v/>
      </c>
      <c r="Z8" s="57">
        <f>Assumptions_Periodic_Ops!Z58</f>
        <v/>
      </c>
      <c r="AA8" s="57">
        <f>Assumptions_Periodic_Ops!AA58</f>
        <v/>
      </c>
      <c r="AB8" s="57">
        <f>Assumptions_Periodic_Ops!AB58</f>
        <v/>
      </c>
      <c r="AC8" s="57">
        <f>Assumptions_Periodic_Ops!AC58</f>
        <v/>
      </c>
      <c r="AD8" s="57">
        <f>Assumptions_Periodic_Ops!AD58</f>
        <v/>
      </c>
      <c r="AE8" s="57">
        <f>Assumptions_Periodic_Ops!AE58</f>
        <v/>
      </c>
      <c r="AF8" s="57">
        <f>Assumptions_Periodic_Ops!AF58</f>
        <v/>
      </c>
      <c r="AG8" s="57">
        <f>Assumptions_Periodic_Ops!AG58</f>
        <v/>
      </c>
      <c r="AH8" s="57">
        <f>Assumptions_Periodic_Ops!AH58</f>
        <v/>
      </c>
      <c r="AI8" s="57">
        <f>Assumptions_Periodic_Ops!AI58</f>
        <v/>
      </c>
      <c r="AJ8" s="57">
        <f>Assumptions_Periodic_Ops!AJ58</f>
        <v/>
      </c>
      <c r="AK8" s="57">
        <f>Assumptions_Periodic_Ops!AK58</f>
        <v/>
      </c>
      <c r="AL8" s="57">
        <f>Assumptions_Periodic_Ops!AL58</f>
        <v/>
      </c>
      <c r="AM8" s="57">
        <f>Assumptions_Periodic_Ops!AM58</f>
        <v/>
      </c>
      <c r="AN8" s="57">
        <f>Assumptions_Periodic_Ops!AN58</f>
        <v/>
      </c>
      <c r="AO8" s="57">
        <f>Assumptions_Periodic_Ops!AO58</f>
        <v/>
      </c>
      <c r="AP8" s="57">
        <f>Assumptions_Periodic_Ops!AP58</f>
        <v/>
      </c>
      <c r="AQ8" s="57">
        <f>Assumptions_Periodic_Ops!AQ58</f>
        <v/>
      </c>
      <c r="AR8" s="57">
        <f>Assumptions_Periodic_Ops!AR58</f>
        <v/>
      </c>
      <c r="AS8" s="57">
        <f>Assumptions_Periodic_Ops!AS58</f>
        <v/>
      </c>
      <c r="AT8" s="57">
        <f>Assumptions_Periodic_Ops!AT58</f>
        <v/>
      </c>
      <c r="AU8" s="57">
        <f>Assumptions_Periodic_Ops!AU58</f>
        <v/>
      </c>
      <c r="AV8" s="57">
        <f>Assumptions_Periodic_Ops!AV58</f>
        <v/>
      </c>
      <c r="AW8" s="57">
        <f>Assumptions_Periodic_Ops!AW58</f>
        <v/>
      </c>
      <c r="AX8" s="57">
        <f>Assumptions_Periodic_Ops!AX58</f>
        <v/>
      </c>
      <c r="AY8" s="57">
        <f>Assumptions_Periodic_Ops!AY58</f>
        <v/>
      </c>
      <c r="AZ8" s="57">
        <f>Assumptions_Periodic_Ops!AZ58</f>
        <v/>
      </c>
      <c r="BA8" s="57">
        <f>Assumptions_Periodic_Ops!BA58</f>
        <v/>
      </c>
      <c r="BB8" s="57">
        <f>Assumptions_Periodic_Ops!BB58</f>
        <v/>
      </c>
      <c r="BC8" s="57">
        <f>Assumptions_Periodic_Ops!BC58</f>
        <v/>
      </c>
      <c r="BD8" s="57">
        <f>Assumptions_Periodic_Ops!BD58</f>
        <v/>
      </c>
      <c r="BE8" s="57">
        <f>Assumptions_Periodic_Ops!BE58</f>
        <v/>
      </c>
      <c r="BF8" s="57">
        <f>Assumptions_Periodic_Ops!BF58</f>
        <v/>
      </c>
      <c r="BG8" s="57">
        <f>Assumptions_Periodic_Ops!BG58</f>
        <v/>
      </c>
      <c r="BH8" s="57">
        <f>Assumptions_Periodic_Ops!BH58</f>
        <v/>
      </c>
      <c r="BI8" s="57">
        <f>Assumptions_Periodic_Ops!BI58</f>
        <v/>
      </c>
      <c r="BJ8" s="57">
        <f>Assumptions_Periodic_Ops!BJ58</f>
        <v/>
      </c>
      <c r="BK8" s="57">
        <f>Assumptions_Periodic_Ops!BK58</f>
        <v/>
      </c>
      <c r="BL8" s="57">
        <f>Assumptions_Periodic_Ops!BL58</f>
        <v/>
      </c>
      <c r="BM8" s="57">
        <f>Assumptions_Periodic_Ops!BM58</f>
        <v/>
      </c>
      <c r="BN8" s="57">
        <f>Assumptions_Periodic_Ops!BN58</f>
        <v/>
      </c>
      <c r="BO8" s="57">
        <f>Assumptions_Periodic_Ops!BO58</f>
        <v/>
      </c>
      <c r="BP8" s="57">
        <f>Assumptions_Periodic_Ops!BP58</f>
        <v/>
      </c>
      <c r="BQ8" s="57">
        <f>Assumptions_Periodic_Ops!BQ58</f>
        <v/>
      </c>
      <c r="BR8" s="57">
        <f>Assumptions_Periodic_Ops!BR58</f>
        <v/>
      </c>
      <c r="BS8" s="57">
        <f>Assumptions_Periodic_Ops!BS58</f>
        <v/>
      </c>
      <c r="BT8" s="57">
        <f>Assumptions_Periodic_Ops!BT58</f>
        <v/>
      </c>
      <c r="BU8" s="57">
        <f>Assumptions_Periodic_Ops!BU58</f>
        <v/>
      </c>
      <c r="BV8" s="57">
        <f>Assumptions_Periodic_Ops!BV58</f>
        <v/>
      </c>
      <c r="BW8" s="57">
        <f>Assumptions_Periodic_Ops!BW58</f>
        <v/>
      </c>
      <c r="BX8" s="57">
        <f>Assumptions_Periodic_Ops!BX58</f>
        <v/>
      </c>
      <c r="BY8" s="57">
        <f>Assumptions_Periodic_Ops!BY58</f>
        <v/>
      </c>
      <c r="BZ8" s="57">
        <f>Assumptions_Periodic_Ops!BZ58</f>
        <v/>
      </c>
      <c r="CA8" s="57">
        <f>Assumptions_Periodic_Ops!CA58</f>
        <v/>
      </c>
      <c r="CB8" s="57">
        <f>Assumptions_Periodic_Ops!CB58</f>
        <v/>
      </c>
      <c r="CC8" s="57">
        <f>Assumptions_Periodic_Ops!CC58</f>
        <v/>
      </c>
      <c r="CD8" s="57">
        <f>Assumptions_Periodic_Ops!CD58</f>
        <v/>
      </c>
    </row>
    <row r="9">
      <c r="A9" t="inlineStr">
        <is>
          <t>Opex % of Revenue — linked from Assumptions_Model</t>
        </is>
      </c>
      <c r="B9" s="56">
        <f>Assumptions_Model!$B$9</f>
        <v/>
      </c>
    </row>
    <row r="10">
      <c r="A10" t="inlineStr">
        <is>
          <t>Revenue ($) = base x volume index x escalation index</t>
        </is>
      </c>
      <c r="C10" s="64">
        <f>$B$4/4*C5*C6</f>
        <v/>
      </c>
      <c r="D10" s="64">
        <f>$B$4/4*D5*D6</f>
        <v/>
      </c>
      <c r="E10" s="64">
        <f>$B$4/4*E5*E6</f>
        <v/>
      </c>
      <c r="F10" s="64">
        <f>$B$4/4*F5*F6</f>
        <v/>
      </c>
      <c r="G10" s="64">
        <f>$B$4/4*G5*G6</f>
        <v/>
      </c>
      <c r="H10" s="64">
        <f>$B$4/4*H5*H6</f>
        <v/>
      </c>
      <c r="I10" s="64">
        <f>$B$4/4*I5*I6</f>
        <v/>
      </c>
      <c r="J10" s="64">
        <f>$B$4/4*J5*J6</f>
        <v/>
      </c>
      <c r="K10" s="64">
        <f>$B$4/4*K5*K6</f>
        <v/>
      </c>
      <c r="L10" s="64">
        <f>$B$4/4*L5*L6</f>
        <v/>
      </c>
      <c r="M10" s="64">
        <f>$B$4/4*M5*M6</f>
        <v/>
      </c>
      <c r="N10" s="64">
        <f>$B$4/4*N5*N6</f>
        <v/>
      </c>
      <c r="O10" s="64">
        <f>$B$4/4*O5*O6</f>
        <v/>
      </c>
      <c r="P10" s="64">
        <f>$B$4/4*P5*P6</f>
        <v/>
      </c>
      <c r="Q10" s="64">
        <f>$B$4/4*Q5*Q6</f>
        <v/>
      </c>
      <c r="R10" s="64">
        <f>$B$4/4*R5*R6</f>
        <v/>
      </c>
      <c r="S10" s="64">
        <f>$B$4/4*S5*S6</f>
        <v/>
      </c>
      <c r="T10" s="64">
        <f>$B$4/4*T5*T6</f>
        <v/>
      </c>
      <c r="U10" s="64">
        <f>$B$4/4*U5*U6</f>
        <v/>
      </c>
      <c r="V10" s="64">
        <f>$B$4/4*V5*V6</f>
        <v/>
      </c>
      <c r="W10" s="64">
        <f>$B$4/4*W5*W6</f>
        <v/>
      </c>
      <c r="X10" s="64">
        <f>$B$4/4*X5*X6</f>
        <v/>
      </c>
      <c r="Y10" s="64">
        <f>$B$4/4*Y5*Y6</f>
        <v/>
      </c>
      <c r="Z10" s="64">
        <f>$B$4/4*Z5*Z6</f>
        <v/>
      </c>
      <c r="AA10" s="64">
        <f>$B$4/4*AA5*AA6</f>
        <v/>
      </c>
      <c r="AB10" s="64">
        <f>$B$4/4*AB5*AB6</f>
        <v/>
      </c>
      <c r="AC10" s="64">
        <f>$B$4/4*AC5*AC6</f>
        <v/>
      </c>
      <c r="AD10" s="64">
        <f>$B$4/4*AD5*AD6</f>
        <v/>
      </c>
      <c r="AE10" s="64">
        <f>$B$4/4*AE5*AE6</f>
        <v/>
      </c>
      <c r="AF10" s="64">
        <f>$B$4/4*AF5*AF6</f>
        <v/>
      </c>
      <c r="AG10" s="64">
        <f>$B$4/4*AG5*AG6</f>
        <v/>
      </c>
      <c r="AH10" s="64">
        <f>$B$4/4*AH5*AH6</f>
        <v/>
      </c>
      <c r="AI10" s="64">
        <f>$B$4/4*AI5*AI6</f>
        <v/>
      </c>
      <c r="AJ10" s="64">
        <f>$B$4/4*AJ5*AJ6</f>
        <v/>
      </c>
      <c r="AK10" s="64">
        <f>$B$4/4*AK5*AK6</f>
        <v/>
      </c>
      <c r="AL10" s="64">
        <f>$B$4/4*AL5*AL6</f>
        <v/>
      </c>
      <c r="AM10" s="64">
        <f>$B$4/4*AM5*AM6</f>
        <v/>
      </c>
      <c r="AN10" s="64">
        <f>$B$4/4*AN5*AN6</f>
        <v/>
      </c>
      <c r="AO10" s="64">
        <f>$B$4/4*AO5*AO6</f>
        <v/>
      </c>
      <c r="AP10" s="64">
        <f>$B$4/4*AP5*AP6</f>
        <v/>
      </c>
      <c r="AQ10" s="64">
        <f>$B$4/4*AQ5*AQ6</f>
        <v/>
      </c>
      <c r="AR10" s="64">
        <f>$B$4/4*AR5*AR6</f>
        <v/>
      </c>
      <c r="AS10" s="64">
        <f>$B$4/4*AS5*AS6</f>
        <v/>
      </c>
      <c r="AT10" s="64">
        <f>$B$4/4*AT5*AT6</f>
        <v/>
      </c>
      <c r="AU10" s="64">
        <f>$B$4/4*AU5*AU6</f>
        <v/>
      </c>
      <c r="AV10" s="64">
        <f>$B$4/4*AV5*AV6</f>
        <v/>
      </c>
      <c r="AW10" s="64">
        <f>$B$4/4*AW5*AW6</f>
        <v/>
      </c>
      <c r="AX10" s="64">
        <f>$B$4/4*AX5*AX6</f>
        <v/>
      </c>
      <c r="AY10" s="64">
        <f>$B$4/4*AY5*AY6</f>
        <v/>
      </c>
      <c r="AZ10" s="64">
        <f>$B$4/4*AZ5*AZ6</f>
        <v/>
      </c>
      <c r="BA10" s="64">
        <f>$B$4/4*BA5*BA6</f>
        <v/>
      </c>
      <c r="BB10" s="64">
        <f>$B$4/4*BB5*BB6</f>
        <v/>
      </c>
      <c r="BC10" s="64">
        <f>$B$4/4*BC5*BC6</f>
        <v/>
      </c>
      <c r="BD10" s="64">
        <f>$B$4/4*BD5*BD6</f>
        <v/>
      </c>
      <c r="BE10" s="64">
        <f>$B$4/4*BE5*BE6</f>
        <v/>
      </c>
      <c r="BF10" s="64">
        <f>$B$4/4*BF5*BF6</f>
        <v/>
      </c>
      <c r="BG10" s="64">
        <f>$B$4/4*BG5*BG6</f>
        <v/>
      </c>
      <c r="BH10" s="64">
        <f>$B$4/4*BH5*BH6</f>
        <v/>
      </c>
      <c r="BI10" s="64">
        <f>$B$4/4*BI5*BI6</f>
        <v/>
      </c>
      <c r="BJ10" s="64">
        <f>$B$4/4*BJ5*BJ6</f>
        <v/>
      </c>
      <c r="BK10" s="64">
        <f>$B$4/4*BK5*BK6</f>
        <v/>
      </c>
      <c r="BL10" s="64">
        <f>$B$4/4*BL5*BL6</f>
        <v/>
      </c>
      <c r="BM10" s="64">
        <f>$B$4/4*BM5*BM6</f>
        <v/>
      </c>
      <c r="BN10" s="64">
        <f>$B$4/4*BN5*BN6</f>
        <v/>
      </c>
      <c r="BO10" s="64">
        <f>$B$4/4*BO5*BO6</f>
        <v/>
      </c>
      <c r="BP10" s="64">
        <f>$B$4/4*BP5*BP6</f>
        <v/>
      </c>
      <c r="BQ10" s="64">
        <f>$B$4/4*BQ5*BQ6</f>
        <v/>
      </c>
      <c r="BR10" s="64">
        <f>$B$4/4*BR5*BR6</f>
        <v/>
      </c>
      <c r="BS10" s="64">
        <f>$B$4/4*BS5*BS6</f>
        <v/>
      </c>
      <c r="BT10" s="64">
        <f>$B$4/4*BT5*BT6</f>
        <v/>
      </c>
      <c r="BU10" s="64">
        <f>$B$4/4*BU5*BU6</f>
        <v/>
      </c>
      <c r="BV10" s="64">
        <f>$B$4/4*BV5*BV6</f>
        <v/>
      </c>
      <c r="BW10" s="64">
        <f>$B$4/4*BW5*BW6</f>
        <v/>
      </c>
      <c r="BX10" s="64">
        <f>$B$4/4*BX5*BX6</f>
        <v/>
      </c>
      <c r="BY10" s="64">
        <f>$B$4/4*BY5*BY6</f>
        <v/>
      </c>
      <c r="BZ10" s="64">
        <f>$B$4/4*BZ5*BZ6</f>
        <v/>
      </c>
      <c r="CA10" s="64">
        <f>$B$4/4*CA5*CA6</f>
        <v/>
      </c>
      <c r="CB10" s="64">
        <f>$B$4/4*CB5*CB6</f>
        <v/>
      </c>
      <c r="CC10" s="64">
        <f>$B$4/4*CC5*CC6</f>
        <v/>
      </c>
      <c r="CD10" s="64">
        <f>$B$4/4*CD5*CD6</f>
        <v/>
      </c>
    </row>
    <row r="11">
      <c r="A11" t="inlineStr">
        <is>
          <t>Opex ($) = base x volume index x escalation index</t>
        </is>
      </c>
      <c r="C11" s="64">
        <f>$B$4/4*$B$9*C7*C8</f>
        <v/>
      </c>
      <c r="D11" s="64">
        <f>$B$4/4*$B$9*D7*D8</f>
        <v/>
      </c>
      <c r="E11" s="64">
        <f>$B$4/4*$B$9*E7*E8</f>
        <v/>
      </c>
      <c r="F11" s="64">
        <f>$B$4/4*$B$9*F7*F8</f>
        <v/>
      </c>
      <c r="G11" s="64">
        <f>$B$4/4*$B$9*G7*G8</f>
        <v/>
      </c>
      <c r="H11" s="64">
        <f>$B$4/4*$B$9*H7*H8</f>
        <v/>
      </c>
      <c r="I11" s="64">
        <f>$B$4/4*$B$9*I7*I8</f>
        <v/>
      </c>
      <c r="J11" s="64">
        <f>$B$4/4*$B$9*J7*J8</f>
        <v/>
      </c>
      <c r="K11" s="64">
        <f>$B$4/4*$B$9*K7*K8</f>
        <v/>
      </c>
      <c r="L11" s="64">
        <f>$B$4/4*$B$9*L7*L8</f>
        <v/>
      </c>
      <c r="M11" s="64">
        <f>$B$4/4*$B$9*M7*M8</f>
        <v/>
      </c>
      <c r="N11" s="64">
        <f>$B$4/4*$B$9*N7*N8</f>
        <v/>
      </c>
      <c r="O11" s="64">
        <f>$B$4/4*$B$9*O7*O8</f>
        <v/>
      </c>
      <c r="P11" s="64">
        <f>$B$4/4*$B$9*P7*P8</f>
        <v/>
      </c>
      <c r="Q11" s="64">
        <f>$B$4/4*$B$9*Q7*Q8</f>
        <v/>
      </c>
      <c r="R11" s="64">
        <f>$B$4/4*$B$9*R7*R8</f>
        <v/>
      </c>
      <c r="S11" s="64">
        <f>$B$4/4*$B$9*S7*S8</f>
        <v/>
      </c>
      <c r="T11" s="64">
        <f>$B$4/4*$B$9*T7*T8</f>
        <v/>
      </c>
      <c r="U11" s="64">
        <f>$B$4/4*$B$9*U7*U8</f>
        <v/>
      </c>
      <c r="V11" s="64">
        <f>$B$4/4*$B$9*V7*V8</f>
        <v/>
      </c>
      <c r="W11" s="64">
        <f>$B$4/4*$B$9*W7*W8</f>
        <v/>
      </c>
      <c r="X11" s="64">
        <f>$B$4/4*$B$9*X7*X8</f>
        <v/>
      </c>
      <c r="Y11" s="64">
        <f>$B$4/4*$B$9*Y7*Y8</f>
        <v/>
      </c>
      <c r="Z11" s="64">
        <f>$B$4/4*$B$9*Z7*Z8</f>
        <v/>
      </c>
      <c r="AA11" s="64">
        <f>$B$4/4*$B$9*AA7*AA8</f>
        <v/>
      </c>
      <c r="AB11" s="64">
        <f>$B$4/4*$B$9*AB7*AB8</f>
        <v/>
      </c>
      <c r="AC11" s="64">
        <f>$B$4/4*$B$9*AC7*AC8</f>
        <v/>
      </c>
      <c r="AD11" s="64">
        <f>$B$4/4*$B$9*AD7*AD8</f>
        <v/>
      </c>
      <c r="AE11" s="64">
        <f>$B$4/4*$B$9*AE7*AE8</f>
        <v/>
      </c>
      <c r="AF11" s="64">
        <f>$B$4/4*$B$9*AF7*AF8</f>
        <v/>
      </c>
      <c r="AG11" s="64">
        <f>$B$4/4*$B$9*AG7*AG8</f>
        <v/>
      </c>
      <c r="AH11" s="64">
        <f>$B$4/4*$B$9*AH7*AH8</f>
        <v/>
      </c>
      <c r="AI11" s="64">
        <f>$B$4/4*$B$9*AI7*AI8</f>
        <v/>
      </c>
      <c r="AJ11" s="64">
        <f>$B$4/4*$B$9*AJ7*AJ8</f>
        <v/>
      </c>
      <c r="AK11" s="64">
        <f>$B$4/4*$B$9*AK7*AK8</f>
        <v/>
      </c>
      <c r="AL11" s="64">
        <f>$B$4/4*$B$9*AL7*AL8</f>
        <v/>
      </c>
      <c r="AM11" s="64">
        <f>$B$4/4*$B$9*AM7*AM8</f>
        <v/>
      </c>
      <c r="AN11" s="64">
        <f>$B$4/4*$B$9*AN7*AN8</f>
        <v/>
      </c>
      <c r="AO11" s="64">
        <f>$B$4/4*$B$9*AO7*AO8</f>
        <v/>
      </c>
      <c r="AP11" s="64">
        <f>$B$4/4*$B$9*AP7*AP8</f>
        <v/>
      </c>
      <c r="AQ11" s="64">
        <f>$B$4/4*$B$9*AQ7*AQ8</f>
        <v/>
      </c>
      <c r="AR11" s="64">
        <f>$B$4/4*$B$9*AR7*AR8</f>
        <v/>
      </c>
      <c r="AS11" s="64">
        <f>$B$4/4*$B$9*AS7*AS8</f>
        <v/>
      </c>
      <c r="AT11" s="64">
        <f>$B$4/4*$B$9*AT7*AT8</f>
        <v/>
      </c>
      <c r="AU11" s="64">
        <f>$B$4/4*$B$9*AU7*AU8</f>
        <v/>
      </c>
      <c r="AV11" s="64">
        <f>$B$4/4*$B$9*AV7*AV8</f>
        <v/>
      </c>
      <c r="AW11" s="64">
        <f>$B$4/4*$B$9*AW7*AW8</f>
        <v/>
      </c>
      <c r="AX11" s="64">
        <f>$B$4/4*$B$9*AX7*AX8</f>
        <v/>
      </c>
      <c r="AY11" s="64">
        <f>$B$4/4*$B$9*AY7*AY8</f>
        <v/>
      </c>
      <c r="AZ11" s="64">
        <f>$B$4/4*$B$9*AZ7*AZ8</f>
        <v/>
      </c>
      <c r="BA11" s="64">
        <f>$B$4/4*$B$9*BA7*BA8</f>
        <v/>
      </c>
      <c r="BB11" s="64">
        <f>$B$4/4*$B$9*BB7*BB8</f>
        <v/>
      </c>
      <c r="BC11" s="64">
        <f>$B$4/4*$B$9*BC7*BC8</f>
        <v/>
      </c>
      <c r="BD11" s="64">
        <f>$B$4/4*$B$9*BD7*BD8</f>
        <v/>
      </c>
      <c r="BE11" s="64">
        <f>$B$4/4*$B$9*BE7*BE8</f>
        <v/>
      </c>
      <c r="BF11" s="64">
        <f>$B$4/4*$B$9*BF7*BF8</f>
        <v/>
      </c>
      <c r="BG11" s="64">
        <f>$B$4/4*$B$9*BG7*BG8</f>
        <v/>
      </c>
      <c r="BH11" s="64">
        <f>$B$4/4*$B$9*BH7*BH8</f>
        <v/>
      </c>
      <c r="BI11" s="64">
        <f>$B$4/4*$B$9*BI7*BI8</f>
        <v/>
      </c>
      <c r="BJ11" s="64">
        <f>$B$4/4*$B$9*BJ7*BJ8</f>
        <v/>
      </c>
      <c r="BK11" s="64">
        <f>$B$4/4*$B$9*BK7*BK8</f>
        <v/>
      </c>
      <c r="BL11" s="64">
        <f>$B$4/4*$B$9*BL7*BL8</f>
        <v/>
      </c>
      <c r="BM11" s="64">
        <f>$B$4/4*$B$9*BM7*BM8</f>
        <v/>
      </c>
      <c r="BN11" s="64">
        <f>$B$4/4*$B$9*BN7*BN8</f>
        <v/>
      </c>
      <c r="BO11" s="64">
        <f>$B$4/4*$B$9*BO7*BO8</f>
        <v/>
      </c>
      <c r="BP11" s="64">
        <f>$B$4/4*$B$9*BP7*BP8</f>
        <v/>
      </c>
      <c r="BQ11" s="64">
        <f>$B$4/4*$B$9*BQ7*BQ8</f>
        <v/>
      </c>
      <c r="BR11" s="64">
        <f>$B$4/4*$B$9*BR7*BR8</f>
        <v/>
      </c>
      <c r="BS11" s="64">
        <f>$B$4/4*$B$9*BS7*BS8</f>
        <v/>
      </c>
      <c r="BT11" s="64">
        <f>$B$4/4*$B$9*BT7*BT8</f>
        <v/>
      </c>
      <c r="BU11" s="64">
        <f>$B$4/4*$B$9*BU7*BU8</f>
        <v/>
      </c>
      <c r="BV11" s="64">
        <f>$B$4/4*$B$9*BV7*BV8</f>
        <v/>
      </c>
      <c r="BW11" s="64">
        <f>$B$4/4*$B$9*BW7*BW8</f>
        <v/>
      </c>
      <c r="BX11" s="64">
        <f>$B$4/4*$B$9*BX7*BX8</f>
        <v/>
      </c>
      <c r="BY11" s="64">
        <f>$B$4/4*$B$9*BY7*BY8</f>
        <v/>
      </c>
      <c r="BZ11" s="64">
        <f>$B$4/4*$B$9*BZ7*BZ8</f>
        <v/>
      </c>
      <c r="CA11" s="64">
        <f>$B$4/4*$B$9*CA7*CA8</f>
        <v/>
      </c>
      <c r="CB11" s="64">
        <f>$B$4/4*$B$9*CB7*CB8</f>
        <v/>
      </c>
      <c r="CC11" s="64">
        <f>$B$4/4*$B$9*CC7*CC8</f>
        <v/>
      </c>
      <c r="CD11" s="64">
        <f>$B$4/4*$B$9*CD7*CD8</f>
        <v/>
      </c>
    </row>
    <row r="12">
      <c r="A12" t="inlineStr">
        <is>
          <t>EBITDA ($)</t>
        </is>
      </c>
      <c r="C12" s="64">
        <f>C10-C11</f>
        <v/>
      </c>
      <c r="D12" s="64">
        <f>D10-D11</f>
        <v/>
      </c>
      <c r="E12" s="64">
        <f>E10-E11</f>
        <v/>
      </c>
      <c r="F12" s="64">
        <f>F10-F11</f>
        <v/>
      </c>
      <c r="G12" s="64">
        <f>G10-G11</f>
        <v/>
      </c>
      <c r="H12" s="64">
        <f>H10-H11</f>
        <v/>
      </c>
      <c r="I12" s="64">
        <f>I10-I11</f>
        <v/>
      </c>
      <c r="J12" s="64">
        <f>J10-J11</f>
        <v/>
      </c>
      <c r="K12" s="64">
        <f>K10-K11</f>
        <v/>
      </c>
      <c r="L12" s="64">
        <f>L10-L11</f>
        <v/>
      </c>
      <c r="M12" s="64">
        <f>M10-M11</f>
        <v/>
      </c>
      <c r="N12" s="64">
        <f>N10-N11</f>
        <v/>
      </c>
      <c r="O12" s="64">
        <f>O10-O11</f>
        <v/>
      </c>
      <c r="P12" s="64">
        <f>P10-P11</f>
        <v/>
      </c>
      <c r="Q12" s="64">
        <f>Q10-Q11</f>
        <v/>
      </c>
      <c r="R12" s="64">
        <f>R10-R11</f>
        <v/>
      </c>
      <c r="S12" s="64">
        <f>S10-S11</f>
        <v/>
      </c>
      <c r="T12" s="64">
        <f>T10-T11</f>
        <v/>
      </c>
      <c r="U12" s="64">
        <f>U10-U11</f>
        <v/>
      </c>
      <c r="V12" s="64">
        <f>V10-V11</f>
        <v/>
      </c>
      <c r="W12" s="64">
        <f>W10-W11</f>
        <v/>
      </c>
      <c r="X12" s="64">
        <f>X10-X11</f>
        <v/>
      </c>
      <c r="Y12" s="64">
        <f>Y10-Y11</f>
        <v/>
      </c>
      <c r="Z12" s="64">
        <f>Z10-Z11</f>
        <v/>
      </c>
      <c r="AA12" s="64">
        <f>AA10-AA11</f>
        <v/>
      </c>
      <c r="AB12" s="64">
        <f>AB10-AB11</f>
        <v/>
      </c>
      <c r="AC12" s="64">
        <f>AC10-AC11</f>
        <v/>
      </c>
      <c r="AD12" s="64">
        <f>AD10-AD11</f>
        <v/>
      </c>
      <c r="AE12" s="64">
        <f>AE10-AE11</f>
        <v/>
      </c>
      <c r="AF12" s="64">
        <f>AF10-AF11</f>
        <v/>
      </c>
      <c r="AG12" s="64">
        <f>AG10-AG11</f>
        <v/>
      </c>
      <c r="AH12" s="64">
        <f>AH10-AH11</f>
        <v/>
      </c>
      <c r="AI12" s="64">
        <f>AI10-AI11</f>
        <v/>
      </c>
      <c r="AJ12" s="64">
        <f>AJ10-AJ11</f>
        <v/>
      </c>
      <c r="AK12" s="64">
        <f>AK10-AK11</f>
        <v/>
      </c>
      <c r="AL12" s="64">
        <f>AL10-AL11</f>
        <v/>
      </c>
      <c r="AM12" s="64">
        <f>AM10-AM11</f>
        <v/>
      </c>
      <c r="AN12" s="64">
        <f>AN10-AN11</f>
        <v/>
      </c>
      <c r="AO12" s="64">
        <f>AO10-AO11</f>
        <v/>
      </c>
      <c r="AP12" s="64">
        <f>AP10-AP11</f>
        <v/>
      </c>
      <c r="AQ12" s="64">
        <f>AQ10-AQ11</f>
        <v/>
      </c>
      <c r="AR12" s="64">
        <f>AR10-AR11</f>
        <v/>
      </c>
      <c r="AS12" s="64">
        <f>AS10-AS11</f>
        <v/>
      </c>
      <c r="AT12" s="64">
        <f>AT10-AT11</f>
        <v/>
      </c>
      <c r="AU12" s="64">
        <f>AU10-AU11</f>
        <v/>
      </c>
      <c r="AV12" s="64">
        <f>AV10-AV11</f>
        <v/>
      </c>
      <c r="AW12" s="64">
        <f>AW10-AW11</f>
        <v/>
      </c>
      <c r="AX12" s="64">
        <f>AX10-AX11</f>
        <v/>
      </c>
      <c r="AY12" s="64">
        <f>AY10-AY11</f>
        <v/>
      </c>
      <c r="AZ12" s="64">
        <f>AZ10-AZ11</f>
        <v/>
      </c>
      <c r="BA12" s="64">
        <f>BA10-BA11</f>
        <v/>
      </c>
      <c r="BB12" s="64">
        <f>BB10-BB11</f>
        <v/>
      </c>
      <c r="BC12" s="64">
        <f>BC10-BC11</f>
        <v/>
      </c>
      <c r="BD12" s="64">
        <f>BD10-BD11</f>
        <v/>
      </c>
      <c r="BE12" s="64">
        <f>BE10-BE11</f>
        <v/>
      </c>
      <c r="BF12" s="64">
        <f>BF10-BF11</f>
        <v/>
      </c>
      <c r="BG12" s="64">
        <f>BG10-BG11</f>
        <v/>
      </c>
      <c r="BH12" s="64">
        <f>BH10-BH11</f>
        <v/>
      </c>
      <c r="BI12" s="64">
        <f>BI10-BI11</f>
        <v/>
      </c>
      <c r="BJ12" s="64">
        <f>BJ10-BJ11</f>
        <v/>
      </c>
      <c r="BK12" s="64">
        <f>BK10-BK11</f>
        <v/>
      </c>
      <c r="BL12" s="64">
        <f>BL10-BL11</f>
        <v/>
      </c>
      <c r="BM12" s="64">
        <f>BM10-BM11</f>
        <v/>
      </c>
      <c r="BN12" s="64">
        <f>BN10-BN11</f>
        <v/>
      </c>
      <c r="BO12" s="64">
        <f>BO10-BO11</f>
        <v/>
      </c>
      <c r="BP12" s="64">
        <f>BP10-BP11</f>
        <v/>
      </c>
      <c r="BQ12" s="64">
        <f>BQ10-BQ11</f>
        <v/>
      </c>
      <c r="BR12" s="64">
        <f>BR10-BR11</f>
        <v/>
      </c>
      <c r="BS12" s="64">
        <f>BS10-BS11</f>
        <v/>
      </c>
      <c r="BT12" s="64">
        <f>BT10-BT11</f>
        <v/>
      </c>
      <c r="BU12" s="64">
        <f>BU10-BU11</f>
        <v/>
      </c>
      <c r="BV12" s="64">
        <f>BV10-BV11</f>
        <v/>
      </c>
      <c r="BW12" s="64">
        <f>BW10-BW11</f>
        <v/>
      </c>
      <c r="BX12" s="64">
        <f>BX10-BX11</f>
        <v/>
      </c>
      <c r="BY12" s="64">
        <f>BY10-BY11</f>
        <v/>
      </c>
      <c r="BZ12" s="64">
        <f>BZ10-BZ11</f>
        <v/>
      </c>
      <c r="CA12" s="64">
        <f>CA10-CA11</f>
        <v/>
      </c>
      <c r="CB12" s="64">
        <f>CB10-CB11</f>
        <v/>
      </c>
      <c r="CC12" s="64">
        <f>CC10-CC11</f>
        <v/>
      </c>
      <c r="CD12" s="64">
        <f>CD10-CD11</f>
        <v/>
      </c>
    </row>
    <row r="13">
      <c r="A13" t="inlineStr">
        <is>
          <t>Routine Maint Capex (% of Revenue) — linked from Assumptions_Model</t>
        </is>
      </c>
      <c r="B13" s="56">
        <f>Assumptions_Model!$B$13</f>
        <v/>
      </c>
    </row>
    <row r="14">
      <c r="A14" t="inlineStr">
        <is>
          <t>Routine Maintenance Capex ($) = Revenue x routine %</t>
        </is>
      </c>
      <c r="C14" s="64">
        <f>C10*$B$13</f>
        <v/>
      </c>
      <c r="D14" s="64">
        <f>D10*$B$13</f>
        <v/>
      </c>
      <c r="E14" s="64">
        <f>E10*$B$13</f>
        <v/>
      </c>
      <c r="F14" s="64">
        <f>F10*$B$13</f>
        <v/>
      </c>
      <c r="G14" s="64">
        <f>G10*$B$13</f>
        <v/>
      </c>
      <c r="H14" s="64">
        <f>H10*$B$13</f>
        <v/>
      </c>
      <c r="I14" s="64">
        <f>I10*$B$13</f>
        <v/>
      </c>
      <c r="J14" s="64">
        <f>J10*$B$13</f>
        <v/>
      </c>
      <c r="K14" s="64">
        <f>K10*$B$13</f>
        <v/>
      </c>
      <c r="L14" s="64">
        <f>L10*$B$13</f>
        <v/>
      </c>
      <c r="M14" s="64">
        <f>M10*$B$13</f>
        <v/>
      </c>
      <c r="N14" s="64">
        <f>N10*$B$13</f>
        <v/>
      </c>
      <c r="O14" s="64">
        <f>O10*$B$13</f>
        <v/>
      </c>
      <c r="P14" s="64">
        <f>P10*$B$13</f>
        <v/>
      </c>
      <c r="Q14" s="64">
        <f>Q10*$B$13</f>
        <v/>
      </c>
      <c r="R14" s="64">
        <f>R10*$B$13</f>
        <v/>
      </c>
      <c r="S14" s="64">
        <f>S10*$B$13</f>
        <v/>
      </c>
      <c r="T14" s="64">
        <f>T10*$B$13</f>
        <v/>
      </c>
      <c r="U14" s="64">
        <f>U10*$B$13</f>
        <v/>
      </c>
      <c r="V14" s="64">
        <f>V10*$B$13</f>
        <v/>
      </c>
      <c r="W14" s="64">
        <f>W10*$B$13</f>
        <v/>
      </c>
      <c r="X14" s="64">
        <f>X10*$B$13</f>
        <v/>
      </c>
      <c r="Y14" s="64">
        <f>Y10*$B$13</f>
        <v/>
      </c>
      <c r="Z14" s="64">
        <f>Z10*$B$13</f>
        <v/>
      </c>
      <c r="AA14" s="64">
        <f>AA10*$B$13</f>
        <v/>
      </c>
      <c r="AB14" s="64">
        <f>AB10*$B$13</f>
        <v/>
      </c>
      <c r="AC14" s="64">
        <f>AC10*$B$13</f>
        <v/>
      </c>
      <c r="AD14" s="64">
        <f>AD10*$B$13</f>
        <v/>
      </c>
      <c r="AE14" s="64">
        <f>AE10*$B$13</f>
        <v/>
      </c>
      <c r="AF14" s="64">
        <f>AF10*$B$13</f>
        <v/>
      </c>
      <c r="AG14" s="64">
        <f>AG10*$B$13</f>
        <v/>
      </c>
      <c r="AH14" s="64">
        <f>AH10*$B$13</f>
        <v/>
      </c>
      <c r="AI14" s="64">
        <f>AI10*$B$13</f>
        <v/>
      </c>
      <c r="AJ14" s="64">
        <f>AJ10*$B$13</f>
        <v/>
      </c>
      <c r="AK14" s="64">
        <f>AK10*$B$13</f>
        <v/>
      </c>
      <c r="AL14" s="64">
        <f>AL10*$B$13</f>
        <v/>
      </c>
      <c r="AM14" s="64">
        <f>AM10*$B$13</f>
        <v/>
      </c>
      <c r="AN14" s="64">
        <f>AN10*$B$13</f>
        <v/>
      </c>
      <c r="AO14" s="64">
        <f>AO10*$B$13</f>
        <v/>
      </c>
      <c r="AP14" s="64">
        <f>AP10*$B$13</f>
        <v/>
      </c>
      <c r="AQ14" s="64">
        <f>AQ10*$B$13</f>
        <v/>
      </c>
      <c r="AR14" s="64">
        <f>AR10*$B$13</f>
        <v/>
      </c>
      <c r="AS14" s="64">
        <f>AS10*$B$13</f>
        <v/>
      </c>
      <c r="AT14" s="64">
        <f>AT10*$B$13</f>
        <v/>
      </c>
      <c r="AU14" s="64">
        <f>AU10*$B$13</f>
        <v/>
      </c>
      <c r="AV14" s="64">
        <f>AV10*$B$13</f>
        <v/>
      </c>
      <c r="AW14" s="64">
        <f>AW10*$B$13</f>
        <v/>
      </c>
      <c r="AX14" s="64">
        <f>AX10*$B$13</f>
        <v/>
      </c>
      <c r="AY14" s="64">
        <f>AY10*$B$13</f>
        <v/>
      </c>
      <c r="AZ14" s="64">
        <f>AZ10*$B$13</f>
        <v/>
      </c>
      <c r="BA14" s="64">
        <f>BA10*$B$13</f>
        <v/>
      </c>
      <c r="BB14" s="64">
        <f>BB10*$B$13</f>
        <v/>
      </c>
      <c r="BC14" s="64">
        <f>BC10*$B$13</f>
        <v/>
      </c>
      <c r="BD14" s="64">
        <f>BD10*$B$13</f>
        <v/>
      </c>
      <c r="BE14" s="64">
        <f>BE10*$B$13</f>
        <v/>
      </c>
      <c r="BF14" s="64">
        <f>BF10*$B$13</f>
        <v/>
      </c>
      <c r="BG14" s="64">
        <f>BG10*$B$13</f>
        <v/>
      </c>
      <c r="BH14" s="64">
        <f>BH10*$B$13</f>
        <v/>
      </c>
      <c r="BI14" s="64">
        <f>BI10*$B$13</f>
        <v/>
      </c>
      <c r="BJ14" s="64">
        <f>BJ10*$B$13</f>
        <v/>
      </c>
      <c r="BK14" s="64">
        <f>BK10*$B$13</f>
        <v/>
      </c>
      <c r="BL14" s="64">
        <f>BL10*$B$13</f>
        <v/>
      </c>
      <c r="BM14" s="64">
        <f>BM10*$B$13</f>
        <v/>
      </c>
      <c r="BN14" s="64">
        <f>BN10*$B$13</f>
        <v/>
      </c>
      <c r="BO14" s="64">
        <f>BO10*$B$13</f>
        <v/>
      </c>
      <c r="BP14" s="64">
        <f>BP10*$B$13</f>
        <v/>
      </c>
      <c r="BQ14" s="64">
        <f>BQ10*$B$13</f>
        <v/>
      </c>
      <c r="BR14" s="64">
        <f>BR10*$B$13</f>
        <v/>
      </c>
      <c r="BS14" s="64">
        <f>BS10*$B$13</f>
        <v/>
      </c>
      <c r="BT14" s="64">
        <f>BT10*$B$13</f>
        <v/>
      </c>
      <c r="BU14" s="64">
        <f>BU10*$B$13</f>
        <v/>
      </c>
      <c r="BV14" s="64">
        <f>BV10*$B$13</f>
        <v/>
      </c>
      <c r="BW14" s="64">
        <f>BW10*$B$13</f>
        <v/>
      </c>
      <c r="BX14" s="64">
        <f>BX10*$B$13</f>
        <v/>
      </c>
      <c r="BY14" s="64">
        <f>BY10*$B$13</f>
        <v/>
      </c>
      <c r="BZ14" s="64">
        <f>BZ10*$B$13</f>
        <v/>
      </c>
      <c r="CA14" s="64">
        <f>CA10*$B$13</f>
        <v/>
      </c>
      <c r="CB14" s="64">
        <f>CB10*$B$13</f>
        <v/>
      </c>
      <c r="CC14" s="64">
        <f>CC10*$B$13</f>
        <v/>
      </c>
      <c r="CD14" s="64">
        <f>CD10*$B$13</f>
        <v/>
      </c>
    </row>
    <row r="15">
      <c r="A15" t="inlineStr">
        <is>
          <t>Lumpy Maintenance Capex ($) — linked from Assumptions_Periodic_Ops</t>
        </is>
      </c>
      <c r="C15" s="55">
        <f>Assumptions_Periodic_Ops!C44</f>
        <v/>
      </c>
      <c r="D15" s="55">
        <f>Assumptions_Periodic_Ops!D44</f>
        <v/>
      </c>
      <c r="E15" s="55">
        <f>Assumptions_Periodic_Ops!E44</f>
        <v/>
      </c>
      <c r="F15" s="55">
        <f>Assumptions_Periodic_Ops!F44</f>
        <v/>
      </c>
      <c r="G15" s="55">
        <f>Assumptions_Periodic_Ops!G44</f>
        <v/>
      </c>
      <c r="H15" s="55">
        <f>Assumptions_Periodic_Ops!H44</f>
        <v/>
      </c>
      <c r="I15" s="55">
        <f>Assumptions_Periodic_Ops!I44</f>
        <v/>
      </c>
      <c r="J15" s="55">
        <f>Assumptions_Periodic_Ops!J44</f>
        <v/>
      </c>
      <c r="K15" s="55">
        <f>Assumptions_Periodic_Ops!K44</f>
        <v/>
      </c>
      <c r="L15" s="55">
        <f>Assumptions_Periodic_Ops!L44</f>
        <v/>
      </c>
      <c r="M15" s="55">
        <f>Assumptions_Periodic_Ops!M44</f>
        <v/>
      </c>
      <c r="N15" s="55">
        <f>Assumptions_Periodic_Ops!N44</f>
        <v/>
      </c>
      <c r="O15" s="55">
        <f>Assumptions_Periodic_Ops!O44</f>
        <v/>
      </c>
      <c r="P15" s="55">
        <f>Assumptions_Periodic_Ops!P44</f>
        <v/>
      </c>
      <c r="Q15" s="55">
        <f>Assumptions_Periodic_Ops!Q44</f>
        <v/>
      </c>
      <c r="R15" s="55">
        <f>Assumptions_Periodic_Ops!R44</f>
        <v/>
      </c>
      <c r="S15" s="55">
        <f>Assumptions_Periodic_Ops!S44</f>
        <v/>
      </c>
      <c r="T15" s="55">
        <f>Assumptions_Periodic_Ops!T44</f>
        <v/>
      </c>
      <c r="U15" s="55">
        <f>Assumptions_Periodic_Ops!U44</f>
        <v/>
      </c>
      <c r="V15" s="55">
        <f>Assumptions_Periodic_Ops!V44</f>
        <v/>
      </c>
      <c r="W15" s="55">
        <f>Assumptions_Periodic_Ops!W44</f>
        <v/>
      </c>
      <c r="X15" s="55">
        <f>Assumptions_Periodic_Ops!X44</f>
        <v/>
      </c>
      <c r="Y15" s="55">
        <f>Assumptions_Periodic_Ops!Y44</f>
        <v/>
      </c>
      <c r="Z15" s="55">
        <f>Assumptions_Periodic_Ops!Z44</f>
        <v/>
      </c>
      <c r="AA15" s="55">
        <f>Assumptions_Periodic_Ops!AA44</f>
        <v/>
      </c>
      <c r="AB15" s="55">
        <f>Assumptions_Periodic_Ops!AB44</f>
        <v/>
      </c>
      <c r="AC15" s="55">
        <f>Assumptions_Periodic_Ops!AC44</f>
        <v/>
      </c>
      <c r="AD15" s="55">
        <f>Assumptions_Periodic_Ops!AD44</f>
        <v/>
      </c>
      <c r="AE15" s="55">
        <f>Assumptions_Periodic_Ops!AE44</f>
        <v/>
      </c>
      <c r="AF15" s="55">
        <f>Assumptions_Periodic_Ops!AF44</f>
        <v/>
      </c>
      <c r="AG15" s="55">
        <f>Assumptions_Periodic_Ops!AG44</f>
        <v/>
      </c>
      <c r="AH15" s="55">
        <f>Assumptions_Periodic_Ops!AH44</f>
        <v/>
      </c>
      <c r="AI15" s="55">
        <f>Assumptions_Periodic_Ops!AI44</f>
        <v/>
      </c>
      <c r="AJ15" s="55">
        <f>Assumptions_Periodic_Ops!AJ44</f>
        <v/>
      </c>
      <c r="AK15" s="55">
        <f>Assumptions_Periodic_Ops!AK44</f>
        <v/>
      </c>
      <c r="AL15" s="55">
        <f>Assumptions_Periodic_Ops!AL44</f>
        <v/>
      </c>
      <c r="AM15" s="55">
        <f>Assumptions_Periodic_Ops!AM44</f>
        <v/>
      </c>
      <c r="AN15" s="55">
        <f>Assumptions_Periodic_Ops!AN44</f>
        <v/>
      </c>
      <c r="AO15" s="55">
        <f>Assumptions_Periodic_Ops!AO44</f>
        <v/>
      </c>
      <c r="AP15" s="55">
        <f>Assumptions_Periodic_Ops!AP44</f>
        <v/>
      </c>
      <c r="AQ15" s="55">
        <f>Assumptions_Periodic_Ops!AQ44</f>
        <v/>
      </c>
      <c r="AR15" s="55">
        <f>Assumptions_Periodic_Ops!AR44</f>
        <v/>
      </c>
      <c r="AS15" s="55">
        <f>Assumptions_Periodic_Ops!AS44</f>
        <v/>
      </c>
      <c r="AT15" s="55">
        <f>Assumptions_Periodic_Ops!AT44</f>
        <v/>
      </c>
      <c r="AU15" s="55">
        <f>Assumptions_Periodic_Ops!AU44</f>
        <v/>
      </c>
      <c r="AV15" s="55">
        <f>Assumptions_Periodic_Ops!AV44</f>
        <v/>
      </c>
      <c r="AW15" s="55">
        <f>Assumptions_Periodic_Ops!AW44</f>
        <v/>
      </c>
      <c r="AX15" s="55">
        <f>Assumptions_Periodic_Ops!AX44</f>
        <v/>
      </c>
      <c r="AY15" s="55">
        <f>Assumptions_Periodic_Ops!AY44</f>
        <v/>
      </c>
      <c r="AZ15" s="55">
        <f>Assumptions_Periodic_Ops!AZ44</f>
        <v/>
      </c>
      <c r="BA15" s="55">
        <f>Assumptions_Periodic_Ops!BA44</f>
        <v/>
      </c>
      <c r="BB15" s="55">
        <f>Assumptions_Periodic_Ops!BB44</f>
        <v/>
      </c>
      <c r="BC15" s="55">
        <f>Assumptions_Periodic_Ops!BC44</f>
        <v/>
      </c>
      <c r="BD15" s="55">
        <f>Assumptions_Periodic_Ops!BD44</f>
        <v/>
      </c>
      <c r="BE15" s="55">
        <f>Assumptions_Periodic_Ops!BE44</f>
        <v/>
      </c>
      <c r="BF15" s="55">
        <f>Assumptions_Periodic_Ops!BF44</f>
        <v/>
      </c>
      <c r="BG15" s="55">
        <f>Assumptions_Periodic_Ops!BG44</f>
        <v/>
      </c>
      <c r="BH15" s="55">
        <f>Assumptions_Periodic_Ops!BH44</f>
        <v/>
      </c>
      <c r="BI15" s="55">
        <f>Assumptions_Periodic_Ops!BI44</f>
        <v/>
      </c>
      <c r="BJ15" s="55">
        <f>Assumptions_Periodic_Ops!BJ44</f>
        <v/>
      </c>
      <c r="BK15" s="55">
        <f>Assumptions_Periodic_Ops!BK44</f>
        <v/>
      </c>
      <c r="BL15" s="55">
        <f>Assumptions_Periodic_Ops!BL44</f>
        <v/>
      </c>
      <c r="BM15" s="55">
        <f>Assumptions_Periodic_Ops!BM44</f>
        <v/>
      </c>
      <c r="BN15" s="55">
        <f>Assumptions_Periodic_Ops!BN44</f>
        <v/>
      </c>
      <c r="BO15" s="55">
        <f>Assumptions_Periodic_Ops!BO44</f>
        <v/>
      </c>
      <c r="BP15" s="55">
        <f>Assumptions_Periodic_Ops!BP44</f>
        <v/>
      </c>
      <c r="BQ15" s="55">
        <f>Assumptions_Periodic_Ops!BQ44</f>
        <v/>
      </c>
      <c r="BR15" s="55">
        <f>Assumptions_Periodic_Ops!BR44</f>
        <v/>
      </c>
      <c r="BS15" s="55">
        <f>Assumptions_Periodic_Ops!BS44</f>
        <v/>
      </c>
      <c r="BT15" s="55">
        <f>Assumptions_Periodic_Ops!BT44</f>
        <v/>
      </c>
      <c r="BU15" s="55">
        <f>Assumptions_Periodic_Ops!BU44</f>
        <v/>
      </c>
      <c r="BV15" s="55">
        <f>Assumptions_Periodic_Ops!BV44</f>
        <v/>
      </c>
      <c r="BW15" s="55">
        <f>Assumptions_Periodic_Ops!BW44</f>
        <v/>
      </c>
      <c r="BX15" s="55">
        <f>Assumptions_Periodic_Ops!BX44</f>
        <v/>
      </c>
      <c r="BY15" s="55">
        <f>Assumptions_Periodic_Ops!BY44</f>
        <v/>
      </c>
      <c r="BZ15" s="55">
        <f>Assumptions_Periodic_Ops!BZ44</f>
        <v/>
      </c>
      <c r="CA15" s="55">
        <f>Assumptions_Periodic_Ops!CA44</f>
        <v/>
      </c>
      <c r="CB15" s="55">
        <f>Assumptions_Periodic_Ops!CB44</f>
        <v/>
      </c>
      <c r="CC15" s="55">
        <f>Assumptions_Periodic_Ops!CC44</f>
        <v/>
      </c>
      <c r="CD15" s="55">
        <f>Assumptions_Periodic_Ops!CD44</f>
        <v/>
      </c>
    </row>
    <row r="16">
      <c r="A16" t="inlineStr">
        <is>
          <t>Total Maintenance Capex ($)</t>
        </is>
      </c>
      <c r="C16" s="64">
        <f>C14+C15</f>
        <v/>
      </c>
      <c r="D16" s="64">
        <f>D14+D15</f>
        <v/>
      </c>
      <c r="E16" s="64">
        <f>E14+E15</f>
        <v/>
      </c>
      <c r="F16" s="64">
        <f>F14+F15</f>
        <v/>
      </c>
      <c r="G16" s="64">
        <f>G14+G15</f>
        <v/>
      </c>
      <c r="H16" s="64">
        <f>H14+H15</f>
        <v/>
      </c>
      <c r="I16" s="64">
        <f>I14+I15</f>
        <v/>
      </c>
      <c r="J16" s="64">
        <f>J14+J15</f>
        <v/>
      </c>
      <c r="K16" s="64">
        <f>K14+K15</f>
        <v/>
      </c>
      <c r="L16" s="64">
        <f>L14+L15</f>
        <v/>
      </c>
      <c r="M16" s="64">
        <f>M14+M15</f>
        <v/>
      </c>
      <c r="N16" s="64">
        <f>N14+N15</f>
        <v/>
      </c>
      <c r="O16" s="64">
        <f>O14+O15</f>
        <v/>
      </c>
      <c r="P16" s="64">
        <f>P14+P15</f>
        <v/>
      </c>
      <c r="Q16" s="64">
        <f>Q14+Q15</f>
        <v/>
      </c>
      <c r="R16" s="64">
        <f>R14+R15</f>
        <v/>
      </c>
      <c r="S16" s="64">
        <f>S14+S15</f>
        <v/>
      </c>
      <c r="T16" s="64">
        <f>T14+T15</f>
        <v/>
      </c>
      <c r="U16" s="64">
        <f>U14+U15</f>
        <v/>
      </c>
      <c r="V16" s="64">
        <f>V14+V15</f>
        <v/>
      </c>
      <c r="W16" s="64">
        <f>W14+W15</f>
        <v/>
      </c>
      <c r="X16" s="64">
        <f>X14+X15</f>
        <v/>
      </c>
      <c r="Y16" s="64">
        <f>Y14+Y15</f>
        <v/>
      </c>
      <c r="Z16" s="64">
        <f>Z14+Z15</f>
        <v/>
      </c>
      <c r="AA16" s="64">
        <f>AA14+AA15</f>
        <v/>
      </c>
      <c r="AB16" s="64">
        <f>AB14+AB15</f>
        <v/>
      </c>
      <c r="AC16" s="64">
        <f>AC14+AC15</f>
        <v/>
      </c>
      <c r="AD16" s="64">
        <f>AD14+AD15</f>
        <v/>
      </c>
      <c r="AE16" s="64">
        <f>AE14+AE15</f>
        <v/>
      </c>
      <c r="AF16" s="64">
        <f>AF14+AF15</f>
        <v/>
      </c>
      <c r="AG16" s="64">
        <f>AG14+AG15</f>
        <v/>
      </c>
      <c r="AH16" s="64">
        <f>AH14+AH15</f>
        <v/>
      </c>
      <c r="AI16" s="64">
        <f>AI14+AI15</f>
        <v/>
      </c>
      <c r="AJ16" s="64">
        <f>AJ14+AJ15</f>
        <v/>
      </c>
      <c r="AK16" s="64">
        <f>AK14+AK15</f>
        <v/>
      </c>
      <c r="AL16" s="64">
        <f>AL14+AL15</f>
        <v/>
      </c>
      <c r="AM16" s="64">
        <f>AM14+AM15</f>
        <v/>
      </c>
      <c r="AN16" s="64">
        <f>AN14+AN15</f>
        <v/>
      </c>
      <c r="AO16" s="64">
        <f>AO14+AO15</f>
        <v/>
      </c>
      <c r="AP16" s="64">
        <f>AP14+AP15</f>
        <v/>
      </c>
      <c r="AQ16" s="64">
        <f>AQ14+AQ15</f>
        <v/>
      </c>
      <c r="AR16" s="64">
        <f>AR14+AR15</f>
        <v/>
      </c>
      <c r="AS16" s="64">
        <f>AS14+AS15</f>
        <v/>
      </c>
      <c r="AT16" s="64">
        <f>AT14+AT15</f>
        <v/>
      </c>
      <c r="AU16" s="64">
        <f>AU14+AU15</f>
        <v/>
      </c>
      <c r="AV16" s="64">
        <f>AV14+AV15</f>
        <v/>
      </c>
      <c r="AW16" s="64">
        <f>AW14+AW15</f>
        <v/>
      </c>
      <c r="AX16" s="64">
        <f>AX14+AX15</f>
        <v/>
      </c>
      <c r="AY16" s="64">
        <f>AY14+AY15</f>
        <v/>
      </c>
      <c r="AZ16" s="64">
        <f>AZ14+AZ15</f>
        <v/>
      </c>
      <c r="BA16" s="64">
        <f>BA14+BA15</f>
        <v/>
      </c>
      <c r="BB16" s="64">
        <f>BB14+BB15</f>
        <v/>
      </c>
      <c r="BC16" s="64">
        <f>BC14+BC15</f>
        <v/>
      </c>
      <c r="BD16" s="64">
        <f>BD14+BD15</f>
        <v/>
      </c>
      <c r="BE16" s="64">
        <f>BE14+BE15</f>
        <v/>
      </c>
      <c r="BF16" s="64">
        <f>BF14+BF15</f>
        <v/>
      </c>
      <c r="BG16" s="64">
        <f>BG14+BG15</f>
        <v/>
      </c>
      <c r="BH16" s="64">
        <f>BH14+BH15</f>
        <v/>
      </c>
      <c r="BI16" s="64">
        <f>BI14+BI15</f>
        <v/>
      </c>
      <c r="BJ16" s="64">
        <f>BJ14+BJ15</f>
        <v/>
      </c>
      <c r="BK16" s="64">
        <f>BK14+BK15</f>
        <v/>
      </c>
      <c r="BL16" s="64">
        <f>BL14+BL15</f>
        <v/>
      </c>
      <c r="BM16" s="64">
        <f>BM14+BM15</f>
        <v/>
      </c>
      <c r="BN16" s="64">
        <f>BN14+BN15</f>
        <v/>
      </c>
      <c r="BO16" s="64">
        <f>BO14+BO15</f>
        <v/>
      </c>
      <c r="BP16" s="64">
        <f>BP14+BP15</f>
        <v/>
      </c>
      <c r="BQ16" s="64">
        <f>BQ14+BQ15</f>
        <v/>
      </c>
      <c r="BR16" s="64">
        <f>BR14+BR15</f>
        <v/>
      </c>
      <c r="BS16" s="64">
        <f>BS14+BS15</f>
        <v/>
      </c>
      <c r="BT16" s="64">
        <f>BT14+BT15</f>
        <v/>
      </c>
      <c r="BU16" s="64">
        <f>BU14+BU15</f>
        <v/>
      </c>
      <c r="BV16" s="64">
        <f>BV14+BV15</f>
        <v/>
      </c>
      <c r="BW16" s="64">
        <f>BW14+BW15</f>
        <v/>
      </c>
      <c r="BX16" s="64">
        <f>BX14+BX15</f>
        <v/>
      </c>
      <c r="BY16" s="64">
        <f>BY14+BY15</f>
        <v/>
      </c>
      <c r="BZ16" s="64">
        <f>BZ14+BZ15</f>
        <v/>
      </c>
      <c r="CA16" s="64">
        <f>CA14+CA15</f>
        <v/>
      </c>
      <c r="CB16" s="64">
        <f>CB14+CB15</f>
        <v/>
      </c>
      <c r="CC16" s="64">
        <f>CC14+CC15</f>
        <v/>
      </c>
      <c r="CD16" s="64">
        <f>CD14+CD15</f>
        <v/>
      </c>
    </row>
    <row r="17"/>
    <row r="19">
      <c r="A19" s="41" t="inlineStr">
        <is>
          <t>Checks</t>
        </is>
      </c>
    </row>
    <row r="20">
      <c r="A20" t="inlineStr">
        <is>
          <t>Check: Year 1 revenue = Annual Revenue Input (holds when Yr1 indices = 1.00)</t>
        </is>
      </c>
      <c r="F20" s="69">
        <f>IF(ROUND(SUM(C10:F10)-$B$4,2)=0,1,0)</f>
        <v/>
      </c>
    </row>
    <row r="21">
      <c r="A21" t="inlineStr">
        <is>
          <t>Informational: # quarters with negative EBITDA</t>
        </is>
      </c>
      <c r="CD21" s="69">
        <f>COUNTIF(C12:CD12,"&lt;0")</f>
        <v/>
      </c>
    </row>
    <row r="22">
      <c r="A22" t="inlineStr">
        <is>
          <t>Check: Total maintenance capex &gt;= 0 in every quarter</t>
        </is>
      </c>
      <c r="CD22" s="69">
        <f>IF(MIN(C16:CD16)&gt;=0,1,0)</f>
        <v/>
      </c>
    </row>
  </sheetData>
  <pageMargins left="0.75" right="0.75" top="1" bottom="1" header="0.5" footer="0.5"/>
</worksheet>
</file>

<file path=xl/worksheets/sheet9.xml><?xml version="1.0" encoding="utf-8"?>
<worksheet xmlns="http://schemas.openxmlformats.org/spreadsheetml/2006/main">
  <sheetPr>
    <tabColor rgb="00808080"/>
    <outlinePr summaryBelow="1" summaryRight="1"/>
    <pageSetUpPr/>
  </sheetPr>
  <dimension ref="A1:CD23"/>
  <sheetViews>
    <sheetView workbookViewId="0">
      <pane xSplit="2" ySplit="18" topLeftCell="C19" activePane="bottomRight" state="frozen"/>
      <selection pane="topRight"/>
      <selection pane="bottomLeft"/>
      <selection pane="bottomRight" activeCell="A1" sqref="A1"/>
    </sheetView>
  </sheetViews>
  <sheetFormatPr baseColWidth="8" defaultRowHeight="15"/>
  <cols>
    <col width="56" customWidth="1" min="1" max="1"/>
  </cols>
  <sheetData>
    <row r="1">
      <c r="A1" s="59" t="inlineStr">
        <is>
          <t>Calc_Tax — Quarterly Tax (base vintage + multi-vintage maintenance capex)</t>
        </is>
      </c>
    </row>
    <row r="3">
      <c r="A3" t="inlineStr">
        <is>
          <t>Tax Rate — linked from Assumptions_Model</t>
        </is>
      </c>
      <c r="B3" s="56">
        <f>Assumptions_Model!$B$10</f>
        <v/>
      </c>
    </row>
    <row r="4">
      <c r="A4" t="inlineStr">
        <is>
          <t>Useful Life (Years) — linked from Assumptions_Model</t>
        </is>
      </c>
      <c r="B4" s="60">
        <f>Assumptions_Model!$B$11</f>
        <v/>
      </c>
    </row>
    <row r="5">
      <c r="A5" t="inlineStr">
        <is>
          <t>Maintenance Capex Useful Life (Years) — structural, rebuild to change</t>
        </is>
      </c>
      <c r="B5" s="43" t="n">
        <v>10</v>
      </c>
    </row>
    <row r="7">
      <c r="A7" t="inlineStr">
        <is>
          <t>Period End Date</t>
        </is>
      </c>
      <c r="C7" s="16" t="n">
        <v>47208</v>
      </c>
      <c r="D7" s="16" t="n">
        <v>47299</v>
      </c>
      <c r="E7" s="16" t="n">
        <v>47391</v>
      </c>
      <c r="F7" s="16" t="n">
        <v>47483</v>
      </c>
      <c r="G7" s="16" t="n">
        <v>47573</v>
      </c>
      <c r="H7" s="16" t="n">
        <v>47664</v>
      </c>
      <c r="I7" s="16" t="n">
        <v>47756</v>
      </c>
      <c r="J7" s="16" t="n">
        <v>47848</v>
      </c>
      <c r="K7" s="16" t="n">
        <v>47938</v>
      </c>
      <c r="L7" s="16" t="n">
        <v>48029</v>
      </c>
      <c r="M7" s="16" t="n">
        <v>48121</v>
      </c>
      <c r="N7" s="16" t="n">
        <v>48213</v>
      </c>
      <c r="O7" s="16" t="n">
        <v>48304</v>
      </c>
      <c r="P7" s="16" t="n">
        <v>48395</v>
      </c>
      <c r="Q7" s="16" t="n">
        <v>48487</v>
      </c>
      <c r="R7" s="16" t="n">
        <v>48579</v>
      </c>
      <c r="S7" s="16" t="n">
        <v>48669</v>
      </c>
      <c r="T7" s="16" t="n">
        <v>48760</v>
      </c>
      <c r="U7" s="16" t="n">
        <v>48852</v>
      </c>
      <c r="V7" s="16" t="n">
        <v>48944</v>
      </c>
      <c r="W7" s="16" t="n">
        <v>49034</v>
      </c>
      <c r="X7" s="16" t="n">
        <v>49125</v>
      </c>
      <c r="Y7" s="16" t="n">
        <v>49217</v>
      </c>
      <c r="Z7" s="16" t="n">
        <v>49309</v>
      </c>
      <c r="AA7" s="16" t="n">
        <v>49399</v>
      </c>
      <c r="AB7" s="16" t="n">
        <v>49490</v>
      </c>
      <c r="AC7" s="16" t="n">
        <v>49582</v>
      </c>
      <c r="AD7" s="16" t="n">
        <v>49674</v>
      </c>
      <c r="AE7" s="16" t="n">
        <v>49765</v>
      </c>
      <c r="AF7" s="16" t="n">
        <v>49856</v>
      </c>
      <c r="AG7" s="16" t="n">
        <v>49948</v>
      </c>
      <c r="AH7" s="16" t="n">
        <v>50040</v>
      </c>
      <c r="AI7" s="16" t="n">
        <v>50130</v>
      </c>
      <c r="AJ7" s="16" t="n">
        <v>50221</v>
      </c>
      <c r="AK7" s="16" t="n">
        <v>50313</v>
      </c>
      <c r="AL7" s="16" t="n">
        <v>50405</v>
      </c>
      <c r="AM7" s="16" t="n">
        <v>50495</v>
      </c>
      <c r="AN7" s="16" t="n">
        <v>50586</v>
      </c>
      <c r="AO7" s="16" t="n">
        <v>50678</v>
      </c>
      <c r="AP7" s="16" t="n">
        <v>50770</v>
      </c>
      <c r="AQ7" s="16" t="n">
        <v>50860</v>
      </c>
      <c r="AR7" s="16" t="n">
        <v>50951</v>
      </c>
      <c r="AS7" s="16" t="n">
        <v>51043</v>
      </c>
      <c r="AT7" s="16" t="n">
        <v>51135</v>
      </c>
      <c r="AU7" s="16" t="n">
        <v>51226</v>
      </c>
      <c r="AV7" s="16" t="n">
        <v>51317</v>
      </c>
      <c r="AW7" s="16" t="n">
        <v>51409</v>
      </c>
      <c r="AX7" s="16" t="n">
        <v>51501</v>
      </c>
      <c r="AY7" s="16" t="n">
        <v>51591</v>
      </c>
      <c r="AZ7" s="16" t="n">
        <v>51682</v>
      </c>
      <c r="BA7" s="16" t="n">
        <v>51774</v>
      </c>
      <c r="BB7" s="16" t="n">
        <v>51866</v>
      </c>
      <c r="BC7" s="16" t="n">
        <v>51956</v>
      </c>
      <c r="BD7" s="16" t="n">
        <v>52047</v>
      </c>
      <c r="BE7" s="16" t="n">
        <v>52139</v>
      </c>
      <c r="BF7" s="16" t="n">
        <v>52231</v>
      </c>
      <c r="BG7" s="16" t="n">
        <v>52321</v>
      </c>
      <c r="BH7" s="16" t="n">
        <v>52412</v>
      </c>
      <c r="BI7" s="16" t="n">
        <v>52504</v>
      </c>
      <c r="BJ7" s="16" t="n">
        <v>52596</v>
      </c>
      <c r="BK7" s="16" t="n">
        <v>52687</v>
      </c>
      <c r="BL7" s="16" t="n">
        <v>52778</v>
      </c>
      <c r="BM7" s="16" t="n">
        <v>52870</v>
      </c>
      <c r="BN7" s="16" t="n">
        <v>52962</v>
      </c>
      <c r="BO7" s="16" t="n">
        <v>53052</v>
      </c>
      <c r="BP7" s="16" t="n">
        <v>53143</v>
      </c>
      <c r="BQ7" s="16" t="n">
        <v>53235</v>
      </c>
      <c r="BR7" s="16" t="n">
        <v>53327</v>
      </c>
      <c r="BS7" s="16" t="n">
        <v>53417</v>
      </c>
      <c r="BT7" s="16" t="n">
        <v>53508</v>
      </c>
      <c r="BU7" s="16" t="n">
        <v>53600</v>
      </c>
      <c r="BV7" s="16" t="n">
        <v>53692</v>
      </c>
      <c r="BW7" s="16" t="n">
        <v>53782</v>
      </c>
      <c r="BX7" s="16" t="n">
        <v>53873</v>
      </c>
      <c r="BY7" s="16" t="n">
        <v>53965</v>
      </c>
      <c r="BZ7" s="16" t="n">
        <v>54057</v>
      </c>
      <c r="CA7" s="16" t="n">
        <v>54148</v>
      </c>
      <c r="CB7" s="16" t="n">
        <v>54239</v>
      </c>
      <c r="CC7" s="16" t="n">
        <v>54331</v>
      </c>
      <c r="CD7" s="16" t="n">
        <v>54423</v>
      </c>
    </row>
    <row r="8">
      <c r="A8" t="inlineStr">
        <is>
          <t>Operating Quarter #</t>
        </is>
      </c>
      <c r="C8" t="n">
        <v>1</v>
      </c>
      <c r="D8" t="n">
        <v>2</v>
      </c>
      <c r="E8" t="n">
        <v>3</v>
      </c>
      <c r="F8" t="n">
        <v>4</v>
      </c>
      <c r="G8" t="n">
        <v>5</v>
      </c>
      <c r="H8" t="n">
        <v>6</v>
      </c>
      <c r="I8" t="n">
        <v>7</v>
      </c>
      <c r="J8" t="n">
        <v>8</v>
      </c>
      <c r="K8" t="n">
        <v>9</v>
      </c>
      <c r="L8" t="n">
        <v>10</v>
      </c>
      <c r="M8" t="n">
        <v>11</v>
      </c>
      <c r="N8" t="n">
        <v>12</v>
      </c>
      <c r="O8" t="n">
        <v>13</v>
      </c>
      <c r="P8" t="n">
        <v>14</v>
      </c>
      <c r="Q8" t="n">
        <v>15</v>
      </c>
      <c r="R8" t="n">
        <v>16</v>
      </c>
      <c r="S8" t="n">
        <v>17</v>
      </c>
      <c r="T8" t="n">
        <v>18</v>
      </c>
      <c r="U8" t="n">
        <v>19</v>
      </c>
      <c r="V8" t="n">
        <v>20</v>
      </c>
      <c r="W8" t="n">
        <v>21</v>
      </c>
      <c r="X8" t="n">
        <v>22</v>
      </c>
      <c r="Y8" t="n">
        <v>23</v>
      </c>
      <c r="Z8" t="n">
        <v>24</v>
      </c>
      <c r="AA8" t="n">
        <v>25</v>
      </c>
      <c r="AB8" t="n">
        <v>26</v>
      </c>
      <c r="AC8" t="n">
        <v>27</v>
      </c>
      <c r="AD8" t="n">
        <v>28</v>
      </c>
      <c r="AE8" t="n">
        <v>29</v>
      </c>
      <c r="AF8" t="n">
        <v>30</v>
      </c>
      <c r="AG8" t="n">
        <v>31</v>
      </c>
      <c r="AH8" t="n">
        <v>32</v>
      </c>
      <c r="AI8" t="n">
        <v>33</v>
      </c>
      <c r="AJ8" t="n">
        <v>34</v>
      </c>
      <c r="AK8" t="n">
        <v>35</v>
      </c>
      <c r="AL8" t="n">
        <v>36</v>
      </c>
      <c r="AM8" t="n">
        <v>37</v>
      </c>
      <c r="AN8" t="n">
        <v>38</v>
      </c>
      <c r="AO8" t="n">
        <v>39</v>
      </c>
      <c r="AP8" t="n">
        <v>40</v>
      </c>
      <c r="AQ8" t="n">
        <v>41</v>
      </c>
      <c r="AR8" t="n">
        <v>42</v>
      </c>
      <c r="AS8" t="n">
        <v>43</v>
      </c>
      <c r="AT8" t="n">
        <v>44</v>
      </c>
      <c r="AU8" t="n">
        <v>45</v>
      </c>
      <c r="AV8" t="n">
        <v>46</v>
      </c>
      <c r="AW8" t="n">
        <v>47</v>
      </c>
      <c r="AX8" t="n">
        <v>48</v>
      </c>
      <c r="AY8" t="n">
        <v>49</v>
      </c>
      <c r="AZ8" t="n">
        <v>50</v>
      </c>
      <c r="BA8" t="n">
        <v>51</v>
      </c>
      <c r="BB8" t="n">
        <v>52</v>
      </c>
      <c r="BC8" t="n">
        <v>53</v>
      </c>
      <c r="BD8" t="n">
        <v>54</v>
      </c>
      <c r="BE8" t="n">
        <v>55</v>
      </c>
      <c r="BF8" t="n">
        <v>56</v>
      </c>
      <c r="BG8" t="n">
        <v>57</v>
      </c>
      <c r="BH8" t="n">
        <v>58</v>
      </c>
      <c r="BI8" t="n">
        <v>59</v>
      </c>
      <c r="BJ8" t="n">
        <v>60</v>
      </c>
      <c r="BK8" t="n">
        <v>61</v>
      </c>
      <c r="BL8" t="n">
        <v>62</v>
      </c>
      <c r="BM8" t="n">
        <v>63</v>
      </c>
      <c r="BN8" t="n">
        <v>64</v>
      </c>
      <c r="BO8" t="n">
        <v>65</v>
      </c>
      <c r="BP8" t="n">
        <v>66</v>
      </c>
      <c r="BQ8" t="n">
        <v>67</v>
      </c>
      <c r="BR8" t="n">
        <v>68</v>
      </c>
      <c r="BS8" t="n">
        <v>69</v>
      </c>
      <c r="BT8" t="n">
        <v>70</v>
      </c>
      <c r="BU8" t="n">
        <v>71</v>
      </c>
      <c r="BV8" t="n">
        <v>72</v>
      </c>
      <c r="BW8" t="n">
        <v>73</v>
      </c>
      <c r="BX8" t="n">
        <v>74</v>
      </c>
      <c r="BY8" t="n">
        <v>75</v>
      </c>
      <c r="BZ8" t="n">
        <v>76</v>
      </c>
      <c r="CA8" t="n">
        <v>77</v>
      </c>
      <c r="CB8" t="n">
        <v>78</v>
      </c>
      <c r="CC8" t="n">
        <v>79</v>
      </c>
      <c r="CD8" t="n">
        <v>80</v>
      </c>
    </row>
    <row r="10">
      <c r="A10" t="inlineStr">
        <is>
          <t>EBITDA ($) — linked from Calc_Revenue_Opex</t>
        </is>
      </c>
      <c r="C10" s="55">
        <f>Calc_Revenue_Opex!C12</f>
        <v/>
      </c>
      <c r="D10" s="55">
        <f>Calc_Revenue_Opex!D12</f>
        <v/>
      </c>
      <c r="E10" s="55">
        <f>Calc_Revenue_Opex!E12</f>
        <v/>
      </c>
      <c r="F10" s="55">
        <f>Calc_Revenue_Opex!F12</f>
        <v/>
      </c>
      <c r="G10" s="55">
        <f>Calc_Revenue_Opex!G12</f>
        <v/>
      </c>
      <c r="H10" s="55">
        <f>Calc_Revenue_Opex!H12</f>
        <v/>
      </c>
      <c r="I10" s="55">
        <f>Calc_Revenue_Opex!I12</f>
        <v/>
      </c>
      <c r="J10" s="55">
        <f>Calc_Revenue_Opex!J12</f>
        <v/>
      </c>
      <c r="K10" s="55">
        <f>Calc_Revenue_Opex!K12</f>
        <v/>
      </c>
      <c r="L10" s="55">
        <f>Calc_Revenue_Opex!L12</f>
        <v/>
      </c>
      <c r="M10" s="55">
        <f>Calc_Revenue_Opex!M12</f>
        <v/>
      </c>
      <c r="N10" s="55">
        <f>Calc_Revenue_Opex!N12</f>
        <v/>
      </c>
      <c r="O10" s="55">
        <f>Calc_Revenue_Opex!O12</f>
        <v/>
      </c>
      <c r="P10" s="55">
        <f>Calc_Revenue_Opex!P12</f>
        <v/>
      </c>
      <c r="Q10" s="55">
        <f>Calc_Revenue_Opex!Q12</f>
        <v/>
      </c>
      <c r="R10" s="55">
        <f>Calc_Revenue_Opex!R12</f>
        <v/>
      </c>
      <c r="S10" s="55">
        <f>Calc_Revenue_Opex!S12</f>
        <v/>
      </c>
      <c r="T10" s="55">
        <f>Calc_Revenue_Opex!T12</f>
        <v/>
      </c>
      <c r="U10" s="55">
        <f>Calc_Revenue_Opex!U12</f>
        <v/>
      </c>
      <c r="V10" s="55">
        <f>Calc_Revenue_Opex!V12</f>
        <v/>
      </c>
      <c r="W10" s="55">
        <f>Calc_Revenue_Opex!W12</f>
        <v/>
      </c>
      <c r="X10" s="55">
        <f>Calc_Revenue_Opex!X12</f>
        <v/>
      </c>
      <c r="Y10" s="55">
        <f>Calc_Revenue_Opex!Y12</f>
        <v/>
      </c>
      <c r="Z10" s="55">
        <f>Calc_Revenue_Opex!Z12</f>
        <v/>
      </c>
      <c r="AA10" s="55">
        <f>Calc_Revenue_Opex!AA12</f>
        <v/>
      </c>
      <c r="AB10" s="55">
        <f>Calc_Revenue_Opex!AB12</f>
        <v/>
      </c>
      <c r="AC10" s="55">
        <f>Calc_Revenue_Opex!AC12</f>
        <v/>
      </c>
      <c r="AD10" s="55">
        <f>Calc_Revenue_Opex!AD12</f>
        <v/>
      </c>
      <c r="AE10" s="55">
        <f>Calc_Revenue_Opex!AE12</f>
        <v/>
      </c>
      <c r="AF10" s="55">
        <f>Calc_Revenue_Opex!AF12</f>
        <v/>
      </c>
      <c r="AG10" s="55">
        <f>Calc_Revenue_Opex!AG12</f>
        <v/>
      </c>
      <c r="AH10" s="55">
        <f>Calc_Revenue_Opex!AH12</f>
        <v/>
      </c>
      <c r="AI10" s="55">
        <f>Calc_Revenue_Opex!AI12</f>
        <v/>
      </c>
      <c r="AJ10" s="55">
        <f>Calc_Revenue_Opex!AJ12</f>
        <v/>
      </c>
      <c r="AK10" s="55">
        <f>Calc_Revenue_Opex!AK12</f>
        <v/>
      </c>
      <c r="AL10" s="55">
        <f>Calc_Revenue_Opex!AL12</f>
        <v/>
      </c>
      <c r="AM10" s="55">
        <f>Calc_Revenue_Opex!AM12</f>
        <v/>
      </c>
      <c r="AN10" s="55">
        <f>Calc_Revenue_Opex!AN12</f>
        <v/>
      </c>
      <c r="AO10" s="55">
        <f>Calc_Revenue_Opex!AO12</f>
        <v/>
      </c>
      <c r="AP10" s="55">
        <f>Calc_Revenue_Opex!AP12</f>
        <v/>
      </c>
      <c r="AQ10" s="55">
        <f>Calc_Revenue_Opex!AQ12</f>
        <v/>
      </c>
      <c r="AR10" s="55">
        <f>Calc_Revenue_Opex!AR12</f>
        <v/>
      </c>
      <c r="AS10" s="55">
        <f>Calc_Revenue_Opex!AS12</f>
        <v/>
      </c>
      <c r="AT10" s="55">
        <f>Calc_Revenue_Opex!AT12</f>
        <v/>
      </c>
      <c r="AU10" s="55">
        <f>Calc_Revenue_Opex!AU12</f>
        <v/>
      </c>
      <c r="AV10" s="55">
        <f>Calc_Revenue_Opex!AV12</f>
        <v/>
      </c>
      <c r="AW10" s="55">
        <f>Calc_Revenue_Opex!AW12</f>
        <v/>
      </c>
      <c r="AX10" s="55">
        <f>Calc_Revenue_Opex!AX12</f>
        <v/>
      </c>
      <c r="AY10" s="55">
        <f>Calc_Revenue_Opex!AY12</f>
        <v/>
      </c>
      <c r="AZ10" s="55">
        <f>Calc_Revenue_Opex!AZ12</f>
        <v/>
      </c>
      <c r="BA10" s="55">
        <f>Calc_Revenue_Opex!BA12</f>
        <v/>
      </c>
      <c r="BB10" s="55">
        <f>Calc_Revenue_Opex!BB12</f>
        <v/>
      </c>
      <c r="BC10" s="55">
        <f>Calc_Revenue_Opex!BC12</f>
        <v/>
      </c>
      <c r="BD10" s="55">
        <f>Calc_Revenue_Opex!BD12</f>
        <v/>
      </c>
      <c r="BE10" s="55">
        <f>Calc_Revenue_Opex!BE12</f>
        <v/>
      </c>
      <c r="BF10" s="55">
        <f>Calc_Revenue_Opex!BF12</f>
        <v/>
      </c>
      <c r="BG10" s="55">
        <f>Calc_Revenue_Opex!BG12</f>
        <v/>
      </c>
      <c r="BH10" s="55">
        <f>Calc_Revenue_Opex!BH12</f>
        <v/>
      </c>
      <c r="BI10" s="55">
        <f>Calc_Revenue_Opex!BI12</f>
        <v/>
      </c>
      <c r="BJ10" s="55">
        <f>Calc_Revenue_Opex!BJ12</f>
        <v/>
      </c>
      <c r="BK10" s="55">
        <f>Calc_Revenue_Opex!BK12</f>
        <v/>
      </c>
      <c r="BL10" s="55">
        <f>Calc_Revenue_Opex!BL12</f>
        <v/>
      </c>
      <c r="BM10" s="55">
        <f>Calc_Revenue_Opex!BM12</f>
        <v/>
      </c>
      <c r="BN10" s="55">
        <f>Calc_Revenue_Opex!BN12</f>
        <v/>
      </c>
      <c r="BO10" s="55">
        <f>Calc_Revenue_Opex!BO12</f>
        <v/>
      </c>
      <c r="BP10" s="55">
        <f>Calc_Revenue_Opex!BP12</f>
        <v/>
      </c>
      <c r="BQ10" s="55">
        <f>Calc_Revenue_Opex!BQ12</f>
        <v/>
      </c>
      <c r="BR10" s="55">
        <f>Calc_Revenue_Opex!BR12</f>
        <v/>
      </c>
      <c r="BS10" s="55">
        <f>Calc_Revenue_Opex!BS12</f>
        <v/>
      </c>
      <c r="BT10" s="55">
        <f>Calc_Revenue_Opex!BT12</f>
        <v/>
      </c>
      <c r="BU10" s="55">
        <f>Calc_Revenue_Opex!BU12</f>
        <v/>
      </c>
      <c r="BV10" s="55">
        <f>Calc_Revenue_Opex!BV12</f>
        <v/>
      </c>
      <c r="BW10" s="55">
        <f>Calc_Revenue_Opex!BW12</f>
        <v/>
      </c>
      <c r="BX10" s="55">
        <f>Calc_Revenue_Opex!BX12</f>
        <v/>
      </c>
      <c r="BY10" s="55">
        <f>Calc_Revenue_Opex!BY12</f>
        <v/>
      </c>
      <c r="BZ10" s="55">
        <f>Calc_Revenue_Opex!BZ12</f>
        <v/>
      </c>
      <c r="CA10" s="55">
        <f>Calc_Revenue_Opex!CA12</f>
        <v/>
      </c>
      <c r="CB10" s="55">
        <f>Calc_Revenue_Opex!CB12</f>
        <v/>
      </c>
      <c r="CC10" s="55">
        <f>Calc_Revenue_Opex!CC12</f>
        <v/>
      </c>
      <c r="CD10" s="55">
        <f>Calc_Revenue_Opex!CD12</f>
        <v/>
      </c>
    </row>
    <row r="11">
      <c r="A11" t="inlineStr">
        <is>
          <t>Base Depreciation ($) — straight-line on Total Project Cost</t>
        </is>
      </c>
      <c r="C11" s="64">
        <f>Calc_Capex!$Z$17/($B$4*4)</f>
        <v/>
      </c>
      <c r="D11" s="64">
        <f>Calc_Capex!$Z$17/($B$4*4)</f>
        <v/>
      </c>
      <c r="E11" s="64">
        <f>Calc_Capex!$Z$17/($B$4*4)</f>
        <v/>
      </c>
      <c r="F11" s="64">
        <f>Calc_Capex!$Z$17/($B$4*4)</f>
        <v/>
      </c>
      <c r="G11" s="64">
        <f>Calc_Capex!$Z$17/($B$4*4)</f>
        <v/>
      </c>
      <c r="H11" s="64">
        <f>Calc_Capex!$Z$17/($B$4*4)</f>
        <v/>
      </c>
      <c r="I11" s="64">
        <f>Calc_Capex!$Z$17/($B$4*4)</f>
        <v/>
      </c>
      <c r="J11" s="64">
        <f>Calc_Capex!$Z$17/($B$4*4)</f>
        <v/>
      </c>
      <c r="K11" s="64">
        <f>Calc_Capex!$Z$17/($B$4*4)</f>
        <v/>
      </c>
      <c r="L11" s="64">
        <f>Calc_Capex!$Z$17/($B$4*4)</f>
        <v/>
      </c>
      <c r="M11" s="64">
        <f>Calc_Capex!$Z$17/($B$4*4)</f>
        <v/>
      </c>
      <c r="N11" s="64">
        <f>Calc_Capex!$Z$17/($B$4*4)</f>
        <v/>
      </c>
      <c r="O11" s="64">
        <f>Calc_Capex!$Z$17/($B$4*4)</f>
        <v/>
      </c>
      <c r="P11" s="64">
        <f>Calc_Capex!$Z$17/($B$4*4)</f>
        <v/>
      </c>
      <c r="Q11" s="64">
        <f>Calc_Capex!$Z$17/($B$4*4)</f>
        <v/>
      </c>
      <c r="R11" s="64">
        <f>Calc_Capex!$Z$17/($B$4*4)</f>
        <v/>
      </c>
      <c r="S11" s="64">
        <f>Calc_Capex!$Z$17/($B$4*4)</f>
        <v/>
      </c>
      <c r="T11" s="64">
        <f>Calc_Capex!$Z$17/($B$4*4)</f>
        <v/>
      </c>
      <c r="U11" s="64">
        <f>Calc_Capex!$Z$17/($B$4*4)</f>
        <v/>
      </c>
      <c r="V11" s="64">
        <f>Calc_Capex!$Z$17/($B$4*4)</f>
        <v/>
      </c>
      <c r="W11" s="64">
        <f>Calc_Capex!$Z$17/($B$4*4)</f>
        <v/>
      </c>
      <c r="X11" s="64">
        <f>Calc_Capex!$Z$17/($B$4*4)</f>
        <v/>
      </c>
      <c r="Y11" s="64">
        <f>Calc_Capex!$Z$17/($B$4*4)</f>
        <v/>
      </c>
      <c r="Z11" s="64">
        <f>Calc_Capex!$Z$17/($B$4*4)</f>
        <v/>
      </c>
      <c r="AA11" s="64">
        <f>Calc_Capex!$Z$17/($B$4*4)</f>
        <v/>
      </c>
      <c r="AB11" s="64">
        <f>Calc_Capex!$Z$17/($B$4*4)</f>
        <v/>
      </c>
      <c r="AC11" s="64">
        <f>Calc_Capex!$Z$17/($B$4*4)</f>
        <v/>
      </c>
      <c r="AD11" s="64">
        <f>Calc_Capex!$Z$17/($B$4*4)</f>
        <v/>
      </c>
      <c r="AE11" s="64">
        <f>Calc_Capex!$Z$17/($B$4*4)</f>
        <v/>
      </c>
      <c r="AF11" s="64">
        <f>Calc_Capex!$Z$17/($B$4*4)</f>
        <v/>
      </c>
      <c r="AG11" s="64">
        <f>Calc_Capex!$Z$17/($B$4*4)</f>
        <v/>
      </c>
      <c r="AH11" s="64">
        <f>Calc_Capex!$Z$17/($B$4*4)</f>
        <v/>
      </c>
      <c r="AI11" s="64">
        <f>Calc_Capex!$Z$17/($B$4*4)</f>
        <v/>
      </c>
      <c r="AJ11" s="64">
        <f>Calc_Capex!$Z$17/($B$4*4)</f>
        <v/>
      </c>
      <c r="AK11" s="64">
        <f>Calc_Capex!$Z$17/($B$4*4)</f>
        <v/>
      </c>
      <c r="AL11" s="64">
        <f>Calc_Capex!$Z$17/($B$4*4)</f>
        <v/>
      </c>
      <c r="AM11" s="64">
        <f>Calc_Capex!$Z$17/($B$4*4)</f>
        <v/>
      </c>
      <c r="AN11" s="64">
        <f>Calc_Capex!$Z$17/($B$4*4)</f>
        <v/>
      </c>
      <c r="AO11" s="64">
        <f>Calc_Capex!$Z$17/($B$4*4)</f>
        <v/>
      </c>
      <c r="AP11" s="64">
        <f>Calc_Capex!$Z$17/($B$4*4)</f>
        <v/>
      </c>
      <c r="AQ11" s="64">
        <f>Calc_Capex!$Z$17/($B$4*4)</f>
        <v/>
      </c>
      <c r="AR11" s="64">
        <f>Calc_Capex!$Z$17/($B$4*4)</f>
        <v/>
      </c>
      <c r="AS11" s="64">
        <f>Calc_Capex!$Z$17/($B$4*4)</f>
        <v/>
      </c>
      <c r="AT11" s="64">
        <f>Calc_Capex!$Z$17/($B$4*4)</f>
        <v/>
      </c>
      <c r="AU11" s="64">
        <f>Calc_Capex!$Z$17/($B$4*4)</f>
        <v/>
      </c>
      <c r="AV11" s="64">
        <f>Calc_Capex!$Z$17/($B$4*4)</f>
        <v/>
      </c>
      <c r="AW11" s="64">
        <f>Calc_Capex!$Z$17/($B$4*4)</f>
        <v/>
      </c>
      <c r="AX11" s="64">
        <f>Calc_Capex!$Z$17/($B$4*4)</f>
        <v/>
      </c>
      <c r="AY11" s="64">
        <f>Calc_Capex!$Z$17/($B$4*4)</f>
        <v/>
      </c>
      <c r="AZ11" s="64">
        <f>Calc_Capex!$Z$17/($B$4*4)</f>
        <v/>
      </c>
      <c r="BA11" s="64">
        <f>Calc_Capex!$Z$17/($B$4*4)</f>
        <v/>
      </c>
      <c r="BB11" s="64">
        <f>Calc_Capex!$Z$17/($B$4*4)</f>
        <v/>
      </c>
      <c r="BC11" s="64">
        <f>Calc_Capex!$Z$17/($B$4*4)</f>
        <v/>
      </c>
      <c r="BD11" s="64">
        <f>Calc_Capex!$Z$17/($B$4*4)</f>
        <v/>
      </c>
      <c r="BE11" s="64">
        <f>Calc_Capex!$Z$17/($B$4*4)</f>
        <v/>
      </c>
      <c r="BF11" s="64">
        <f>Calc_Capex!$Z$17/($B$4*4)</f>
        <v/>
      </c>
      <c r="BG11" s="64">
        <f>Calc_Capex!$Z$17/($B$4*4)</f>
        <v/>
      </c>
      <c r="BH11" s="64">
        <f>Calc_Capex!$Z$17/($B$4*4)</f>
        <v/>
      </c>
      <c r="BI11" s="64">
        <f>Calc_Capex!$Z$17/($B$4*4)</f>
        <v/>
      </c>
      <c r="BJ11" s="64">
        <f>Calc_Capex!$Z$17/($B$4*4)</f>
        <v/>
      </c>
      <c r="BK11" s="64">
        <f>Calc_Capex!$Z$17/($B$4*4)</f>
        <v/>
      </c>
      <c r="BL11" s="64">
        <f>Calc_Capex!$Z$17/($B$4*4)</f>
        <v/>
      </c>
      <c r="BM11" s="64">
        <f>Calc_Capex!$Z$17/($B$4*4)</f>
        <v/>
      </c>
      <c r="BN11" s="64">
        <f>Calc_Capex!$Z$17/($B$4*4)</f>
        <v/>
      </c>
      <c r="BO11" s="64">
        <f>Calc_Capex!$Z$17/($B$4*4)</f>
        <v/>
      </c>
      <c r="BP11" s="64">
        <f>Calc_Capex!$Z$17/($B$4*4)</f>
        <v/>
      </c>
      <c r="BQ11" s="64">
        <f>Calc_Capex!$Z$17/($B$4*4)</f>
        <v/>
      </c>
      <c r="BR11" s="64">
        <f>Calc_Capex!$Z$17/($B$4*4)</f>
        <v/>
      </c>
      <c r="BS11" s="64">
        <f>Calc_Capex!$Z$17/($B$4*4)</f>
        <v/>
      </c>
      <c r="BT11" s="64">
        <f>Calc_Capex!$Z$17/($B$4*4)</f>
        <v/>
      </c>
      <c r="BU11" s="64">
        <f>Calc_Capex!$Z$17/($B$4*4)</f>
        <v/>
      </c>
      <c r="BV11" s="64">
        <f>Calc_Capex!$Z$17/($B$4*4)</f>
        <v/>
      </c>
      <c r="BW11" s="64">
        <f>Calc_Capex!$Z$17/($B$4*4)</f>
        <v/>
      </c>
      <c r="BX11" s="64">
        <f>Calc_Capex!$Z$17/($B$4*4)</f>
        <v/>
      </c>
      <c r="BY11" s="64">
        <f>Calc_Capex!$Z$17/($B$4*4)</f>
        <v/>
      </c>
      <c r="BZ11" s="64">
        <f>Calc_Capex!$Z$17/($B$4*4)</f>
        <v/>
      </c>
      <c r="CA11" s="64">
        <f>Calc_Capex!$Z$17/($B$4*4)</f>
        <v/>
      </c>
      <c r="CB11" s="64">
        <f>Calc_Capex!$Z$17/($B$4*4)</f>
        <v/>
      </c>
      <c r="CC11" s="64">
        <f>Calc_Capex!$Z$17/($B$4*4)</f>
        <v/>
      </c>
      <c r="CD11" s="64">
        <f>Calc_Capex!$Z$17/($B$4*4)</f>
        <v/>
      </c>
    </row>
    <row r="12">
      <c r="A12" t="inlineStr">
        <is>
          <t>Maintenance Capex ($) — linked from Calc_Revenue_Opex</t>
        </is>
      </c>
      <c r="C12" s="55">
        <f>Calc_Revenue_Opex!C16</f>
        <v/>
      </c>
      <c r="D12" s="55">
        <f>Calc_Revenue_Opex!D16</f>
        <v/>
      </c>
      <c r="E12" s="55">
        <f>Calc_Revenue_Opex!E16</f>
        <v/>
      </c>
      <c r="F12" s="55">
        <f>Calc_Revenue_Opex!F16</f>
        <v/>
      </c>
      <c r="G12" s="55">
        <f>Calc_Revenue_Opex!G16</f>
        <v/>
      </c>
      <c r="H12" s="55">
        <f>Calc_Revenue_Opex!H16</f>
        <v/>
      </c>
      <c r="I12" s="55">
        <f>Calc_Revenue_Opex!I16</f>
        <v/>
      </c>
      <c r="J12" s="55">
        <f>Calc_Revenue_Opex!J16</f>
        <v/>
      </c>
      <c r="K12" s="55">
        <f>Calc_Revenue_Opex!K16</f>
        <v/>
      </c>
      <c r="L12" s="55">
        <f>Calc_Revenue_Opex!L16</f>
        <v/>
      </c>
      <c r="M12" s="55">
        <f>Calc_Revenue_Opex!M16</f>
        <v/>
      </c>
      <c r="N12" s="55">
        <f>Calc_Revenue_Opex!N16</f>
        <v/>
      </c>
      <c r="O12" s="55">
        <f>Calc_Revenue_Opex!O16</f>
        <v/>
      </c>
      <c r="P12" s="55">
        <f>Calc_Revenue_Opex!P16</f>
        <v/>
      </c>
      <c r="Q12" s="55">
        <f>Calc_Revenue_Opex!Q16</f>
        <v/>
      </c>
      <c r="R12" s="55">
        <f>Calc_Revenue_Opex!R16</f>
        <v/>
      </c>
      <c r="S12" s="55">
        <f>Calc_Revenue_Opex!S16</f>
        <v/>
      </c>
      <c r="T12" s="55">
        <f>Calc_Revenue_Opex!T16</f>
        <v/>
      </c>
      <c r="U12" s="55">
        <f>Calc_Revenue_Opex!U16</f>
        <v/>
      </c>
      <c r="V12" s="55">
        <f>Calc_Revenue_Opex!V16</f>
        <v/>
      </c>
      <c r="W12" s="55">
        <f>Calc_Revenue_Opex!W16</f>
        <v/>
      </c>
      <c r="X12" s="55">
        <f>Calc_Revenue_Opex!X16</f>
        <v/>
      </c>
      <c r="Y12" s="55">
        <f>Calc_Revenue_Opex!Y16</f>
        <v/>
      </c>
      <c r="Z12" s="55">
        <f>Calc_Revenue_Opex!Z16</f>
        <v/>
      </c>
      <c r="AA12" s="55">
        <f>Calc_Revenue_Opex!AA16</f>
        <v/>
      </c>
      <c r="AB12" s="55">
        <f>Calc_Revenue_Opex!AB16</f>
        <v/>
      </c>
      <c r="AC12" s="55">
        <f>Calc_Revenue_Opex!AC16</f>
        <v/>
      </c>
      <c r="AD12" s="55">
        <f>Calc_Revenue_Opex!AD16</f>
        <v/>
      </c>
      <c r="AE12" s="55">
        <f>Calc_Revenue_Opex!AE16</f>
        <v/>
      </c>
      <c r="AF12" s="55">
        <f>Calc_Revenue_Opex!AF16</f>
        <v/>
      </c>
      <c r="AG12" s="55">
        <f>Calc_Revenue_Opex!AG16</f>
        <v/>
      </c>
      <c r="AH12" s="55">
        <f>Calc_Revenue_Opex!AH16</f>
        <v/>
      </c>
      <c r="AI12" s="55">
        <f>Calc_Revenue_Opex!AI16</f>
        <v/>
      </c>
      <c r="AJ12" s="55">
        <f>Calc_Revenue_Opex!AJ16</f>
        <v/>
      </c>
      <c r="AK12" s="55">
        <f>Calc_Revenue_Opex!AK16</f>
        <v/>
      </c>
      <c r="AL12" s="55">
        <f>Calc_Revenue_Opex!AL16</f>
        <v/>
      </c>
      <c r="AM12" s="55">
        <f>Calc_Revenue_Opex!AM16</f>
        <v/>
      </c>
      <c r="AN12" s="55">
        <f>Calc_Revenue_Opex!AN16</f>
        <v/>
      </c>
      <c r="AO12" s="55">
        <f>Calc_Revenue_Opex!AO16</f>
        <v/>
      </c>
      <c r="AP12" s="55">
        <f>Calc_Revenue_Opex!AP16</f>
        <v/>
      </c>
      <c r="AQ12" s="55">
        <f>Calc_Revenue_Opex!AQ16</f>
        <v/>
      </c>
      <c r="AR12" s="55">
        <f>Calc_Revenue_Opex!AR16</f>
        <v/>
      </c>
      <c r="AS12" s="55">
        <f>Calc_Revenue_Opex!AS16</f>
        <v/>
      </c>
      <c r="AT12" s="55">
        <f>Calc_Revenue_Opex!AT16</f>
        <v/>
      </c>
      <c r="AU12" s="55">
        <f>Calc_Revenue_Opex!AU16</f>
        <v/>
      </c>
      <c r="AV12" s="55">
        <f>Calc_Revenue_Opex!AV16</f>
        <v/>
      </c>
      <c r="AW12" s="55">
        <f>Calc_Revenue_Opex!AW16</f>
        <v/>
      </c>
      <c r="AX12" s="55">
        <f>Calc_Revenue_Opex!AX16</f>
        <v/>
      </c>
      <c r="AY12" s="55">
        <f>Calc_Revenue_Opex!AY16</f>
        <v/>
      </c>
      <c r="AZ12" s="55">
        <f>Calc_Revenue_Opex!AZ16</f>
        <v/>
      </c>
      <c r="BA12" s="55">
        <f>Calc_Revenue_Opex!BA16</f>
        <v/>
      </c>
      <c r="BB12" s="55">
        <f>Calc_Revenue_Opex!BB16</f>
        <v/>
      </c>
      <c r="BC12" s="55">
        <f>Calc_Revenue_Opex!BC16</f>
        <v/>
      </c>
      <c r="BD12" s="55">
        <f>Calc_Revenue_Opex!BD16</f>
        <v/>
      </c>
      <c r="BE12" s="55">
        <f>Calc_Revenue_Opex!BE16</f>
        <v/>
      </c>
      <c r="BF12" s="55">
        <f>Calc_Revenue_Opex!BF16</f>
        <v/>
      </c>
      <c r="BG12" s="55">
        <f>Calc_Revenue_Opex!BG16</f>
        <v/>
      </c>
      <c r="BH12" s="55">
        <f>Calc_Revenue_Opex!BH16</f>
        <v/>
      </c>
      <c r="BI12" s="55">
        <f>Calc_Revenue_Opex!BI16</f>
        <v/>
      </c>
      <c r="BJ12" s="55">
        <f>Calc_Revenue_Opex!BJ16</f>
        <v/>
      </c>
      <c r="BK12" s="55">
        <f>Calc_Revenue_Opex!BK16</f>
        <v/>
      </c>
      <c r="BL12" s="55">
        <f>Calc_Revenue_Opex!BL16</f>
        <v/>
      </c>
      <c r="BM12" s="55">
        <f>Calc_Revenue_Opex!BM16</f>
        <v/>
      </c>
      <c r="BN12" s="55">
        <f>Calc_Revenue_Opex!BN16</f>
        <v/>
      </c>
      <c r="BO12" s="55">
        <f>Calc_Revenue_Opex!BO16</f>
        <v/>
      </c>
      <c r="BP12" s="55">
        <f>Calc_Revenue_Opex!BP16</f>
        <v/>
      </c>
      <c r="BQ12" s="55">
        <f>Calc_Revenue_Opex!BQ16</f>
        <v/>
      </c>
      <c r="BR12" s="55">
        <f>Calc_Revenue_Opex!BR16</f>
        <v/>
      </c>
      <c r="BS12" s="55">
        <f>Calc_Revenue_Opex!BS16</f>
        <v/>
      </c>
      <c r="BT12" s="55">
        <f>Calc_Revenue_Opex!BT16</f>
        <v/>
      </c>
      <c r="BU12" s="55">
        <f>Calc_Revenue_Opex!BU16</f>
        <v/>
      </c>
      <c r="BV12" s="55">
        <f>Calc_Revenue_Opex!BV16</f>
        <v/>
      </c>
      <c r="BW12" s="55">
        <f>Calc_Revenue_Opex!BW16</f>
        <v/>
      </c>
      <c r="BX12" s="55">
        <f>Calc_Revenue_Opex!BX16</f>
        <v/>
      </c>
      <c r="BY12" s="55">
        <f>Calc_Revenue_Opex!BY16</f>
        <v/>
      </c>
      <c r="BZ12" s="55">
        <f>Calc_Revenue_Opex!BZ16</f>
        <v/>
      </c>
      <c r="CA12" s="55">
        <f>Calc_Revenue_Opex!CA16</f>
        <v/>
      </c>
      <c r="CB12" s="55">
        <f>Calc_Revenue_Opex!CB16</f>
        <v/>
      </c>
      <c r="CC12" s="55">
        <f>Calc_Revenue_Opex!CC16</f>
        <v/>
      </c>
      <c r="CD12" s="55">
        <f>Calc_Revenue_Opex!CD16</f>
        <v/>
      </c>
    </row>
    <row r="13">
      <c r="A13" t="inlineStr">
        <is>
          <t>Maintenance Depreciation ($) — multi-vintage, straight-line</t>
        </is>
      </c>
      <c r="C13" s="64">
        <f>SUM(C12:C12)/($B$5*4)</f>
        <v/>
      </c>
      <c r="D13" s="64">
        <f>SUM(C12:D12)/($B$5*4)</f>
        <v/>
      </c>
      <c r="E13" s="64">
        <f>SUM(C12:E12)/($B$5*4)</f>
        <v/>
      </c>
      <c r="F13" s="64">
        <f>SUM(C12:F12)/($B$5*4)</f>
        <v/>
      </c>
      <c r="G13" s="64">
        <f>SUM(C12:G12)/($B$5*4)</f>
        <v/>
      </c>
      <c r="H13" s="64">
        <f>SUM(C12:H12)/($B$5*4)</f>
        <v/>
      </c>
      <c r="I13" s="64">
        <f>SUM(C12:I12)/($B$5*4)</f>
        <v/>
      </c>
      <c r="J13" s="64">
        <f>SUM(C12:J12)/($B$5*4)</f>
        <v/>
      </c>
      <c r="K13" s="64">
        <f>SUM(C12:K12)/($B$5*4)</f>
        <v/>
      </c>
      <c r="L13" s="64">
        <f>SUM(C12:L12)/($B$5*4)</f>
        <v/>
      </c>
      <c r="M13" s="64">
        <f>SUM(C12:M12)/($B$5*4)</f>
        <v/>
      </c>
      <c r="N13" s="64">
        <f>SUM(C12:N12)/($B$5*4)</f>
        <v/>
      </c>
      <c r="O13" s="64">
        <f>SUM(C12:O12)/($B$5*4)</f>
        <v/>
      </c>
      <c r="P13" s="64">
        <f>SUM(C12:P12)/($B$5*4)</f>
        <v/>
      </c>
      <c r="Q13" s="64">
        <f>SUM(C12:Q12)/($B$5*4)</f>
        <v/>
      </c>
      <c r="R13" s="64">
        <f>SUM(C12:R12)/($B$5*4)</f>
        <v/>
      </c>
      <c r="S13" s="64">
        <f>SUM(C12:S12)/($B$5*4)</f>
        <v/>
      </c>
      <c r="T13" s="64">
        <f>SUM(C12:T12)/($B$5*4)</f>
        <v/>
      </c>
      <c r="U13" s="64">
        <f>SUM(C12:U12)/($B$5*4)</f>
        <v/>
      </c>
      <c r="V13" s="64">
        <f>SUM(C12:V12)/($B$5*4)</f>
        <v/>
      </c>
      <c r="W13" s="64">
        <f>SUM(C12:W12)/($B$5*4)</f>
        <v/>
      </c>
      <c r="X13" s="64">
        <f>SUM(C12:X12)/($B$5*4)</f>
        <v/>
      </c>
      <c r="Y13" s="64">
        <f>SUM(C12:Y12)/($B$5*4)</f>
        <v/>
      </c>
      <c r="Z13" s="64">
        <f>SUM(C12:Z12)/($B$5*4)</f>
        <v/>
      </c>
      <c r="AA13" s="64">
        <f>SUM(C12:AA12)/($B$5*4)</f>
        <v/>
      </c>
      <c r="AB13" s="64">
        <f>SUM(C12:AB12)/($B$5*4)</f>
        <v/>
      </c>
      <c r="AC13" s="64">
        <f>SUM(C12:AC12)/($B$5*4)</f>
        <v/>
      </c>
      <c r="AD13" s="64">
        <f>SUM(C12:AD12)/($B$5*4)</f>
        <v/>
      </c>
      <c r="AE13" s="64">
        <f>SUM(C12:AE12)/($B$5*4)</f>
        <v/>
      </c>
      <c r="AF13" s="64">
        <f>SUM(C12:AF12)/($B$5*4)</f>
        <v/>
      </c>
      <c r="AG13" s="64">
        <f>SUM(C12:AG12)/($B$5*4)</f>
        <v/>
      </c>
      <c r="AH13" s="64">
        <f>SUM(C12:AH12)/($B$5*4)</f>
        <v/>
      </c>
      <c r="AI13" s="64">
        <f>SUM(C12:AI12)/($B$5*4)</f>
        <v/>
      </c>
      <c r="AJ13" s="64">
        <f>SUM(C12:AJ12)/($B$5*4)</f>
        <v/>
      </c>
      <c r="AK13" s="64">
        <f>SUM(C12:AK12)/($B$5*4)</f>
        <v/>
      </c>
      <c r="AL13" s="64">
        <f>SUM(C12:AL12)/($B$5*4)</f>
        <v/>
      </c>
      <c r="AM13" s="64">
        <f>SUM(C12:AM12)/($B$5*4)</f>
        <v/>
      </c>
      <c r="AN13" s="64">
        <f>SUM(C12:AN12)/($B$5*4)</f>
        <v/>
      </c>
      <c r="AO13" s="64">
        <f>SUM(C12:AO12)/($B$5*4)</f>
        <v/>
      </c>
      <c r="AP13" s="64">
        <f>SUM(C12:AP12)/($B$5*4)</f>
        <v/>
      </c>
      <c r="AQ13" s="64">
        <f>SUM(D12:AQ12)/($B$5*4)</f>
        <v/>
      </c>
      <c r="AR13" s="64">
        <f>SUM(E12:AR12)/($B$5*4)</f>
        <v/>
      </c>
      <c r="AS13" s="64">
        <f>SUM(F12:AS12)/($B$5*4)</f>
        <v/>
      </c>
      <c r="AT13" s="64">
        <f>SUM(G12:AT12)/($B$5*4)</f>
        <v/>
      </c>
      <c r="AU13" s="64">
        <f>SUM(H12:AU12)/($B$5*4)</f>
        <v/>
      </c>
      <c r="AV13" s="64">
        <f>SUM(I12:AV12)/($B$5*4)</f>
        <v/>
      </c>
      <c r="AW13" s="64">
        <f>SUM(J12:AW12)/($B$5*4)</f>
        <v/>
      </c>
      <c r="AX13" s="64">
        <f>SUM(K12:AX12)/($B$5*4)</f>
        <v/>
      </c>
      <c r="AY13" s="64">
        <f>SUM(L12:AY12)/($B$5*4)</f>
        <v/>
      </c>
      <c r="AZ13" s="64">
        <f>SUM(M12:AZ12)/($B$5*4)</f>
        <v/>
      </c>
      <c r="BA13" s="64">
        <f>SUM(N12:BA12)/($B$5*4)</f>
        <v/>
      </c>
      <c r="BB13" s="64">
        <f>SUM(O12:BB12)/($B$5*4)</f>
        <v/>
      </c>
      <c r="BC13" s="64">
        <f>SUM(P12:BC12)/($B$5*4)</f>
        <v/>
      </c>
      <c r="BD13" s="64">
        <f>SUM(Q12:BD12)/($B$5*4)</f>
        <v/>
      </c>
      <c r="BE13" s="64">
        <f>SUM(R12:BE12)/($B$5*4)</f>
        <v/>
      </c>
      <c r="BF13" s="64">
        <f>SUM(S12:BF12)/($B$5*4)</f>
        <v/>
      </c>
      <c r="BG13" s="64">
        <f>SUM(T12:BG12)/($B$5*4)</f>
        <v/>
      </c>
      <c r="BH13" s="64">
        <f>SUM(U12:BH12)/($B$5*4)</f>
        <v/>
      </c>
      <c r="BI13" s="64">
        <f>SUM(V12:BI12)/($B$5*4)</f>
        <v/>
      </c>
      <c r="BJ13" s="64">
        <f>SUM(W12:BJ12)/($B$5*4)</f>
        <v/>
      </c>
      <c r="BK13" s="64">
        <f>SUM(X12:BK12)/($B$5*4)</f>
        <v/>
      </c>
      <c r="BL13" s="64">
        <f>SUM(Y12:BL12)/($B$5*4)</f>
        <v/>
      </c>
      <c r="BM13" s="64">
        <f>SUM(Z12:BM12)/($B$5*4)</f>
        <v/>
      </c>
      <c r="BN13" s="64">
        <f>SUM(AA12:BN12)/($B$5*4)</f>
        <v/>
      </c>
      <c r="BO13" s="64">
        <f>SUM(AB12:BO12)/($B$5*4)</f>
        <v/>
      </c>
      <c r="BP13" s="64">
        <f>SUM(AC12:BP12)/($B$5*4)</f>
        <v/>
      </c>
      <c r="BQ13" s="64">
        <f>SUM(AD12:BQ12)/($B$5*4)</f>
        <v/>
      </c>
      <c r="BR13" s="64">
        <f>SUM(AE12:BR12)/($B$5*4)</f>
        <v/>
      </c>
      <c r="BS13" s="64">
        <f>SUM(AF12:BS12)/($B$5*4)</f>
        <v/>
      </c>
      <c r="BT13" s="64">
        <f>SUM(AG12:BT12)/($B$5*4)</f>
        <v/>
      </c>
      <c r="BU13" s="64">
        <f>SUM(AH12:BU12)/($B$5*4)</f>
        <v/>
      </c>
      <c r="BV13" s="64">
        <f>SUM(AI12:BV12)/($B$5*4)</f>
        <v/>
      </c>
      <c r="BW13" s="64">
        <f>SUM(AJ12:BW12)/($B$5*4)</f>
        <v/>
      </c>
      <c r="BX13" s="64">
        <f>SUM(AK12:BX12)/($B$5*4)</f>
        <v/>
      </c>
      <c r="BY13" s="64">
        <f>SUM(AL12:BY12)/($B$5*4)</f>
        <v/>
      </c>
      <c r="BZ13" s="64">
        <f>SUM(AM12:BZ12)/($B$5*4)</f>
        <v/>
      </c>
      <c r="CA13" s="64">
        <f>SUM(AN12:CA12)/($B$5*4)</f>
        <v/>
      </c>
      <c r="CB13" s="64">
        <f>SUM(AO12:CB12)/($B$5*4)</f>
        <v/>
      </c>
      <c r="CC13" s="64">
        <f>SUM(AP12:CC12)/($B$5*4)</f>
        <v/>
      </c>
      <c r="CD13" s="64">
        <f>SUM(AQ12:CD12)/($B$5*4)</f>
        <v/>
      </c>
    </row>
    <row r="14">
      <c r="A14" t="inlineStr">
        <is>
          <t>Total Depreciation ($)</t>
        </is>
      </c>
      <c r="C14" s="64">
        <f>C11+C13</f>
        <v/>
      </c>
      <c r="D14" s="64">
        <f>D11+D13</f>
        <v/>
      </c>
      <c r="E14" s="64">
        <f>E11+E13</f>
        <v/>
      </c>
      <c r="F14" s="64">
        <f>F11+F13</f>
        <v/>
      </c>
      <c r="G14" s="64">
        <f>G11+G13</f>
        <v/>
      </c>
      <c r="H14" s="64">
        <f>H11+H13</f>
        <v/>
      </c>
      <c r="I14" s="64">
        <f>I11+I13</f>
        <v/>
      </c>
      <c r="J14" s="64">
        <f>J11+J13</f>
        <v/>
      </c>
      <c r="K14" s="64">
        <f>K11+K13</f>
        <v/>
      </c>
      <c r="L14" s="64">
        <f>L11+L13</f>
        <v/>
      </c>
      <c r="M14" s="64">
        <f>M11+M13</f>
        <v/>
      </c>
      <c r="N14" s="64">
        <f>N11+N13</f>
        <v/>
      </c>
      <c r="O14" s="64">
        <f>O11+O13</f>
        <v/>
      </c>
      <c r="P14" s="64">
        <f>P11+P13</f>
        <v/>
      </c>
      <c r="Q14" s="64">
        <f>Q11+Q13</f>
        <v/>
      </c>
      <c r="R14" s="64">
        <f>R11+R13</f>
        <v/>
      </c>
      <c r="S14" s="64">
        <f>S11+S13</f>
        <v/>
      </c>
      <c r="T14" s="64">
        <f>T11+T13</f>
        <v/>
      </c>
      <c r="U14" s="64">
        <f>U11+U13</f>
        <v/>
      </c>
      <c r="V14" s="64">
        <f>V11+V13</f>
        <v/>
      </c>
      <c r="W14" s="64">
        <f>W11+W13</f>
        <v/>
      </c>
      <c r="X14" s="64">
        <f>X11+X13</f>
        <v/>
      </c>
      <c r="Y14" s="64">
        <f>Y11+Y13</f>
        <v/>
      </c>
      <c r="Z14" s="64">
        <f>Z11+Z13</f>
        <v/>
      </c>
      <c r="AA14" s="64">
        <f>AA11+AA13</f>
        <v/>
      </c>
      <c r="AB14" s="64">
        <f>AB11+AB13</f>
        <v/>
      </c>
      <c r="AC14" s="64">
        <f>AC11+AC13</f>
        <v/>
      </c>
      <c r="AD14" s="64">
        <f>AD11+AD13</f>
        <v/>
      </c>
      <c r="AE14" s="64">
        <f>AE11+AE13</f>
        <v/>
      </c>
      <c r="AF14" s="64">
        <f>AF11+AF13</f>
        <v/>
      </c>
      <c r="AG14" s="64">
        <f>AG11+AG13</f>
        <v/>
      </c>
      <c r="AH14" s="64">
        <f>AH11+AH13</f>
        <v/>
      </c>
      <c r="AI14" s="64">
        <f>AI11+AI13</f>
        <v/>
      </c>
      <c r="AJ14" s="64">
        <f>AJ11+AJ13</f>
        <v/>
      </c>
      <c r="AK14" s="64">
        <f>AK11+AK13</f>
        <v/>
      </c>
      <c r="AL14" s="64">
        <f>AL11+AL13</f>
        <v/>
      </c>
      <c r="AM14" s="64">
        <f>AM11+AM13</f>
        <v/>
      </c>
      <c r="AN14" s="64">
        <f>AN11+AN13</f>
        <v/>
      </c>
      <c r="AO14" s="64">
        <f>AO11+AO13</f>
        <v/>
      </c>
      <c r="AP14" s="64">
        <f>AP11+AP13</f>
        <v/>
      </c>
      <c r="AQ14" s="64">
        <f>AQ11+AQ13</f>
        <v/>
      </c>
      <c r="AR14" s="64">
        <f>AR11+AR13</f>
        <v/>
      </c>
      <c r="AS14" s="64">
        <f>AS11+AS13</f>
        <v/>
      </c>
      <c r="AT14" s="64">
        <f>AT11+AT13</f>
        <v/>
      </c>
      <c r="AU14" s="64">
        <f>AU11+AU13</f>
        <v/>
      </c>
      <c r="AV14" s="64">
        <f>AV11+AV13</f>
        <v/>
      </c>
      <c r="AW14" s="64">
        <f>AW11+AW13</f>
        <v/>
      </c>
      <c r="AX14" s="64">
        <f>AX11+AX13</f>
        <v/>
      </c>
      <c r="AY14" s="64">
        <f>AY11+AY13</f>
        <v/>
      </c>
      <c r="AZ14" s="64">
        <f>AZ11+AZ13</f>
        <v/>
      </c>
      <c r="BA14" s="64">
        <f>BA11+BA13</f>
        <v/>
      </c>
      <c r="BB14" s="64">
        <f>BB11+BB13</f>
        <v/>
      </c>
      <c r="BC14" s="64">
        <f>BC11+BC13</f>
        <v/>
      </c>
      <c r="BD14" s="64">
        <f>BD11+BD13</f>
        <v/>
      </c>
      <c r="BE14" s="64">
        <f>BE11+BE13</f>
        <v/>
      </c>
      <c r="BF14" s="64">
        <f>BF11+BF13</f>
        <v/>
      </c>
      <c r="BG14" s="64">
        <f>BG11+BG13</f>
        <v/>
      </c>
      <c r="BH14" s="64">
        <f>BH11+BH13</f>
        <v/>
      </c>
      <c r="BI14" s="64">
        <f>BI11+BI13</f>
        <v/>
      </c>
      <c r="BJ14" s="64">
        <f>BJ11+BJ13</f>
        <v/>
      </c>
      <c r="BK14" s="64">
        <f>BK11+BK13</f>
        <v/>
      </c>
      <c r="BL14" s="64">
        <f>BL11+BL13</f>
        <v/>
      </c>
      <c r="BM14" s="64">
        <f>BM11+BM13</f>
        <v/>
      </c>
      <c r="BN14" s="64">
        <f>BN11+BN13</f>
        <v/>
      </c>
      <c r="BO14" s="64">
        <f>BO11+BO13</f>
        <v/>
      </c>
      <c r="BP14" s="64">
        <f>BP11+BP13</f>
        <v/>
      </c>
      <c r="BQ14" s="64">
        <f>BQ11+BQ13</f>
        <v/>
      </c>
      <c r="BR14" s="64">
        <f>BR11+BR13</f>
        <v/>
      </c>
      <c r="BS14" s="64">
        <f>BS11+BS13</f>
        <v/>
      </c>
      <c r="BT14" s="64">
        <f>BT11+BT13</f>
        <v/>
      </c>
      <c r="BU14" s="64">
        <f>BU11+BU13</f>
        <v/>
      </c>
      <c r="BV14" s="64">
        <f>BV11+BV13</f>
        <v/>
      </c>
      <c r="BW14" s="64">
        <f>BW11+BW13</f>
        <v/>
      </c>
      <c r="BX14" s="64">
        <f>BX11+BX13</f>
        <v/>
      </c>
      <c r="BY14" s="64">
        <f>BY11+BY13</f>
        <v/>
      </c>
      <c r="BZ14" s="64">
        <f>BZ11+BZ13</f>
        <v/>
      </c>
      <c r="CA14" s="64">
        <f>CA11+CA13</f>
        <v/>
      </c>
      <c r="CB14" s="64">
        <f>CB11+CB13</f>
        <v/>
      </c>
      <c r="CC14" s="64">
        <f>CC11+CC13</f>
        <v/>
      </c>
      <c r="CD14" s="64">
        <f>CD11+CD13</f>
        <v/>
      </c>
    </row>
    <row r="15">
      <c r="A15" t="inlineStr">
        <is>
          <t>Interest Expense ($) — linked from Calc_Financing_Ops (tax shield)</t>
        </is>
      </c>
      <c r="C15" s="55">
        <f>Calc_Financing_Ops!C19</f>
        <v/>
      </c>
      <c r="D15" s="55">
        <f>Calc_Financing_Ops!D19</f>
        <v/>
      </c>
      <c r="E15" s="55">
        <f>Calc_Financing_Ops!E19</f>
        <v/>
      </c>
      <c r="F15" s="55">
        <f>Calc_Financing_Ops!F19</f>
        <v/>
      </c>
      <c r="G15" s="55">
        <f>Calc_Financing_Ops!G19</f>
        <v/>
      </c>
      <c r="H15" s="55">
        <f>Calc_Financing_Ops!H19</f>
        <v/>
      </c>
      <c r="I15" s="55">
        <f>Calc_Financing_Ops!I19</f>
        <v/>
      </c>
      <c r="J15" s="55">
        <f>Calc_Financing_Ops!J19</f>
        <v/>
      </c>
      <c r="K15" s="55">
        <f>Calc_Financing_Ops!K19</f>
        <v/>
      </c>
      <c r="L15" s="55">
        <f>Calc_Financing_Ops!L19</f>
        <v/>
      </c>
      <c r="M15" s="55">
        <f>Calc_Financing_Ops!M19</f>
        <v/>
      </c>
      <c r="N15" s="55">
        <f>Calc_Financing_Ops!N19</f>
        <v/>
      </c>
      <c r="O15" s="55">
        <f>Calc_Financing_Ops!O19</f>
        <v/>
      </c>
      <c r="P15" s="55">
        <f>Calc_Financing_Ops!P19</f>
        <v/>
      </c>
      <c r="Q15" s="55">
        <f>Calc_Financing_Ops!Q19</f>
        <v/>
      </c>
      <c r="R15" s="55">
        <f>Calc_Financing_Ops!R19</f>
        <v/>
      </c>
      <c r="S15" s="55">
        <f>Calc_Financing_Ops!S19</f>
        <v/>
      </c>
      <c r="T15" s="55">
        <f>Calc_Financing_Ops!T19</f>
        <v/>
      </c>
      <c r="U15" s="55">
        <f>Calc_Financing_Ops!U19</f>
        <v/>
      </c>
      <c r="V15" s="55">
        <f>Calc_Financing_Ops!V19</f>
        <v/>
      </c>
      <c r="W15" s="55">
        <f>Calc_Financing_Ops!W19</f>
        <v/>
      </c>
      <c r="X15" s="55">
        <f>Calc_Financing_Ops!X19</f>
        <v/>
      </c>
      <c r="Y15" s="55">
        <f>Calc_Financing_Ops!Y19</f>
        <v/>
      </c>
      <c r="Z15" s="55">
        <f>Calc_Financing_Ops!Z19</f>
        <v/>
      </c>
      <c r="AA15" s="55">
        <f>Calc_Financing_Ops!AA19</f>
        <v/>
      </c>
      <c r="AB15" s="55">
        <f>Calc_Financing_Ops!AB19</f>
        <v/>
      </c>
      <c r="AC15" s="55">
        <f>Calc_Financing_Ops!AC19</f>
        <v/>
      </c>
      <c r="AD15" s="55">
        <f>Calc_Financing_Ops!AD19</f>
        <v/>
      </c>
      <c r="AE15" s="55">
        <f>Calc_Financing_Ops!AE19</f>
        <v/>
      </c>
      <c r="AF15" s="55">
        <f>Calc_Financing_Ops!AF19</f>
        <v/>
      </c>
      <c r="AG15" s="55">
        <f>Calc_Financing_Ops!AG19</f>
        <v/>
      </c>
      <c r="AH15" s="55">
        <f>Calc_Financing_Ops!AH19</f>
        <v/>
      </c>
      <c r="AI15" s="55">
        <f>Calc_Financing_Ops!AI19</f>
        <v/>
      </c>
      <c r="AJ15" s="55">
        <f>Calc_Financing_Ops!AJ19</f>
        <v/>
      </c>
      <c r="AK15" s="55">
        <f>Calc_Financing_Ops!AK19</f>
        <v/>
      </c>
      <c r="AL15" s="55">
        <f>Calc_Financing_Ops!AL19</f>
        <v/>
      </c>
      <c r="AM15" s="55">
        <f>Calc_Financing_Ops!AM19</f>
        <v/>
      </c>
      <c r="AN15" s="55">
        <f>Calc_Financing_Ops!AN19</f>
        <v/>
      </c>
      <c r="AO15" s="55">
        <f>Calc_Financing_Ops!AO19</f>
        <v/>
      </c>
      <c r="AP15" s="55">
        <f>Calc_Financing_Ops!AP19</f>
        <v/>
      </c>
      <c r="AQ15" s="55">
        <f>Calc_Financing_Ops!AQ19</f>
        <v/>
      </c>
      <c r="AR15" s="55">
        <f>Calc_Financing_Ops!AR19</f>
        <v/>
      </c>
      <c r="AS15" s="55">
        <f>Calc_Financing_Ops!AS19</f>
        <v/>
      </c>
      <c r="AT15" s="55">
        <f>Calc_Financing_Ops!AT19</f>
        <v/>
      </c>
      <c r="AU15" s="55">
        <f>Calc_Financing_Ops!AU19</f>
        <v/>
      </c>
      <c r="AV15" s="55">
        <f>Calc_Financing_Ops!AV19</f>
        <v/>
      </c>
      <c r="AW15" s="55">
        <f>Calc_Financing_Ops!AW19</f>
        <v/>
      </c>
      <c r="AX15" s="55">
        <f>Calc_Financing_Ops!AX19</f>
        <v/>
      </c>
      <c r="AY15" s="55">
        <f>Calc_Financing_Ops!AY19</f>
        <v/>
      </c>
      <c r="AZ15" s="55">
        <f>Calc_Financing_Ops!AZ19</f>
        <v/>
      </c>
      <c r="BA15" s="55">
        <f>Calc_Financing_Ops!BA19</f>
        <v/>
      </c>
      <c r="BB15" s="55">
        <f>Calc_Financing_Ops!BB19</f>
        <v/>
      </c>
      <c r="BC15" s="55">
        <f>Calc_Financing_Ops!BC19</f>
        <v/>
      </c>
      <c r="BD15" s="55">
        <f>Calc_Financing_Ops!BD19</f>
        <v/>
      </c>
      <c r="BE15" s="55">
        <f>Calc_Financing_Ops!BE19</f>
        <v/>
      </c>
      <c r="BF15" s="55">
        <f>Calc_Financing_Ops!BF19</f>
        <v/>
      </c>
      <c r="BG15" s="55">
        <f>Calc_Financing_Ops!BG19</f>
        <v/>
      </c>
      <c r="BH15" s="55">
        <f>Calc_Financing_Ops!BH19</f>
        <v/>
      </c>
      <c r="BI15" s="55">
        <f>Calc_Financing_Ops!BI19</f>
        <v/>
      </c>
      <c r="BJ15" s="55">
        <f>Calc_Financing_Ops!BJ19</f>
        <v/>
      </c>
      <c r="BK15" s="55">
        <f>Calc_Financing_Ops!BK19</f>
        <v/>
      </c>
      <c r="BL15" s="55">
        <f>Calc_Financing_Ops!BL19</f>
        <v/>
      </c>
      <c r="BM15" s="55">
        <f>Calc_Financing_Ops!BM19</f>
        <v/>
      </c>
      <c r="BN15" s="55">
        <f>Calc_Financing_Ops!BN19</f>
        <v/>
      </c>
      <c r="BO15" s="55">
        <f>Calc_Financing_Ops!BO19</f>
        <v/>
      </c>
      <c r="BP15" s="55">
        <f>Calc_Financing_Ops!BP19</f>
        <v/>
      </c>
      <c r="BQ15" s="55">
        <f>Calc_Financing_Ops!BQ19</f>
        <v/>
      </c>
      <c r="BR15" s="55">
        <f>Calc_Financing_Ops!BR19</f>
        <v/>
      </c>
      <c r="BS15" s="55">
        <f>Calc_Financing_Ops!BS19</f>
        <v/>
      </c>
      <c r="BT15" s="55">
        <f>Calc_Financing_Ops!BT19</f>
        <v/>
      </c>
      <c r="BU15" s="55">
        <f>Calc_Financing_Ops!BU19</f>
        <v/>
      </c>
      <c r="BV15" s="55">
        <f>Calc_Financing_Ops!BV19</f>
        <v/>
      </c>
      <c r="BW15" s="55">
        <f>Calc_Financing_Ops!BW19</f>
        <v/>
      </c>
      <c r="BX15" s="55">
        <f>Calc_Financing_Ops!BX19</f>
        <v/>
      </c>
      <c r="BY15" s="55">
        <f>Calc_Financing_Ops!BY19</f>
        <v/>
      </c>
      <c r="BZ15" s="55">
        <f>Calc_Financing_Ops!BZ19</f>
        <v/>
      </c>
      <c r="CA15" s="55">
        <f>Calc_Financing_Ops!CA19</f>
        <v/>
      </c>
      <c r="CB15" s="55">
        <f>Calc_Financing_Ops!CB19</f>
        <v/>
      </c>
      <c r="CC15" s="55">
        <f>Calc_Financing_Ops!CC19</f>
        <v/>
      </c>
      <c r="CD15" s="55">
        <f>Calc_Financing_Ops!CD19</f>
        <v/>
      </c>
    </row>
    <row r="16">
      <c r="A16" t="inlineStr">
        <is>
          <t>EBT ($) = EBITDA - Total Depreciation - Interest</t>
        </is>
      </c>
      <c r="C16" s="64">
        <f>C10-C14-C15</f>
        <v/>
      </c>
      <c r="D16" s="64">
        <f>D10-D14-D15</f>
        <v/>
      </c>
      <c r="E16" s="64">
        <f>E10-E14-E15</f>
        <v/>
      </c>
      <c r="F16" s="64">
        <f>F10-F14-F15</f>
        <v/>
      </c>
      <c r="G16" s="64">
        <f>G10-G14-G15</f>
        <v/>
      </c>
      <c r="H16" s="64">
        <f>H10-H14-H15</f>
        <v/>
      </c>
      <c r="I16" s="64">
        <f>I10-I14-I15</f>
        <v/>
      </c>
      <c r="J16" s="64">
        <f>J10-J14-J15</f>
        <v/>
      </c>
      <c r="K16" s="64">
        <f>K10-K14-K15</f>
        <v/>
      </c>
      <c r="L16" s="64">
        <f>L10-L14-L15</f>
        <v/>
      </c>
      <c r="M16" s="64">
        <f>M10-M14-M15</f>
        <v/>
      </c>
      <c r="N16" s="64">
        <f>N10-N14-N15</f>
        <v/>
      </c>
      <c r="O16" s="64">
        <f>O10-O14-O15</f>
        <v/>
      </c>
      <c r="P16" s="64">
        <f>P10-P14-P15</f>
        <v/>
      </c>
      <c r="Q16" s="64">
        <f>Q10-Q14-Q15</f>
        <v/>
      </c>
      <c r="R16" s="64">
        <f>R10-R14-R15</f>
        <v/>
      </c>
      <c r="S16" s="64">
        <f>S10-S14-S15</f>
        <v/>
      </c>
      <c r="T16" s="64">
        <f>T10-T14-T15</f>
        <v/>
      </c>
      <c r="U16" s="64">
        <f>U10-U14-U15</f>
        <v/>
      </c>
      <c r="V16" s="64">
        <f>V10-V14-V15</f>
        <v/>
      </c>
      <c r="W16" s="64">
        <f>W10-W14-W15</f>
        <v/>
      </c>
      <c r="X16" s="64">
        <f>X10-X14-X15</f>
        <v/>
      </c>
      <c r="Y16" s="64">
        <f>Y10-Y14-Y15</f>
        <v/>
      </c>
      <c r="Z16" s="64">
        <f>Z10-Z14-Z15</f>
        <v/>
      </c>
      <c r="AA16" s="64">
        <f>AA10-AA14-AA15</f>
        <v/>
      </c>
      <c r="AB16" s="64">
        <f>AB10-AB14-AB15</f>
        <v/>
      </c>
      <c r="AC16" s="64">
        <f>AC10-AC14-AC15</f>
        <v/>
      </c>
      <c r="AD16" s="64">
        <f>AD10-AD14-AD15</f>
        <v/>
      </c>
      <c r="AE16" s="64">
        <f>AE10-AE14-AE15</f>
        <v/>
      </c>
      <c r="AF16" s="64">
        <f>AF10-AF14-AF15</f>
        <v/>
      </c>
      <c r="AG16" s="64">
        <f>AG10-AG14-AG15</f>
        <v/>
      </c>
      <c r="AH16" s="64">
        <f>AH10-AH14-AH15</f>
        <v/>
      </c>
      <c r="AI16" s="64">
        <f>AI10-AI14-AI15</f>
        <v/>
      </c>
      <c r="AJ16" s="64">
        <f>AJ10-AJ14-AJ15</f>
        <v/>
      </c>
      <c r="AK16" s="64">
        <f>AK10-AK14-AK15</f>
        <v/>
      </c>
      <c r="AL16" s="64">
        <f>AL10-AL14-AL15</f>
        <v/>
      </c>
      <c r="AM16" s="64">
        <f>AM10-AM14-AM15</f>
        <v/>
      </c>
      <c r="AN16" s="64">
        <f>AN10-AN14-AN15</f>
        <v/>
      </c>
      <c r="AO16" s="64">
        <f>AO10-AO14-AO15</f>
        <v/>
      </c>
      <c r="AP16" s="64">
        <f>AP10-AP14-AP15</f>
        <v/>
      </c>
      <c r="AQ16" s="64">
        <f>AQ10-AQ14-AQ15</f>
        <v/>
      </c>
      <c r="AR16" s="64">
        <f>AR10-AR14-AR15</f>
        <v/>
      </c>
      <c r="AS16" s="64">
        <f>AS10-AS14-AS15</f>
        <v/>
      </c>
      <c r="AT16" s="64">
        <f>AT10-AT14-AT15</f>
        <v/>
      </c>
      <c r="AU16" s="64">
        <f>AU10-AU14-AU15</f>
        <v/>
      </c>
      <c r="AV16" s="64">
        <f>AV10-AV14-AV15</f>
        <v/>
      </c>
      <c r="AW16" s="64">
        <f>AW10-AW14-AW15</f>
        <v/>
      </c>
      <c r="AX16" s="64">
        <f>AX10-AX14-AX15</f>
        <v/>
      </c>
      <c r="AY16" s="64">
        <f>AY10-AY14-AY15</f>
        <v/>
      </c>
      <c r="AZ16" s="64">
        <f>AZ10-AZ14-AZ15</f>
        <v/>
      </c>
      <c r="BA16" s="64">
        <f>BA10-BA14-BA15</f>
        <v/>
      </c>
      <c r="BB16" s="64">
        <f>BB10-BB14-BB15</f>
        <v/>
      </c>
      <c r="BC16" s="64">
        <f>BC10-BC14-BC15</f>
        <v/>
      </c>
      <c r="BD16" s="64">
        <f>BD10-BD14-BD15</f>
        <v/>
      </c>
      <c r="BE16" s="64">
        <f>BE10-BE14-BE15</f>
        <v/>
      </c>
      <c r="BF16" s="64">
        <f>BF10-BF14-BF15</f>
        <v/>
      </c>
      <c r="BG16" s="64">
        <f>BG10-BG14-BG15</f>
        <v/>
      </c>
      <c r="BH16" s="64">
        <f>BH10-BH14-BH15</f>
        <v/>
      </c>
      <c r="BI16" s="64">
        <f>BI10-BI14-BI15</f>
        <v/>
      </c>
      <c r="BJ16" s="64">
        <f>BJ10-BJ14-BJ15</f>
        <v/>
      </c>
      <c r="BK16" s="64">
        <f>BK10-BK14-BK15</f>
        <v/>
      </c>
      <c r="BL16" s="64">
        <f>BL10-BL14-BL15</f>
        <v/>
      </c>
      <c r="BM16" s="64">
        <f>BM10-BM14-BM15</f>
        <v/>
      </c>
      <c r="BN16" s="64">
        <f>BN10-BN14-BN15</f>
        <v/>
      </c>
      <c r="BO16" s="64">
        <f>BO10-BO14-BO15</f>
        <v/>
      </c>
      <c r="BP16" s="64">
        <f>BP10-BP14-BP15</f>
        <v/>
      </c>
      <c r="BQ16" s="64">
        <f>BQ10-BQ14-BQ15</f>
        <v/>
      </c>
      <c r="BR16" s="64">
        <f>BR10-BR14-BR15</f>
        <v/>
      </c>
      <c r="BS16" s="64">
        <f>BS10-BS14-BS15</f>
        <v/>
      </c>
      <c r="BT16" s="64">
        <f>BT10-BT14-BT15</f>
        <v/>
      </c>
      <c r="BU16" s="64">
        <f>BU10-BU14-BU15</f>
        <v/>
      </c>
      <c r="BV16" s="64">
        <f>BV10-BV14-BV15</f>
        <v/>
      </c>
      <c r="BW16" s="64">
        <f>BW10-BW14-BW15</f>
        <v/>
      </c>
      <c r="BX16" s="64">
        <f>BX10-BX14-BX15</f>
        <v/>
      </c>
      <c r="BY16" s="64">
        <f>BY10-BY14-BY15</f>
        <v/>
      </c>
      <c r="BZ16" s="64">
        <f>BZ10-BZ14-BZ15</f>
        <v/>
      </c>
      <c r="CA16" s="64">
        <f>CA10-CA14-CA15</f>
        <v/>
      </c>
      <c r="CB16" s="64">
        <f>CB10-CB14-CB15</f>
        <v/>
      </c>
      <c r="CC16" s="64">
        <f>CC10-CC14-CC15</f>
        <v/>
      </c>
      <c r="CD16" s="64">
        <f>CD10-CD14-CD15</f>
        <v/>
      </c>
    </row>
    <row r="17">
      <c r="A17" t="inlineStr">
        <is>
          <t>Tax ($) — no loss carryforward yet</t>
        </is>
      </c>
      <c r="C17" s="64">
        <f>MAX(C16,0)*$B$3</f>
        <v/>
      </c>
      <c r="D17" s="64">
        <f>MAX(D16,0)*$B$3</f>
        <v/>
      </c>
      <c r="E17" s="64">
        <f>MAX(E16,0)*$B$3</f>
        <v/>
      </c>
      <c r="F17" s="64">
        <f>MAX(F16,0)*$B$3</f>
        <v/>
      </c>
      <c r="G17" s="64">
        <f>MAX(G16,0)*$B$3</f>
        <v/>
      </c>
      <c r="H17" s="64">
        <f>MAX(H16,0)*$B$3</f>
        <v/>
      </c>
      <c r="I17" s="64">
        <f>MAX(I16,0)*$B$3</f>
        <v/>
      </c>
      <c r="J17" s="64">
        <f>MAX(J16,0)*$B$3</f>
        <v/>
      </c>
      <c r="K17" s="64">
        <f>MAX(K16,0)*$B$3</f>
        <v/>
      </c>
      <c r="L17" s="64">
        <f>MAX(L16,0)*$B$3</f>
        <v/>
      </c>
      <c r="M17" s="64">
        <f>MAX(M16,0)*$B$3</f>
        <v/>
      </c>
      <c r="N17" s="64">
        <f>MAX(N16,0)*$B$3</f>
        <v/>
      </c>
      <c r="O17" s="64">
        <f>MAX(O16,0)*$B$3</f>
        <v/>
      </c>
      <c r="P17" s="64">
        <f>MAX(P16,0)*$B$3</f>
        <v/>
      </c>
      <c r="Q17" s="64">
        <f>MAX(Q16,0)*$B$3</f>
        <v/>
      </c>
      <c r="R17" s="64">
        <f>MAX(R16,0)*$B$3</f>
        <v/>
      </c>
      <c r="S17" s="64">
        <f>MAX(S16,0)*$B$3</f>
        <v/>
      </c>
      <c r="T17" s="64">
        <f>MAX(T16,0)*$B$3</f>
        <v/>
      </c>
      <c r="U17" s="64">
        <f>MAX(U16,0)*$B$3</f>
        <v/>
      </c>
      <c r="V17" s="64">
        <f>MAX(V16,0)*$B$3</f>
        <v/>
      </c>
      <c r="W17" s="64">
        <f>MAX(W16,0)*$B$3</f>
        <v/>
      </c>
      <c r="X17" s="64">
        <f>MAX(X16,0)*$B$3</f>
        <v/>
      </c>
      <c r="Y17" s="64">
        <f>MAX(Y16,0)*$B$3</f>
        <v/>
      </c>
      <c r="Z17" s="64">
        <f>MAX(Z16,0)*$B$3</f>
        <v/>
      </c>
      <c r="AA17" s="64">
        <f>MAX(AA16,0)*$B$3</f>
        <v/>
      </c>
      <c r="AB17" s="64">
        <f>MAX(AB16,0)*$B$3</f>
        <v/>
      </c>
      <c r="AC17" s="64">
        <f>MAX(AC16,0)*$B$3</f>
        <v/>
      </c>
      <c r="AD17" s="64">
        <f>MAX(AD16,0)*$B$3</f>
        <v/>
      </c>
      <c r="AE17" s="64">
        <f>MAX(AE16,0)*$B$3</f>
        <v/>
      </c>
      <c r="AF17" s="64">
        <f>MAX(AF16,0)*$B$3</f>
        <v/>
      </c>
      <c r="AG17" s="64">
        <f>MAX(AG16,0)*$B$3</f>
        <v/>
      </c>
      <c r="AH17" s="64">
        <f>MAX(AH16,0)*$B$3</f>
        <v/>
      </c>
      <c r="AI17" s="64">
        <f>MAX(AI16,0)*$B$3</f>
        <v/>
      </c>
      <c r="AJ17" s="64">
        <f>MAX(AJ16,0)*$B$3</f>
        <v/>
      </c>
      <c r="AK17" s="64">
        <f>MAX(AK16,0)*$B$3</f>
        <v/>
      </c>
      <c r="AL17" s="64">
        <f>MAX(AL16,0)*$B$3</f>
        <v/>
      </c>
      <c r="AM17" s="64">
        <f>MAX(AM16,0)*$B$3</f>
        <v/>
      </c>
      <c r="AN17" s="64">
        <f>MAX(AN16,0)*$B$3</f>
        <v/>
      </c>
      <c r="AO17" s="64">
        <f>MAX(AO16,0)*$B$3</f>
        <v/>
      </c>
      <c r="AP17" s="64">
        <f>MAX(AP16,0)*$B$3</f>
        <v/>
      </c>
      <c r="AQ17" s="64">
        <f>MAX(AQ16,0)*$B$3</f>
        <v/>
      </c>
      <c r="AR17" s="64">
        <f>MAX(AR16,0)*$B$3</f>
        <v/>
      </c>
      <c r="AS17" s="64">
        <f>MAX(AS16,0)*$B$3</f>
        <v/>
      </c>
      <c r="AT17" s="64">
        <f>MAX(AT16,0)*$B$3</f>
        <v/>
      </c>
      <c r="AU17" s="64">
        <f>MAX(AU16,0)*$B$3</f>
        <v/>
      </c>
      <c r="AV17" s="64">
        <f>MAX(AV16,0)*$B$3</f>
        <v/>
      </c>
      <c r="AW17" s="64">
        <f>MAX(AW16,0)*$B$3</f>
        <v/>
      </c>
      <c r="AX17" s="64">
        <f>MAX(AX16,0)*$B$3</f>
        <v/>
      </c>
      <c r="AY17" s="64">
        <f>MAX(AY16,0)*$B$3</f>
        <v/>
      </c>
      <c r="AZ17" s="64">
        <f>MAX(AZ16,0)*$B$3</f>
        <v/>
      </c>
      <c r="BA17" s="64">
        <f>MAX(BA16,0)*$B$3</f>
        <v/>
      </c>
      <c r="BB17" s="64">
        <f>MAX(BB16,0)*$B$3</f>
        <v/>
      </c>
      <c r="BC17" s="64">
        <f>MAX(BC16,0)*$B$3</f>
        <v/>
      </c>
      <c r="BD17" s="64">
        <f>MAX(BD16,0)*$B$3</f>
        <v/>
      </c>
      <c r="BE17" s="64">
        <f>MAX(BE16,0)*$B$3</f>
        <v/>
      </c>
      <c r="BF17" s="64">
        <f>MAX(BF16,0)*$B$3</f>
        <v/>
      </c>
      <c r="BG17" s="64">
        <f>MAX(BG16,0)*$B$3</f>
        <v/>
      </c>
      <c r="BH17" s="64">
        <f>MAX(BH16,0)*$B$3</f>
        <v/>
      </c>
      <c r="BI17" s="64">
        <f>MAX(BI16,0)*$B$3</f>
        <v/>
      </c>
      <c r="BJ17" s="64">
        <f>MAX(BJ16,0)*$B$3</f>
        <v/>
      </c>
      <c r="BK17" s="64">
        <f>MAX(BK16,0)*$B$3</f>
        <v/>
      </c>
      <c r="BL17" s="64">
        <f>MAX(BL16,0)*$B$3</f>
        <v/>
      </c>
      <c r="BM17" s="64">
        <f>MAX(BM16,0)*$B$3</f>
        <v/>
      </c>
      <c r="BN17" s="64">
        <f>MAX(BN16,0)*$B$3</f>
        <v/>
      </c>
      <c r="BO17" s="64">
        <f>MAX(BO16,0)*$B$3</f>
        <v/>
      </c>
      <c r="BP17" s="64">
        <f>MAX(BP16,0)*$B$3</f>
        <v/>
      </c>
      <c r="BQ17" s="64">
        <f>MAX(BQ16,0)*$B$3</f>
        <v/>
      </c>
      <c r="BR17" s="64">
        <f>MAX(BR16,0)*$B$3</f>
        <v/>
      </c>
      <c r="BS17" s="64">
        <f>MAX(BS16,0)*$B$3</f>
        <v/>
      </c>
      <c r="BT17" s="64">
        <f>MAX(BT16,0)*$B$3</f>
        <v/>
      </c>
      <c r="BU17" s="64">
        <f>MAX(BU16,0)*$B$3</f>
        <v/>
      </c>
      <c r="BV17" s="64">
        <f>MAX(BV16,0)*$B$3</f>
        <v/>
      </c>
      <c r="BW17" s="64">
        <f>MAX(BW16,0)*$B$3</f>
        <v/>
      </c>
      <c r="BX17" s="64">
        <f>MAX(BX16,0)*$B$3</f>
        <v/>
      </c>
      <c r="BY17" s="64">
        <f>MAX(BY16,0)*$B$3</f>
        <v/>
      </c>
      <c r="BZ17" s="64">
        <f>MAX(BZ16,0)*$B$3</f>
        <v/>
      </c>
      <c r="CA17" s="64">
        <f>MAX(CA16,0)*$B$3</f>
        <v/>
      </c>
      <c r="CB17" s="64">
        <f>MAX(CB16,0)*$B$3</f>
        <v/>
      </c>
      <c r="CC17" s="64">
        <f>MAX(CC16,0)*$B$3</f>
        <v/>
      </c>
      <c r="CD17" s="64">
        <f>MAX(CD16,0)*$B$3</f>
        <v/>
      </c>
    </row>
    <row r="18">
      <c r="A18" t="inlineStr">
        <is>
          <t>Net Income ($)</t>
        </is>
      </c>
      <c r="C18" s="64">
        <f>C16-C17</f>
        <v/>
      </c>
      <c r="D18" s="64">
        <f>D16-D17</f>
        <v/>
      </c>
      <c r="E18" s="64">
        <f>E16-E17</f>
        <v/>
      </c>
      <c r="F18" s="64">
        <f>F16-F17</f>
        <v/>
      </c>
      <c r="G18" s="64">
        <f>G16-G17</f>
        <v/>
      </c>
      <c r="H18" s="64">
        <f>H16-H17</f>
        <v/>
      </c>
      <c r="I18" s="64">
        <f>I16-I17</f>
        <v/>
      </c>
      <c r="J18" s="64">
        <f>J16-J17</f>
        <v/>
      </c>
      <c r="K18" s="64">
        <f>K16-K17</f>
        <v/>
      </c>
      <c r="L18" s="64">
        <f>L16-L17</f>
        <v/>
      </c>
      <c r="M18" s="64">
        <f>M16-M17</f>
        <v/>
      </c>
      <c r="N18" s="64">
        <f>N16-N17</f>
        <v/>
      </c>
      <c r="O18" s="64">
        <f>O16-O17</f>
        <v/>
      </c>
      <c r="P18" s="64">
        <f>P16-P17</f>
        <v/>
      </c>
      <c r="Q18" s="64">
        <f>Q16-Q17</f>
        <v/>
      </c>
      <c r="R18" s="64">
        <f>R16-R17</f>
        <v/>
      </c>
      <c r="S18" s="64">
        <f>S16-S17</f>
        <v/>
      </c>
      <c r="T18" s="64">
        <f>T16-T17</f>
        <v/>
      </c>
      <c r="U18" s="64">
        <f>U16-U17</f>
        <v/>
      </c>
      <c r="V18" s="64">
        <f>V16-V17</f>
        <v/>
      </c>
      <c r="W18" s="64">
        <f>W16-W17</f>
        <v/>
      </c>
      <c r="X18" s="64">
        <f>X16-X17</f>
        <v/>
      </c>
      <c r="Y18" s="64">
        <f>Y16-Y17</f>
        <v/>
      </c>
      <c r="Z18" s="64">
        <f>Z16-Z17</f>
        <v/>
      </c>
      <c r="AA18" s="64">
        <f>AA16-AA17</f>
        <v/>
      </c>
      <c r="AB18" s="64">
        <f>AB16-AB17</f>
        <v/>
      </c>
      <c r="AC18" s="64">
        <f>AC16-AC17</f>
        <v/>
      </c>
      <c r="AD18" s="64">
        <f>AD16-AD17</f>
        <v/>
      </c>
      <c r="AE18" s="64">
        <f>AE16-AE17</f>
        <v/>
      </c>
      <c r="AF18" s="64">
        <f>AF16-AF17</f>
        <v/>
      </c>
      <c r="AG18" s="64">
        <f>AG16-AG17</f>
        <v/>
      </c>
      <c r="AH18" s="64">
        <f>AH16-AH17</f>
        <v/>
      </c>
      <c r="AI18" s="64">
        <f>AI16-AI17</f>
        <v/>
      </c>
      <c r="AJ18" s="64">
        <f>AJ16-AJ17</f>
        <v/>
      </c>
      <c r="AK18" s="64">
        <f>AK16-AK17</f>
        <v/>
      </c>
      <c r="AL18" s="64">
        <f>AL16-AL17</f>
        <v/>
      </c>
      <c r="AM18" s="64">
        <f>AM16-AM17</f>
        <v/>
      </c>
      <c r="AN18" s="64">
        <f>AN16-AN17</f>
        <v/>
      </c>
      <c r="AO18" s="64">
        <f>AO16-AO17</f>
        <v/>
      </c>
      <c r="AP18" s="64">
        <f>AP16-AP17</f>
        <v/>
      </c>
      <c r="AQ18" s="64">
        <f>AQ16-AQ17</f>
        <v/>
      </c>
      <c r="AR18" s="64">
        <f>AR16-AR17</f>
        <v/>
      </c>
      <c r="AS18" s="64">
        <f>AS16-AS17</f>
        <v/>
      </c>
      <c r="AT18" s="64">
        <f>AT16-AT17</f>
        <v/>
      </c>
      <c r="AU18" s="64">
        <f>AU16-AU17</f>
        <v/>
      </c>
      <c r="AV18" s="64">
        <f>AV16-AV17</f>
        <v/>
      </c>
      <c r="AW18" s="64">
        <f>AW16-AW17</f>
        <v/>
      </c>
      <c r="AX18" s="64">
        <f>AX16-AX17</f>
        <v/>
      </c>
      <c r="AY18" s="64">
        <f>AY16-AY17</f>
        <v/>
      </c>
      <c r="AZ18" s="64">
        <f>AZ16-AZ17</f>
        <v/>
      </c>
      <c r="BA18" s="64">
        <f>BA16-BA17</f>
        <v/>
      </c>
      <c r="BB18" s="64">
        <f>BB16-BB17</f>
        <v/>
      </c>
      <c r="BC18" s="64">
        <f>BC16-BC17</f>
        <v/>
      </c>
      <c r="BD18" s="64">
        <f>BD16-BD17</f>
        <v/>
      </c>
      <c r="BE18" s="64">
        <f>BE16-BE17</f>
        <v/>
      </c>
      <c r="BF18" s="64">
        <f>BF16-BF17</f>
        <v/>
      </c>
      <c r="BG18" s="64">
        <f>BG16-BG17</f>
        <v/>
      </c>
      <c r="BH18" s="64">
        <f>BH16-BH17</f>
        <v/>
      </c>
      <c r="BI18" s="64">
        <f>BI16-BI17</f>
        <v/>
      </c>
      <c r="BJ18" s="64">
        <f>BJ16-BJ17</f>
        <v/>
      </c>
      <c r="BK18" s="64">
        <f>BK16-BK17</f>
        <v/>
      </c>
      <c r="BL18" s="64">
        <f>BL16-BL17</f>
        <v/>
      </c>
      <c r="BM18" s="64">
        <f>BM16-BM17</f>
        <v/>
      </c>
      <c r="BN18" s="64">
        <f>BN16-BN17</f>
        <v/>
      </c>
      <c r="BO18" s="64">
        <f>BO16-BO17</f>
        <v/>
      </c>
      <c r="BP18" s="64">
        <f>BP16-BP17</f>
        <v/>
      </c>
      <c r="BQ18" s="64">
        <f>BQ16-BQ17</f>
        <v/>
      </c>
      <c r="BR18" s="64">
        <f>BR16-BR17</f>
        <v/>
      </c>
      <c r="BS18" s="64">
        <f>BS16-BS17</f>
        <v/>
      </c>
      <c r="BT18" s="64">
        <f>BT16-BT17</f>
        <v/>
      </c>
      <c r="BU18" s="64">
        <f>BU16-BU17</f>
        <v/>
      </c>
      <c r="BV18" s="64">
        <f>BV16-BV17</f>
        <v/>
      </c>
      <c r="BW18" s="64">
        <f>BW16-BW17</f>
        <v/>
      </c>
      <c r="BX18" s="64">
        <f>BX16-BX17</f>
        <v/>
      </c>
      <c r="BY18" s="64">
        <f>BY16-BY17</f>
        <v/>
      </c>
      <c r="BZ18" s="64">
        <f>BZ16-BZ17</f>
        <v/>
      </c>
      <c r="CA18" s="64">
        <f>CA16-CA17</f>
        <v/>
      </c>
      <c r="CB18" s="64">
        <f>CB16-CB17</f>
        <v/>
      </c>
      <c r="CC18" s="64">
        <f>CC16-CC17</f>
        <v/>
      </c>
      <c r="CD18" s="64">
        <f>CD16-CD17</f>
        <v/>
      </c>
    </row>
    <row r="19"/>
    <row r="21">
      <c r="A21" s="41" t="inlineStr">
        <is>
          <t>Checks</t>
        </is>
      </c>
    </row>
    <row r="22">
      <c r="A22" t="inlineStr">
        <is>
          <t>Check: Accumulated Base Depreciation &lt;= Total Project Cost</t>
        </is>
      </c>
      <c r="CD22" s="69">
        <f>IF(SUM(C11:CD11)&lt;=Calc_Capex!$Z$17+0.01,1,0)</f>
        <v/>
      </c>
    </row>
    <row r="23">
      <c r="A23" t="inlineStr">
        <is>
          <t>Check: Accumulated Maint Depreciation &lt;= Cumulative Maint Capex</t>
        </is>
      </c>
      <c r="CD23" s="69">
        <f>IF(SUM(C13:CD13)&lt;=SUM(C12:CD12)+0.01,1,0)</f>
        <v/>
      </c>
    </row>
  </sheetData>
  <pageMargins left="0.75" right="0.75" top="1" bottom="1" header="0.5" footer="0.5"/>
</worksheet>
</file>

<file path=xl/worksheets/sheet10.xml><?xml version="1.0" encoding="utf-8"?>
<worksheet xmlns="http://schemas.openxmlformats.org/spreadsheetml/2006/main">
  <sheetPr>
    <tabColor rgb="00808080"/>
    <outlinePr summaryBelow="1" summaryRight="1"/>
    <pageSetUpPr/>
  </sheetPr>
  <dimension ref="A1:CD43"/>
  <sheetViews>
    <sheetView workbookViewId="0">
      <pane xSplit="2" ySplit="33" topLeftCell="C34" activePane="bottomRight" state="frozen"/>
      <selection pane="topRight"/>
      <selection pane="bottomLeft"/>
      <selection pane="bottomRight" activeCell="A1" sqref="A1"/>
    </sheetView>
  </sheetViews>
  <sheetFormatPr baseColWidth="8" defaultRowHeight="15"/>
  <cols>
    <col width="58" customWidth="1" min="1" max="1"/>
  </cols>
  <sheetData>
    <row r="1">
      <c r="A1" s="59" t="inlineStr">
        <is>
          <t>Calc_Financing_Ops — Quarterly Debt Service (DSCR-sculpted, Loop 2), DSRA, LLCR/PLCR</t>
        </is>
      </c>
    </row>
    <row r="3">
      <c r="A3" t="inlineStr">
        <is>
          <t>Debt Sizing Mode — linked from Cover</t>
        </is>
      </c>
      <c r="B3" s="60">
        <f>Cover!$B$17</f>
        <v/>
      </c>
    </row>
    <row r="4">
      <c r="A4" t="inlineStr">
        <is>
          <t>Interest Rate (Annual) — linked from Assumptions_Model</t>
        </is>
      </c>
      <c r="B4" s="56">
        <f>Assumptions_Model!$B$5</f>
        <v/>
      </c>
    </row>
    <row r="5">
      <c r="A5" t="inlineStr">
        <is>
          <t>Target DSCR — linked from Assumptions_Model</t>
        </is>
      </c>
      <c r="B5" s="62">
        <f>Assumptions_Model!$B$7</f>
        <v/>
      </c>
    </row>
    <row r="6">
      <c r="A6" t="inlineStr">
        <is>
          <t>Max Gearing (cap) — linked from Assumptions_Model</t>
        </is>
      </c>
      <c r="B6" s="56">
        <f>Assumptions_Model!$B$12</f>
        <v/>
      </c>
    </row>
    <row r="7">
      <c r="A7" t="inlineStr">
        <is>
          <t>Staged Debt Size ($) — VBA-written, breaks Loop 2 circularity</t>
        </is>
      </c>
      <c r="B7" s="74" t="n">
        <v>70000000</v>
      </c>
    </row>
    <row r="8">
      <c r="A8" t="inlineStr">
        <is>
          <t>Sculpted Debt Capacity ($) = PV of sculpting basis, capped at Max Gearing</t>
        </is>
      </c>
      <c r="B8" s="75">
        <f>MIN(NPV($B$4/4,C20:BJ20),$B$6*Calc_Capex!$Z$17)</f>
        <v/>
      </c>
    </row>
    <row r="9">
      <c r="A9" t="inlineStr">
        <is>
          <t>Debt Tenor (Years) — linked from Assumptions_Model</t>
        </is>
      </c>
      <c r="B9" s="60">
        <f>Assumptions_Model!$B$6</f>
        <v/>
      </c>
    </row>
    <row r="10">
      <c r="A10" t="inlineStr">
        <is>
          <t>Convergence Gap ($) = Capacity - Staged Debt Size</t>
        </is>
      </c>
      <c r="B10" s="76">
        <f>$B$8-$B$7</f>
        <v/>
      </c>
    </row>
    <row r="11">
      <c r="A11" t="inlineStr">
        <is>
          <t>Implied Gearing (solved) = Opening Debt / Total Project Cost</t>
        </is>
      </c>
      <c r="B11" s="77">
        <f>IFERROR(C18/Calc_Capex!$Z$17,0)</f>
        <v/>
      </c>
    </row>
    <row r="12">
      <c r="A12" t="inlineStr">
        <is>
          <t>DSRA LC Fee (% p.a. on requirement) — linked from Assumptions_Model</t>
        </is>
      </c>
      <c r="B12" s="56">
        <f>Assumptions_Model!$B$14</f>
        <v/>
      </c>
    </row>
    <row r="13">
      <c r="A13" t="inlineStr">
        <is>
          <t>DSRA Funding Method — linked from Cover (target = 6 months of forward debt service)</t>
        </is>
      </c>
      <c r="B13" s="60">
        <f>Cover!$B$23</f>
        <v/>
      </c>
    </row>
    <row r="15">
      <c r="A15" t="inlineStr">
        <is>
          <t>Period End Date</t>
        </is>
      </c>
      <c r="C15" s="16" t="n">
        <v>47208</v>
      </c>
      <c r="D15" s="16" t="n">
        <v>47299</v>
      </c>
      <c r="E15" s="16" t="n">
        <v>47391</v>
      </c>
      <c r="F15" s="16" t="n">
        <v>47483</v>
      </c>
      <c r="G15" s="16" t="n">
        <v>47573</v>
      </c>
      <c r="H15" s="16" t="n">
        <v>47664</v>
      </c>
      <c r="I15" s="16" t="n">
        <v>47756</v>
      </c>
      <c r="J15" s="16" t="n">
        <v>47848</v>
      </c>
      <c r="K15" s="16" t="n">
        <v>47938</v>
      </c>
      <c r="L15" s="16" t="n">
        <v>48029</v>
      </c>
      <c r="M15" s="16" t="n">
        <v>48121</v>
      </c>
      <c r="N15" s="16" t="n">
        <v>48213</v>
      </c>
      <c r="O15" s="16" t="n">
        <v>48304</v>
      </c>
      <c r="P15" s="16" t="n">
        <v>48395</v>
      </c>
      <c r="Q15" s="16" t="n">
        <v>48487</v>
      </c>
      <c r="R15" s="16" t="n">
        <v>48579</v>
      </c>
      <c r="S15" s="16" t="n">
        <v>48669</v>
      </c>
      <c r="T15" s="16" t="n">
        <v>48760</v>
      </c>
      <c r="U15" s="16" t="n">
        <v>48852</v>
      </c>
      <c r="V15" s="16" t="n">
        <v>48944</v>
      </c>
      <c r="W15" s="16" t="n">
        <v>49034</v>
      </c>
      <c r="X15" s="16" t="n">
        <v>49125</v>
      </c>
      <c r="Y15" s="16" t="n">
        <v>49217</v>
      </c>
      <c r="Z15" s="16" t="n">
        <v>49309</v>
      </c>
      <c r="AA15" s="16" t="n">
        <v>49399</v>
      </c>
      <c r="AB15" s="16" t="n">
        <v>49490</v>
      </c>
      <c r="AC15" s="16" t="n">
        <v>49582</v>
      </c>
      <c r="AD15" s="16" t="n">
        <v>49674</v>
      </c>
      <c r="AE15" s="16" t="n">
        <v>49765</v>
      </c>
      <c r="AF15" s="16" t="n">
        <v>49856</v>
      </c>
      <c r="AG15" s="16" t="n">
        <v>49948</v>
      </c>
      <c r="AH15" s="16" t="n">
        <v>50040</v>
      </c>
      <c r="AI15" s="16" t="n">
        <v>50130</v>
      </c>
      <c r="AJ15" s="16" t="n">
        <v>50221</v>
      </c>
      <c r="AK15" s="16" t="n">
        <v>50313</v>
      </c>
      <c r="AL15" s="16" t="n">
        <v>50405</v>
      </c>
      <c r="AM15" s="16" t="n">
        <v>50495</v>
      </c>
      <c r="AN15" s="16" t="n">
        <v>50586</v>
      </c>
      <c r="AO15" s="16" t="n">
        <v>50678</v>
      </c>
      <c r="AP15" s="16" t="n">
        <v>50770</v>
      </c>
      <c r="AQ15" s="16" t="n">
        <v>50860</v>
      </c>
      <c r="AR15" s="16" t="n">
        <v>50951</v>
      </c>
      <c r="AS15" s="16" t="n">
        <v>51043</v>
      </c>
      <c r="AT15" s="16" t="n">
        <v>51135</v>
      </c>
      <c r="AU15" s="16" t="n">
        <v>51226</v>
      </c>
      <c r="AV15" s="16" t="n">
        <v>51317</v>
      </c>
      <c r="AW15" s="16" t="n">
        <v>51409</v>
      </c>
      <c r="AX15" s="16" t="n">
        <v>51501</v>
      </c>
      <c r="AY15" s="16" t="n">
        <v>51591</v>
      </c>
      <c r="AZ15" s="16" t="n">
        <v>51682</v>
      </c>
      <c r="BA15" s="16" t="n">
        <v>51774</v>
      </c>
      <c r="BB15" s="16" t="n">
        <v>51866</v>
      </c>
      <c r="BC15" s="16" t="n">
        <v>51956</v>
      </c>
      <c r="BD15" s="16" t="n">
        <v>52047</v>
      </c>
      <c r="BE15" s="16" t="n">
        <v>52139</v>
      </c>
      <c r="BF15" s="16" t="n">
        <v>52231</v>
      </c>
      <c r="BG15" s="16" t="n">
        <v>52321</v>
      </c>
      <c r="BH15" s="16" t="n">
        <v>52412</v>
      </c>
      <c r="BI15" s="16" t="n">
        <v>52504</v>
      </c>
      <c r="BJ15" s="16" t="n">
        <v>52596</v>
      </c>
      <c r="BK15" s="16" t="n">
        <v>52687</v>
      </c>
      <c r="BL15" s="16" t="n">
        <v>52778</v>
      </c>
      <c r="BM15" s="16" t="n">
        <v>52870</v>
      </c>
      <c r="BN15" s="16" t="n">
        <v>52962</v>
      </c>
      <c r="BO15" s="16" t="n">
        <v>53052</v>
      </c>
      <c r="BP15" s="16" t="n">
        <v>53143</v>
      </c>
      <c r="BQ15" s="16" t="n">
        <v>53235</v>
      </c>
      <c r="BR15" s="16" t="n">
        <v>53327</v>
      </c>
      <c r="BS15" s="16" t="n">
        <v>53417</v>
      </c>
      <c r="BT15" s="16" t="n">
        <v>53508</v>
      </c>
      <c r="BU15" s="16" t="n">
        <v>53600</v>
      </c>
      <c r="BV15" s="16" t="n">
        <v>53692</v>
      </c>
      <c r="BW15" s="16" t="n">
        <v>53782</v>
      </c>
      <c r="BX15" s="16" t="n">
        <v>53873</v>
      </c>
      <c r="BY15" s="16" t="n">
        <v>53965</v>
      </c>
      <c r="BZ15" s="16" t="n">
        <v>54057</v>
      </c>
      <c r="CA15" s="16" t="n">
        <v>54148</v>
      </c>
      <c r="CB15" s="16" t="n">
        <v>54239</v>
      </c>
      <c r="CC15" s="16" t="n">
        <v>54331</v>
      </c>
      <c r="CD15" s="16" t="n">
        <v>54423</v>
      </c>
    </row>
    <row r="16">
      <c r="A16" t="inlineStr">
        <is>
          <t>Operating Quarter #</t>
        </is>
      </c>
      <c r="C16" t="n">
        <v>1</v>
      </c>
      <c r="D16" t="n">
        <v>2</v>
      </c>
      <c r="E16" t="n">
        <v>3</v>
      </c>
      <c r="F16" t="n">
        <v>4</v>
      </c>
      <c r="G16" t="n">
        <v>5</v>
      </c>
      <c r="H16" t="n">
        <v>6</v>
      </c>
      <c r="I16" t="n">
        <v>7</v>
      </c>
      <c r="J16" t="n">
        <v>8</v>
      </c>
      <c r="K16" t="n">
        <v>9</v>
      </c>
      <c r="L16" t="n">
        <v>10</v>
      </c>
      <c r="M16" t="n">
        <v>11</v>
      </c>
      <c r="N16" t="n">
        <v>12</v>
      </c>
      <c r="O16" t="n">
        <v>13</v>
      </c>
      <c r="P16" t="n">
        <v>14</v>
      </c>
      <c r="Q16" t="n">
        <v>15</v>
      </c>
      <c r="R16" t="n">
        <v>16</v>
      </c>
      <c r="S16" t="n">
        <v>17</v>
      </c>
      <c r="T16" t="n">
        <v>18</v>
      </c>
      <c r="U16" t="n">
        <v>19</v>
      </c>
      <c r="V16" t="n">
        <v>20</v>
      </c>
      <c r="W16" t="n">
        <v>21</v>
      </c>
      <c r="X16" t="n">
        <v>22</v>
      </c>
      <c r="Y16" t="n">
        <v>23</v>
      </c>
      <c r="Z16" t="n">
        <v>24</v>
      </c>
      <c r="AA16" t="n">
        <v>25</v>
      </c>
      <c r="AB16" t="n">
        <v>26</v>
      </c>
      <c r="AC16" t="n">
        <v>27</v>
      </c>
      <c r="AD16" t="n">
        <v>28</v>
      </c>
      <c r="AE16" t="n">
        <v>29</v>
      </c>
      <c r="AF16" t="n">
        <v>30</v>
      </c>
      <c r="AG16" t="n">
        <v>31</v>
      </c>
      <c r="AH16" t="n">
        <v>32</v>
      </c>
      <c r="AI16" t="n">
        <v>33</v>
      </c>
      <c r="AJ16" t="n">
        <v>34</v>
      </c>
      <c r="AK16" t="n">
        <v>35</v>
      </c>
      <c r="AL16" t="n">
        <v>36</v>
      </c>
      <c r="AM16" t="n">
        <v>37</v>
      </c>
      <c r="AN16" t="n">
        <v>38</v>
      </c>
      <c r="AO16" t="n">
        <v>39</v>
      </c>
      <c r="AP16" t="n">
        <v>40</v>
      </c>
      <c r="AQ16" t="n">
        <v>41</v>
      </c>
      <c r="AR16" t="n">
        <v>42</v>
      </c>
      <c r="AS16" t="n">
        <v>43</v>
      </c>
      <c r="AT16" t="n">
        <v>44</v>
      </c>
      <c r="AU16" t="n">
        <v>45</v>
      </c>
      <c r="AV16" t="n">
        <v>46</v>
      </c>
      <c r="AW16" t="n">
        <v>47</v>
      </c>
      <c r="AX16" t="n">
        <v>48</v>
      </c>
      <c r="AY16" t="n">
        <v>49</v>
      </c>
      <c r="AZ16" t="n">
        <v>50</v>
      </c>
      <c r="BA16" t="n">
        <v>51</v>
      </c>
      <c r="BB16" t="n">
        <v>52</v>
      </c>
      <c r="BC16" t="n">
        <v>53</v>
      </c>
      <c r="BD16" t="n">
        <v>54</v>
      </c>
      <c r="BE16" t="n">
        <v>55</v>
      </c>
      <c r="BF16" t="n">
        <v>56</v>
      </c>
      <c r="BG16" t="n">
        <v>57</v>
      </c>
      <c r="BH16" t="n">
        <v>58</v>
      </c>
      <c r="BI16" t="n">
        <v>59</v>
      </c>
      <c r="BJ16" t="n">
        <v>60</v>
      </c>
      <c r="BK16" t="n">
        <v>61</v>
      </c>
      <c r="BL16" t="n">
        <v>62</v>
      </c>
      <c r="BM16" t="n">
        <v>63</v>
      </c>
      <c r="BN16" t="n">
        <v>64</v>
      </c>
      <c r="BO16" t="n">
        <v>65</v>
      </c>
      <c r="BP16" t="n">
        <v>66</v>
      </c>
      <c r="BQ16" t="n">
        <v>67</v>
      </c>
      <c r="BR16" t="n">
        <v>68</v>
      </c>
      <c r="BS16" t="n">
        <v>69</v>
      </c>
      <c r="BT16" t="n">
        <v>70</v>
      </c>
      <c r="BU16" t="n">
        <v>71</v>
      </c>
      <c r="BV16" t="n">
        <v>72</v>
      </c>
      <c r="BW16" t="n">
        <v>73</v>
      </c>
      <c r="BX16" t="n">
        <v>74</v>
      </c>
      <c r="BY16" t="n">
        <v>75</v>
      </c>
      <c r="BZ16" t="n">
        <v>76</v>
      </c>
      <c r="CA16" t="n">
        <v>77</v>
      </c>
      <c r="CB16" t="n">
        <v>78</v>
      </c>
      <c r="CC16" t="n">
        <v>79</v>
      </c>
      <c r="CD16" t="n">
        <v>80</v>
      </c>
    </row>
    <row r="18">
      <c r="A18" t="inlineStr">
        <is>
          <t>Opening Debt Balance ($)</t>
        </is>
      </c>
      <c r="C18" s="55">
        <f>Calc_Financing_Cons!Z25</f>
        <v/>
      </c>
      <c r="D18" s="64">
        <f>C23</f>
        <v/>
      </c>
      <c r="E18" s="64">
        <f>D23</f>
        <v/>
      </c>
      <c r="F18" s="64">
        <f>E23</f>
        <v/>
      </c>
      <c r="G18" s="64">
        <f>F23</f>
        <v/>
      </c>
      <c r="H18" s="64">
        <f>G23</f>
        <v/>
      </c>
      <c r="I18" s="64">
        <f>H23</f>
        <v/>
      </c>
      <c r="J18" s="64">
        <f>I23</f>
        <v/>
      </c>
      <c r="K18" s="64">
        <f>J23</f>
        <v/>
      </c>
      <c r="L18" s="64">
        <f>K23</f>
        <v/>
      </c>
      <c r="M18" s="64">
        <f>L23</f>
        <v/>
      </c>
      <c r="N18" s="64">
        <f>M23</f>
        <v/>
      </c>
      <c r="O18" s="64">
        <f>N23</f>
        <v/>
      </c>
      <c r="P18" s="64">
        <f>O23</f>
        <v/>
      </c>
      <c r="Q18" s="64">
        <f>P23</f>
        <v/>
      </c>
      <c r="R18" s="64">
        <f>Q23</f>
        <v/>
      </c>
      <c r="S18" s="64">
        <f>R23</f>
        <v/>
      </c>
      <c r="T18" s="64">
        <f>S23</f>
        <v/>
      </c>
      <c r="U18" s="64">
        <f>T23</f>
        <v/>
      </c>
      <c r="V18" s="64">
        <f>U23</f>
        <v/>
      </c>
      <c r="W18" s="64">
        <f>V23</f>
        <v/>
      </c>
      <c r="X18" s="64">
        <f>W23</f>
        <v/>
      </c>
      <c r="Y18" s="64">
        <f>X23</f>
        <v/>
      </c>
      <c r="Z18" s="64">
        <f>Y23</f>
        <v/>
      </c>
      <c r="AA18" s="64">
        <f>Z23</f>
        <v/>
      </c>
      <c r="AB18" s="64">
        <f>AA23</f>
        <v/>
      </c>
      <c r="AC18" s="64">
        <f>AB23</f>
        <v/>
      </c>
      <c r="AD18" s="64">
        <f>AC23</f>
        <v/>
      </c>
      <c r="AE18" s="64">
        <f>AD23</f>
        <v/>
      </c>
      <c r="AF18" s="64">
        <f>AE23</f>
        <v/>
      </c>
      <c r="AG18" s="64">
        <f>AF23</f>
        <v/>
      </c>
      <c r="AH18" s="64">
        <f>AG23</f>
        <v/>
      </c>
      <c r="AI18" s="64">
        <f>AH23</f>
        <v/>
      </c>
      <c r="AJ18" s="64">
        <f>AI23</f>
        <v/>
      </c>
      <c r="AK18" s="64">
        <f>AJ23</f>
        <v/>
      </c>
      <c r="AL18" s="64">
        <f>AK23</f>
        <v/>
      </c>
      <c r="AM18" s="64">
        <f>AL23</f>
        <v/>
      </c>
      <c r="AN18" s="64">
        <f>AM23</f>
        <v/>
      </c>
      <c r="AO18" s="64">
        <f>AN23</f>
        <v/>
      </c>
      <c r="AP18" s="64">
        <f>AO23</f>
        <v/>
      </c>
      <c r="AQ18" s="64">
        <f>AP23</f>
        <v/>
      </c>
      <c r="AR18" s="64">
        <f>AQ23</f>
        <v/>
      </c>
      <c r="AS18" s="64">
        <f>AR23</f>
        <v/>
      </c>
      <c r="AT18" s="64">
        <f>AS23</f>
        <v/>
      </c>
      <c r="AU18" s="64">
        <f>AT23</f>
        <v/>
      </c>
      <c r="AV18" s="64">
        <f>AU23</f>
        <v/>
      </c>
      <c r="AW18" s="64">
        <f>AV23</f>
        <v/>
      </c>
      <c r="AX18" s="64">
        <f>AW23</f>
        <v/>
      </c>
      <c r="AY18" s="64">
        <f>AX23</f>
        <v/>
      </c>
      <c r="AZ18" s="64">
        <f>AY23</f>
        <v/>
      </c>
      <c r="BA18" s="64">
        <f>AZ23</f>
        <v/>
      </c>
      <c r="BB18" s="64">
        <f>BA23</f>
        <v/>
      </c>
      <c r="BC18" s="64">
        <f>BB23</f>
        <v/>
      </c>
      <c r="BD18" s="64">
        <f>BC23</f>
        <v/>
      </c>
      <c r="BE18" s="64">
        <f>BD23</f>
        <v/>
      </c>
      <c r="BF18" s="64">
        <f>BE23</f>
        <v/>
      </c>
      <c r="BG18" s="64">
        <f>BF23</f>
        <v/>
      </c>
      <c r="BH18" s="64">
        <f>BG23</f>
        <v/>
      </c>
      <c r="BI18" s="64">
        <f>BH23</f>
        <v/>
      </c>
      <c r="BJ18" s="64">
        <f>BI23</f>
        <v/>
      </c>
      <c r="BK18" s="64">
        <f>BJ23</f>
        <v/>
      </c>
      <c r="BL18" s="64">
        <f>BK23</f>
        <v/>
      </c>
      <c r="BM18" s="64">
        <f>BL23</f>
        <v/>
      </c>
      <c r="BN18" s="64">
        <f>BM23</f>
        <v/>
      </c>
      <c r="BO18" s="64">
        <f>BN23</f>
        <v/>
      </c>
      <c r="BP18" s="64">
        <f>BO23</f>
        <v/>
      </c>
      <c r="BQ18" s="64">
        <f>BP23</f>
        <v/>
      </c>
      <c r="BR18" s="64">
        <f>BQ23</f>
        <v/>
      </c>
      <c r="BS18" s="64">
        <f>BR23</f>
        <v/>
      </c>
      <c r="BT18" s="64">
        <f>BS23</f>
        <v/>
      </c>
      <c r="BU18" s="64">
        <f>BT23</f>
        <v/>
      </c>
      <c r="BV18" s="64">
        <f>BU23</f>
        <v/>
      </c>
      <c r="BW18" s="64">
        <f>BV23</f>
        <v/>
      </c>
      <c r="BX18" s="64">
        <f>BW23</f>
        <v/>
      </c>
      <c r="BY18" s="64">
        <f>BX23</f>
        <v/>
      </c>
      <c r="BZ18" s="64">
        <f>BY23</f>
        <v/>
      </c>
      <c r="CA18" s="64">
        <f>BZ23</f>
        <v/>
      </c>
      <c r="CB18" s="64">
        <f>CA23</f>
        <v/>
      </c>
      <c r="CC18" s="64">
        <f>CB23</f>
        <v/>
      </c>
      <c r="CD18" s="64">
        <f>CC23</f>
        <v/>
      </c>
    </row>
    <row r="19">
      <c r="A19" t="inlineStr">
        <is>
          <t>Interest ($)</t>
        </is>
      </c>
      <c r="C19" s="64">
        <f>C18*$B$4/4</f>
        <v/>
      </c>
      <c r="D19" s="64">
        <f>D18*$B$4/4</f>
        <v/>
      </c>
      <c r="E19" s="64">
        <f>E18*$B$4/4</f>
        <v/>
      </c>
      <c r="F19" s="64">
        <f>F18*$B$4/4</f>
        <v/>
      </c>
      <c r="G19" s="64">
        <f>G18*$B$4/4</f>
        <v/>
      </c>
      <c r="H19" s="64">
        <f>H18*$B$4/4</f>
        <v/>
      </c>
      <c r="I19" s="64">
        <f>I18*$B$4/4</f>
        <v/>
      </c>
      <c r="J19" s="64">
        <f>J18*$B$4/4</f>
        <v/>
      </c>
      <c r="K19" s="64">
        <f>K18*$B$4/4</f>
        <v/>
      </c>
      <c r="L19" s="64">
        <f>L18*$B$4/4</f>
        <v/>
      </c>
      <c r="M19" s="64">
        <f>M18*$B$4/4</f>
        <v/>
      </c>
      <c r="N19" s="64">
        <f>N18*$B$4/4</f>
        <v/>
      </c>
      <c r="O19" s="64">
        <f>O18*$B$4/4</f>
        <v/>
      </c>
      <c r="P19" s="64">
        <f>P18*$B$4/4</f>
        <v/>
      </c>
      <c r="Q19" s="64">
        <f>Q18*$B$4/4</f>
        <v/>
      </c>
      <c r="R19" s="64">
        <f>R18*$B$4/4</f>
        <v/>
      </c>
      <c r="S19" s="64">
        <f>S18*$B$4/4</f>
        <v/>
      </c>
      <c r="T19" s="64">
        <f>T18*$B$4/4</f>
        <v/>
      </c>
      <c r="U19" s="64">
        <f>U18*$B$4/4</f>
        <v/>
      </c>
      <c r="V19" s="64">
        <f>V18*$B$4/4</f>
        <v/>
      </c>
      <c r="W19" s="64">
        <f>W18*$B$4/4</f>
        <v/>
      </c>
      <c r="X19" s="64">
        <f>X18*$B$4/4</f>
        <v/>
      </c>
      <c r="Y19" s="64">
        <f>Y18*$B$4/4</f>
        <v/>
      </c>
      <c r="Z19" s="64">
        <f>Z18*$B$4/4</f>
        <v/>
      </c>
      <c r="AA19" s="64">
        <f>AA18*$B$4/4</f>
        <v/>
      </c>
      <c r="AB19" s="64">
        <f>AB18*$B$4/4</f>
        <v/>
      </c>
      <c r="AC19" s="64">
        <f>AC18*$B$4/4</f>
        <v/>
      </c>
      <c r="AD19" s="64">
        <f>AD18*$B$4/4</f>
        <v/>
      </c>
      <c r="AE19" s="64">
        <f>AE18*$B$4/4</f>
        <v/>
      </c>
      <c r="AF19" s="64">
        <f>AF18*$B$4/4</f>
        <v/>
      </c>
      <c r="AG19" s="64">
        <f>AG18*$B$4/4</f>
        <v/>
      </c>
      <c r="AH19" s="64">
        <f>AH18*$B$4/4</f>
        <v/>
      </c>
      <c r="AI19" s="64">
        <f>AI18*$B$4/4</f>
        <v/>
      </c>
      <c r="AJ19" s="64">
        <f>AJ18*$B$4/4</f>
        <v/>
      </c>
      <c r="AK19" s="64">
        <f>AK18*$B$4/4</f>
        <v/>
      </c>
      <c r="AL19" s="64">
        <f>AL18*$B$4/4</f>
        <v/>
      </c>
      <c r="AM19" s="64">
        <f>AM18*$B$4/4</f>
        <v/>
      </c>
      <c r="AN19" s="64">
        <f>AN18*$B$4/4</f>
        <v/>
      </c>
      <c r="AO19" s="64">
        <f>AO18*$B$4/4</f>
        <v/>
      </c>
      <c r="AP19" s="64">
        <f>AP18*$B$4/4</f>
        <v/>
      </c>
      <c r="AQ19" s="64">
        <f>AQ18*$B$4/4</f>
        <v/>
      </c>
      <c r="AR19" s="64">
        <f>AR18*$B$4/4</f>
        <v/>
      </c>
      <c r="AS19" s="64">
        <f>AS18*$B$4/4</f>
        <v/>
      </c>
      <c r="AT19" s="64">
        <f>AT18*$B$4/4</f>
        <v/>
      </c>
      <c r="AU19" s="64">
        <f>AU18*$B$4/4</f>
        <v/>
      </c>
      <c r="AV19" s="64">
        <f>AV18*$B$4/4</f>
        <v/>
      </c>
      <c r="AW19" s="64">
        <f>AW18*$B$4/4</f>
        <v/>
      </c>
      <c r="AX19" s="64">
        <f>AX18*$B$4/4</f>
        <v/>
      </c>
      <c r="AY19" s="64">
        <f>AY18*$B$4/4</f>
        <v/>
      </c>
      <c r="AZ19" s="64">
        <f>AZ18*$B$4/4</f>
        <v/>
      </c>
      <c r="BA19" s="64">
        <f>BA18*$B$4/4</f>
        <v/>
      </c>
      <c r="BB19" s="64">
        <f>BB18*$B$4/4</f>
        <v/>
      </c>
      <c r="BC19" s="64">
        <f>BC18*$B$4/4</f>
        <v/>
      </c>
      <c r="BD19" s="64">
        <f>BD18*$B$4/4</f>
        <v/>
      </c>
      <c r="BE19" s="64">
        <f>BE18*$B$4/4</f>
        <v/>
      </c>
      <c r="BF19" s="64">
        <f>BF18*$B$4/4</f>
        <v/>
      </c>
      <c r="BG19" s="64">
        <f>BG18*$B$4/4</f>
        <v/>
      </c>
      <c r="BH19" s="64">
        <f>BH18*$B$4/4</f>
        <v/>
      </c>
      <c r="BI19" s="64">
        <f>BI18*$B$4/4</f>
        <v/>
      </c>
      <c r="BJ19" s="64">
        <f>BJ18*$B$4/4</f>
        <v/>
      </c>
      <c r="BK19" s="64">
        <f>BK18*$B$4/4</f>
        <v/>
      </c>
      <c r="BL19" s="64">
        <f>BL18*$B$4/4</f>
        <v/>
      </c>
      <c r="BM19" s="64">
        <f>BM18*$B$4/4</f>
        <v/>
      </c>
      <c r="BN19" s="64">
        <f>BN18*$B$4/4</f>
        <v/>
      </c>
      <c r="BO19" s="64">
        <f>BO18*$B$4/4</f>
        <v/>
      </c>
      <c r="BP19" s="64">
        <f>BP18*$B$4/4</f>
        <v/>
      </c>
      <c r="BQ19" s="64">
        <f>BQ18*$B$4/4</f>
        <v/>
      </c>
      <c r="BR19" s="64">
        <f>BR18*$B$4/4</f>
        <v/>
      </c>
      <c r="BS19" s="64">
        <f>BS18*$B$4/4</f>
        <v/>
      </c>
      <c r="BT19" s="64">
        <f>BT18*$B$4/4</f>
        <v/>
      </c>
      <c r="BU19" s="64">
        <f>BU18*$B$4/4</f>
        <v/>
      </c>
      <c r="BV19" s="64">
        <f>BV18*$B$4/4</f>
        <v/>
      </c>
      <c r="BW19" s="64">
        <f>BW18*$B$4/4</f>
        <v/>
      </c>
      <c r="BX19" s="64">
        <f>BX18*$B$4/4</f>
        <v/>
      </c>
      <c r="BY19" s="64">
        <f>BY18*$B$4/4</f>
        <v/>
      </c>
      <c r="BZ19" s="64">
        <f>BZ18*$B$4/4</f>
        <v/>
      </c>
      <c r="CA19" s="64">
        <f>CA18*$B$4/4</f>
        <v/>
      </c>
      <c r="CB19" s="64">
        <f>CB18*$B$4/4</f>
        <v/>
      </c>
      <c r="CC19" s="64">
        <f>CC18*$B$4/4</f>
        <v/>
      </c>
      <c r="CD19" s="64">
        <f>CD18*$B$4/4</f>
        <v/>
      </c>
    </row>
    <row r="20">
      <c r="A20" t="inlineStr">
        <is>
          <t>Sculpting Basis ($) = CFADS / Target DSCR (uncapped)</t>
        </is>
      </c>
      <c r="C20" s="64">
        <f>Calc_CFADS!C5/$B$5</f>
        <v/>
      </c>
      <c r="D20" s="64">
        <f>Calc_CFADS!D5/$B$5</f>
        <v/>
      </c>
      <c r="E20" s="64">
        <f>Calc_CFADS!E5/$B$5</f>
        <v/>
      </c>
      <c r="F20" s="64">
        <f>Calc_CFADS!F5/$B$5</f>
        <v/>
      </c>
      <c r="G20" s="64">
        <f>Calc_CFADS!G5/$B$5</f>
        <v/>
      </c>
      <c r="H20" s="64">
        <f>Calc_CFADS!H5/$B$5</f>
        <v/>
      </c>
      <c r="I20" s="64">
        <f>Calc_CFADS!I5/$B$5</f>
        <v/>
      </c>
      <c r="J20" s="64">
        <f>Calc_CFADS!J5/$B$5</f>
        <v/>
      </c>
      <c r="K20" s="64">
        <f>Calc_CFADS!K5/$B$5</f>
        <v/>
      </c>
      <c r="L20" s="64">
        <f>Calc_CFADS!L5/$B$5</f>
        <v/>
      </c>
      <c r="M20" s="64">
        <f>Calc_CFADS!M5/$B$5</f>
        <v/>
      </c>
      <c r="N20" s="64">
        <f>Calc_CFADS!N5/$B$5</f>
        <v/>
      </c>
      <c r="O20" s="64">
        <f>Calc_CFADS!O5/$B$5</f>
        <v/>
      </c>
      <c r="P20" s="64">
        <f>Calc_CFADS!P5/$B$5</f>
        <v/>
      </c>
      <c r="Q20" s="64">
        <f>Calc_CFADS!Q5/$B$5</f>
        <v/>
      </c>
      <c r="R20" s="64">
        <f>Calc_CFADS!R5/$B$5</f>
        <v/>
      </c>
      <c r="S20" s="64">
        <f>Calc_CFADS!S5/$B$5</f>
        <v/>
      </c>
      <c r="T20" s="64">
        <f>Calc_CFADS!T5/$B$5</f>
        <v/>
      </c>
      <c r="U20" s="64">
        <f>Calc_CFADS!U5/$B$5</f>
        <v/>
      </c>
      <c r="V20" s="64">
        <f>Calc_CFADS!V5/$B$5</f>
        <v/>
      </c>
      <c r="W20" s="64">
        <f>Calc_CFADS!W5/$B$5</f>
        <v/>
      </c>
      <c r="X20" s="64">
        <f>Calc_CFADS!X5/$B$5</f>
        <v/>
      </c>
      <c r="Y20" s="64">
        <f>Calc_CFADS!Y5/$B$5</f>
        <v/>
      </c>
      <c r="Z20" s="64">
        <f>Calc_CFADS!Z5/$B$5</f>
        <v/>
      </c>
      <c r="AA20" s="64">
        <f>Calc_CFADS!AA5/$B$5</f>
        <v/>
      </c>
      <c r="AB20" s="64">
        <f>Calc_CFADS!AB5/$B$5</f>
        <v/>
      </c>
      <c r="AC20" s="64">
        <f>Calc_CFADS!AC5/$B$5</f>
        <v/>
      </c>
      <c r="AD20" s="64">
        <f>Calc_CFADS!AD5/$B$5</f>
        <v/>
      </c>
      <c r="AE20" s="64">
        <f>Calc_CFADS!AE5/$B$5</f>
        <v/>
      </c>
      <c r="AF20" s="64">
        <f>Calc_CFADS!AF5/$B$5</f>
        <v/>
      </c>
      <c r="AG20" s="64">
        <f>Calc_CFADS!AG5/$B$5</f>
        <v/>
      </c>
      <c r="AH20" s="64">
        <f>Calc_CFADS!AH5/$B$5</f>
        <v/>
      </c>
      <c r="AI20" s="64">
        <f>Calc_CFADS!AI5/$B$5</f>
        <v/>
      </c>
      <c r="AJ20" s="64">
        <f>Calc_CFADS!AJ5/$B$5</f>
        <v/>
      </c>
      <c r="AK20" s="64">
        <f>Calc_CFADS!AK5/$B$5</f>
        <v/>
      </c>
      <c r="AL20" s="64">
        <f>Calc_CFADS!AL5/$B$5</f>
        <v/>
      </c>
      <c r="AM20" s="64">
        <f>Calc_CFADS!AM5/$B$5</f>
        <v/>
      </c>
      <c r="AN20" s="64">
        <f>Calc_CFADS!AN5/$B$5</f>
        <v/>
      </c>
      <c r="AO20" s="64">
        <f>Calc_CFADS!AO5/$B$5</f>
        <v/>
      </c>
      <c r="AP20" s="64">
        <f>Calc_CFADS!AP5/$B$5</f>
        <v/>
      </c>
      <c r="AQ20" s="64">
        <f>Calc_CFADS!AQ5/$B$5</f>
        <v/>
      </c>
      <c r="AR20" s="64">
        <f>Calc_CFADS!AR5/$B$5</f>
        <v/>
      </c>
      <c r="AS20" s="64">
        <f>Calc_CFADS!AS5/$B$5</f>
        <v/>
      </c>
      <c r="AT20" s="64">
        <f>Calc_CFADS!AT5/$B$5</f>
        <v/>
      </c>
      <c r="AU20" s="64">
        <f>Calc_CFADS!AU5/$B$5</f>
        <v/>
      </c>
      <c r="AV20" s="64">
        <f>Calc_CFADS!AV5/$B$5</f>
        <v/>
      </c>
      <c r="AW20" s="64">
        <f>Calc_CFADS!AW5/$B$5</f>
        <v/>
      </c>
      <c r="AX20" s="64">
        <f>Calc_CFADS!AX5/$B$5</f>
        <v/>
      </c>
      <c r="AY20" s="64">
        <f>Calc_CFADS!AY5/$B$5</f>
        <v/>
      </c>
      <c r="AZ20" s="64">
        <f>Calc_CFADS!AZ5/$B$5</f>
        <v/>
      </c>
      <c r="BA20" s="64">
        <f>Calc_CFADS!BA5/$B$5</f>
        <v/>
      </c>
      <c r="BB20" s="64">
        <f>Calc_CFADS!BB5/$B$5</f>
        <v/>
      </c>
      <c r="BC20" s="64">
        <f>Calc_CFADS!BC5/$B$5</f>
        <v/>
      </c>
      <c r="BD20" s="64">
        <f>Calc_CFADS!BD5/$B$5</f>
        <v/>
      </c>
      <c r="BE20" s="64">
        <f>Calc_CFADS!BE5/$B$5</f>
        <v/>
      </c>
      <c r="BF20" s="64">
        <f>Calc_CFADS!BF5/$B$5</f>
        <v/>
      </c>
      <c r="BG20" s="64">
        <f>Calc_CFADS!BG5/$B$5</f>
        <v/>
      </c>
      <c r="BH20" s="64">
        <f>Calc_CFADS!BH5/$B$5</f>
        <v/>
      </c>
      <c r="BI20" s="64">
        <f>Calc_CFADS!BI5/$B$5</f>
        <v/>
      </c>
      <c r="BJ20" s="64">
        <f>Calc_CFADS!BJ5/$B$5</f>
        <v/>
      </c>
      <c r="BK20" s="64">
        <f>0</f>
        <v/>
      </c>
      <c r="BL20" s="64">
        <f>0</f>
        <v/>
      </c>
      <c r="BM20" s="64">
        <f>0</f>
        <v/>
      </c>
      <c r="BN20" s="64">
        <f>0</f>
        <v/>
      </c>
      <c r="BO20" s="64">
        <f>0</f>
        <v/>
      </c>
      <c r="BP20" s="64">
        <f>0</f>
        <v/>
      </c>
      <c r="BQ20" s="64">
        <f>0</f>
        <v/>
      </c>
      <c r="BR20" s="64">
        <f>0</f>
        <v/>
      </c>
      <c r="BS20" s="64">
        <f>0</f>
        <v/>
      </c>
      <c r="BT20" s="64">
        <f>0</f>
        <v/>
      </c>
      <c r="BU20" s="64">
        <f>0</f>
        <v/>
      </c>
      <c r="BV20" s="64">
        <f>0</f>
        <v/>
      </c>
      <c r="BW20" s="64">
        <f>0</f>
        <v/>
      </c>
      <c r="BX20" s="64">
        <f>0</f>
        <v/>
      </c>
      <c r="BY20" s="64">
        <f>0</f>
        <v/>
      </c>
      <c r="BZ20" s="64">
        <f>0</f>
        <v/>
      </c>
      <c r="CA20" s="64">
        <f>0</f>
        <v/>
      </c>
      <c r="CB20" s="64">
        <f>0</f>
        <v/>
      </c>
      <c r="CC20" s="64">
        <f>0</f>
        <v/>
      </c>
      <c r="CD20" s="64">
        <f>0</f>
        <v/>
      </c>
    </row>
    <row r="21">
      <c r="A21" t="inlineStr">
        <is>
          <t>Debt Service ($) — sculpted to Target DSCR</t>
        </is>
      </c>
      <c r="C21" s="64">
        <f>IF($B$3="DSCR Sculpted",MAX(C19,MIN(C20,C18+C19)),MIN(-PMT($B$4/4,$B$9*4,Calc_Financing_Cons!Z25),C18+C19))</f>
        <v/>
      </c>
      <c r="D21" s="64">
        <f>IF($B$3="DSCR Sculpted",MAX(D19,MIN(D20,D18+D19)),MIN(-PMT($B$4/4,$B$9*4,Calc_Financing_Cons!Z25),D18+D19))</f>
        <v/>
      </c>
      <c r="E21" s="64">
        <f>IF($B$3="DSCR Sculpted",MAX(E19,MIN(E20,E18+E19)),MIN(-PMT($B$4/4,$B$9*4,Calc_Financing_Cons!Z25),E18+E19))</f>
        <v/>
      </c>
      <c r="F21" s="64">
        <f>IF($B$3="DSCR Sculpted",MAX(F19,MIN(F20,F18+F19)),MIN(-PMT($B$4/4,$B$9*4,Calc_Financing_Cons!Z25),F18+F19))</f>
        <v/>
      </c>
      <c r="G21" s="64">
        <f>IF($B$3="DSCR Sculpted",MAX(G19,MIN(G20,G18+G19)),MIN(-PMT($B$4/4,$B$9*4,Calc_Financing_Cons!Z25),G18+G19))</f>
        <v/>
      </c>
      <c r="H21" s="64">
        <f>IF($B$3="DSCR Sculpted",MAX(H19,MIN(H20,H18+H19)),MIN(-PMT($B$4/4,$B$9*4,Calc_Financing_Cons!Z25),H18+H19))</f>
        <v/>
      </c>
      <c r="I21" s="64">
        <f>IF($B$3="DSCR Sculpted",MAX(I19,MIN(I20,I18+I19)),MIN(-PMT($B$4/4,$B$9*4,Calc_Financing_Cons!Z25),I18+I19))</f>
        <v/>
      </c>
      <c r="J21" s="64">
        <f>IF($B$3="DSCR Sculpted",MAX(J19,MIN(J20,J18+J19)),MIN(-PMT($B$4/4,$B$9*4,Calc_Financing_Cons!Z25),J18+J19))</f>
        <v/>
      </c>
      <c r="K21" s="64">
        <f>IF($B$3="DSCR Sculpted",MAX(K19,MIN(K20,K18+K19)),MIN(-PMT($B$4/4,$B$9*4,Calc_Financing_Cons!Z25),K18+K19))</f>
        <v/>
      </c>
      <c r="L21" s="64">
        <f>IF($B$3="DSCR Sculpted",MAX(L19,MIN(L20,L18+L19)),MIN(-PMT($B$4/4,$B$9*4,Calc_Financing_Cons!Z25),L18+L19))</f>
        <v/>
      </c>
      <c r="M21" s="64">
        <f>IF($B$3="DSCR Sculpted",MAX(M19,MIN(M20,M18+M19)),MIN(-PMT($B$4/4,$B$9*4,Calc_Financing_Cons!Z25),M18+M19))</f>
        <v/>
      </c>
      <c r="N21" s="64">
        <f>IF($B$3="DSCR Sculpted",MAX(N19,MIN(N20,N18+N19)),MIN(-PMT($B$4/4,$B$9*4,Calc_Financing_Cons!Z25),N18+N19))</f>
        <v/>
      </c>
      <c r="O21" s="64">
        <f>IF($B$3="DSCR Sculpted",MAX(O19,MIN(O20,O18+O19)),MIN(-PMT($B$4/4,$B$9*4,Calc_Financing_Cons!Z25),O18+O19))</f>
        <v/>
      </c>
      <c r="P21" s="64">
        <f>IF($B$3="DSCR Sculpted",MAX(P19,MIN(P20,P18+P19)),MIN(-PMT($B$4/4,$B$9*4,Calc_Financing_Cons!Z25),P18+P19))</f>
        <v/>
      </c>
      <c r="Q21" s="64">
        <f>IF($B$3="DSCR Sculpted",MAX(Q19,MIN(Q20,Q18+Q19)),MIN(-PMT($B$4/4,$B$9*4,Calc_Financing_Cons!Z25),Q18+Q19))</f>
        <v/>
      </c>
      <c r="R21" s="64">
        <f>IF($B$3="DSCR Sculpted",MAX(R19,MIN(R20,R18+R19)),MIN(-PMT($B$4/4,$B$9*4,Calc_Financing_Cons!Z25),R18+R19))</f>
        <v/>
      </c>
      <c r="S21" s="64">
        <f>IF($B$3="DSCR Sculpted",MAX(S19,MIN(S20,S18+S19)),MIN(-PMT($B$4/4,$B$9*4,Calc_Financing_Cons!Z25),S18+S19))</f>
        <v/>
      </c>
      <c r="T21" s="64">
        <f>IF($B$3="DSCR Sculpted",MAX(T19,MIN(T20,T18+T19)),MIN(-PMT($B$4/4,$B$9*4,Calc_Financing_Cons!Z25),T18+T19))</f>
        <v/>
      </c>
      <c r="U21" s="64">
        <f>IF($B$3="DSCR Sculpted",MAX(U19,MIN(U20,U18+U19)),MIN(-PMT($B$4/4,$B$9*4,Calc_Financing_Cons!Z25),U18+U19))</f>
        <v/>
      </c>
      <c r="V21" s="64">
        <f>IF($B$3="DSCR Sculpted",MAX(V19,MIN(V20,V18+V19)),MIN(-PMT($B$4/4,$B$9*4,Calc_Financing_Cons!Z25),V18+V19))</f>
        <v/>
      </c>
      <c r="W21" s="64">
        <f>IF($B$3="DSCR Sculpted",MAX(W19,MIN(W20,W18+W19)),MIN(-PMT($B$4/4,$B$9*4,Calc_Financing_Cons!Z25),W18+W19))</f>
        <v/>
      </c>
      <c r="X21" s="64">
        <f>IF($B$3="DSCR Sculpted",MAX(X19,MIN(X20,X18+X19)),MIN(-PMT($B$4/4,$B$9*4,Calc_Financing_Cons!Z25),X18+X19))</f>
        <v/>
      </c>
      <c r="Y21" s="64">
        <f>IF($B$3="DSCR Sculpted",MAX(Y19,MIN(Y20,Y18+Y19)),MIN(-PMT($B$4/4,$B$9*4,Calc_Financing_Cons!Z25),Y18+Y19))</f>
        <v/>
      </c>
      <c r="Z21" s="64">
        <f>IF($B$3="DSCR Sculpted",MAX(Z19,MIN(Z20,Z18+Z19)),MIN(-PMT($B$4/4,$B$9*4,Calc_Financing_Cons!Z25),Z18+Z19))</f>
        <v/>
      </c>
      <c r="AA21" s="64">
        <f>IF($B$3="DSCR Sculpted",MAX(AA19,MIN(AA20,AA18+AA19)),MIN(-PMT($B$4/4,$B$9*4,Calc_Financing_Cons!Z25),AA18+AA19))</f>
        <v/>
      </c>
      <c r="AB21" s="64">
        <f>IF($B$3="DSCR Sculpted",MAX(AB19,MIN(AB20,AB18+AB19)),MIN(-PMT($B$4/4,$B$9*4,Calc_Financing_Cons!Z25),AB18+AB19))</f>
        <v/>
      </c>
      <c r="AC21" s="64">
        <f>IF($B$3="DSCR Sculpted",MAX(AC19,MIN(AC20,AC18+AC19)),MIN(-PMT($B$4/4,$B$9*4,Calc_Financing_Cons!Z25),AC18+AC19))</f>
        <v/>
      </c>
      <c r="AD21" s="64">
        <f>IF($B$3="DSCR Sculpted",MAX(AD19,MIN(AD20,AD18+AD19)),MIN(-PMT($B$4/4,$B$9*4,Calc_Financing_Cons!Z25),AD18+AD19))</f>
        <v/>
      </c>
      <c r="AE21" s="64">
        <f>IF($B$3="DSCR Sculpted",MAX(AE19,MIN(AE20,AE18+AE19)),MIN(-PMT($B$4/4,$B$9*4,Calc_Financing_Cons!Z25),AE18+AE19))</f>
        <v/>
      </c>
      <c r="AF21" s="64">
        <f>IF($B$3="DSCR Sculpted",MAX(AF19,MIN(AF20,AF18+AF19)),MIN(-PMT($B$4/4,$B$9*4,Calc_Financing_Cons!Z25),AF18+AF19))</f>
        <v/>
      </c>
      <c r="AG21" s="64">
        <f>IF($B$3="DSCR Sculpted",MAX(AG19,MIN(AG20,AG18+AG19)),MIN(-PMT($B$4/4,$B$9*4,Calc_Financing_Cons!Z25),AG18+AG19))</f>
        <v/>
      </c>
      <c r="AH21" s="64">
        <f>IF($B$3="DSCR Sculpted",MAX(AH19,MIN(AH20,AH18+AH19)),MIN(-PMT($B$4/4,$B$9*4,Calc_Financing_Cons!Z25),AH18+AH19))</f>
        <v/>
      </c>
      <c r="AI21" s="64">
        <f>IF($B$3="DSCR Sculpted",MAX(AI19,MIN(AI20,AI18+AI19)),MIN(-PMT($B$4/4,$B$9*4,Calc_Financing_Cons!Z25),AI18+AI19))</f>
        <v/>
      </c>
      <c r="AJ21" s="64">
        <f>IF($B$3="DSCR Sculpted",MAX(AJ19,MIN(AJ20,AJ18+AJ19)),MIN(-PMT($B$4/4,$B$9*4,Calc_Financing_Cons!Z25),AJ18+AJ19))</f>
        <v/>
      </c>
      <c r="AK21" s="64">
        <f>IF($B$3="DSCR Sculpted",MAX(AK19,MIN(AK20,AK18+AK19)),MIN(-PMT($B$4/4,$B$9*4,Calc_Financing_Cons!Z25),AK18+AK19))</f>
        <v/>
      </c>
      <c r="AL21" s="64">
        <f>IF($B$3="DSCR Sculpted",MAX(AL19,MIN(AL20,AL18+AL19)),MIN(-PMT($B$4/4,$B$9*4,Calc_Financing_Cons!Z25),AL18+AL19))</f>
        <v/>
      </c>
      <c r="AM21" s="64">
        <f>IF($B$3="DSCR Sculpted",MAX(AM19,MIN(AM20,AM18+AM19)),MIN(-PMT($B$4/4,$B$9*4,Calc_Financing_Cons!Z25),AM18+AM19))</f>
        <v/>
      </c>
      <c r="AN21" s="64">
        <f>IF($B$3="DSCR Sculpted",MAX(AN19,MIN(AN20,AN18+AN19)),MIN(-PMT($B$4/4,$B$9*4,Calc_Financing_Cons!Z25),AN18+AN19))</f>
        <v/>
      </c>
      <c r="AO21" s="64">
        <f>IF($B$3="DSCR Sculpted",MAX(AO19,MIN(AO20,AO18+AO19)),MIN(-PMT($B$4/4,$B$9*4,Calc_Financing_Cons!Z25),AO18+AO19))</f>
        <v/>
      </c>
      <c r="AP21" s="64">
        <f>IF($B$3="DSCR Sculpted",MAX(AP19,MIN(AP20,AP18+AP19)),MIN(-PMT($B$4/4,$B$9*4,Calc_Financing_Cons!Z25),AP18+AP19))</f>
        <v/>
      </c>
      <c r="AQ21" s="64">
        <f>IF($B$3="DSCR Sculpted",MAX(AQ19,MIN(AQ20,AQ18+AQ19)),MIN(-PMT($B$4/4,$B$9*4,Calc_Financing_Cons!Z25),AQ18+AQ19))</f>
        <v/>
      </c>
      <c r="AR21" s="64">
        <f>IF($B$3="DSCR Sculpted",MAX(AR19,MIN(AR20,AR18+AR19)),MIN(-PMT($B$4/4,$B$9*4,Calc_Financing_Cons!Z25),AR18+AR19))</f>
        <v/>
      </c>
      <c r="AS21" s="64">
        <f>IF($B$3="DSCR Sculpted",MAX(AS19,MIN(AS20,AS18+AS19)),MIN(-PMT($B$4/4,$B$9*4,Calc_Financing_Cons!Z25),AS18+AS19))</f>
        <v/>
      </c>
      <c r="AT21" s="64">
        <f>IF($B$3="DSCR Sculpted",MAX(AT19,MIN(AT20,AT18+AT19)),MIN(-PMT($B$4/4,$B$9*4,Calc_Financing_Cons!Z25),AT18+AT19))</f>
        <v/>
      </c>
      <c r="AU21" s="64">
        <f>IF($B$3="DSCR Sculpted",MAX(AU19,MIN(AU20,AU18+AU19)),MIN(-PMT($B$4/4,$B$9*4,Calc_Financing_Cons!Z25),AU18+AU19))</f>
        <v/>
      </c>
      <c r="AV21" s="64">
        <f>IF($B$3="DSCR Sculpted",MAX(AV19,MIN(AV20,AV18+AV19)),MIN(-PMT($B$4/4,$B$9*4,Calc_Financing_Cons!Z25),AV18+AV19))</f>
        <v/>
      </c>
      <c r="AW21" s="64">
        <f>IF($B$3="DSCR Sculpted",MAX(AW19,MIN(AW20,AW18+AW19)),MIN(-PMT($B$4/4,$B$9*4,Calc_Financing_Cons!Z25),AW18+AW19))</f>
        <v/>
      </c>
      <c r="AX21" s="64">
        <f>IF($B$3="DSCR Sculpted",MAX(AX19,MIN(AX20,AX18+AX19)),MIN(-PMT($B$4/4,$B$9*4,Calc_Financing_Cons!Z25),AX18+AX19))</f>
        <v/>
      </c>
      <c r="AY21" s="64">
        <f>IF($B$3="DSCR Sculpted",MAX(AY19,MIN(AY20,AY18+AY19)),MIN(-PMT($B$4/4,$B$9*4,Calc_Financing_Cons!Z25),AY18+AY19))</f>
        <v/>
      </c>
      <c r="AZ21" s="64">
        <f>IF($B$3="DSCR Sculpted",MAX(AZ19,MIN(AZ20,AZ18+AZ19)),MIN(-PMT($B$4/4,$B$9*4,Calc_Financing_Cons!Z25),AZ18+AZ19))</f>
        <v/>
      </c>
      <c r="BA21" s="64">
        <f>IF($B$3="DSCR Sculpted",MAX(BA19,MIN(BA20,BA18+BA19)),MIN(-PMT($B$4/4,$B$9*4,Calc_Financing_Cons!Z25),BA18+BA19))</f>
        <v/>
      </c>
      <c r="BB21" s="64">
        <f>IF($B$3="DSCR Sculpted",MAX(BB19,MIN(BB20,BB18+BB19)),MIN(-PMT($B$4/4,$B$9*4,Calc_Financing_Cons!Z25),BB18+BB19))</f>
        <v/>
      </c>
      <c r="BC21" s="64">
        <f>IF($B$3="DSCR Sculpted",MAX(BC19,MIN(BC20,BC18+BC19)),MIN(-PMT($B$4/4,$B$9*4,Calc_Financing_Cons!Z25),BC18+BC19))</f>
        <v/>
      </c>
      <c r="BD21" s="64">
        <f>IF($B$3="DSCR Sculpted",MAX(BD19,MIN(BD20,BD18+BD19)),MIN(-PMT($B$4/4,$B$9*4,Calc_Financing_Cons!Z25),BD18+BD19))</f>
        <v/>
      </c>
      <c r="BE21" s="64">
        <f>IF($B$3="DSCR Sculpted",MAX(BE19,MIN(BE20,BE18+BE19)),MIN(-PMT($B$4/4,$B$9*4,Calc_Financing_Cons!Z25),BE18+BE19))</f>
        <v/>
      </c>
      <c r="BF21" s="64">
        <f>IF($B$3="DSCR Sculpted",MAX(BF19,MIN(BF20,BF18+BF19)),MIN(-PMT($B$4/4,$B$9*4,Calc_Financing_Cons!Z25),BF18+BF19))</f>
        <v/>
      </c>
      <c r="BG21" s="64">
        <f>IF($B$3="DSCR Sculpted",MAX(BG19,MIN(BG20,BG18+BG19)),MIN(-PMT($B$4/4,$B$9*4,Calc_Financing_Cons!Z25),BG18+BG19))</f>
        <v/>
      </c>
      <c r="BH21" s="64">
        <f>IF($B$3="DSCR Sculpted",MAX(BH19,MIN(BH20,BH18+BH19)),MIN(-PMT($B$4/4,$B$9*4,Calc_Financing_Cons!Z25),BH18+BH19))</f>
        <v/>
      </c>
      <c r="BI21" s="64">
        <f>IF($B$3="DSCR Sculpted",MAX(BI19,MIN(BI20,BI18+BI19)),MIN(-PMT($B$4/4,$B$9*4,Calc_Financing_Cons!Z25),BI18+BI19))</f>
        <v/>
      </c>
      <c r="BJ21" s="64">
        <f>IF($B$3="DSCR Sculpted",MAX(BJ19,MIN(BJ20,BJ18+BJ19)),MIN(-PMT($B$4/4,$B$9*4,Calc_Financing_Cons!Z25),BJ18+BJ19))</f>
        <v/>
      </c>
      <c r="BK21" s="64">
        <f>0</f>
        <v/>
      </c>
      <c r="BL21" s="64">
        <f>0</f>
        <v/>
      </c>
      <c r="BM21" s="64">
        <f>0</f>
        <v/>
      </c>
      <c r="BN21" s="64">
        <f>0</f>
        <v/>
      </c>
      <c r="BO21" s="64">
        <f>0</f>
        <v/>
      </c>
      <c r="BP21" s="64">
        <f>0</f>
        <v/>
      </c>
      <c r="BQ21" s="64">
        <f>0</f>
        <v/>
      </c>
      <c r="BR21" s="64">
        <f>0</f>
        <v/>
      </c>
      <c r="BS21" s="64">
        <f>0</f>
        <v/>
      </c>
      <c r="BT21" s="64">
        <f>0</f>
        <v/>
      </c>
      <c r="BU21" s="64">
        <f>0</f>
        <v/>
      </c>
      <c r="BV21" s="64">
        <f>0</f>
        <v/>
      </c>
      <c r="BW21" s="64">
        <f>0</f>
        <v/>
      </c>
      <c r="BX21" s="64">
        <f>0</f>
        <v/>
      </c>
      <c r="BY21" s="64">
        <f>0</f>
        <v/>
      </c>
      <c r="BZ21" s="64">
        <f>0</f>
        <v/>
      </c>
      <c r="CA21" s="64">
        <f>0</f>
        <v/>
      </c>
      <c r="CB21" s="64">
        <f>0</f>
        <v/>
      </c>
      <c r="CC21" s="64">
        <f>0</f>
        <v/>
      </c>
      <c r="CD21" s="64">
        <f>0</f>
        <v/>
      </c>
    </row>
    <row r="22">
      <c r="A22" t="inlineStr">
        <is>
          <t>Principal ($)</t>
        </is>
      </c>
      <c r="C22" s="64">
        <f>C21-C19</f>
        <v/>
      </c>
      <c r="D22" s="64">
        <f>D21-D19</f>
        <v/>
      </c>
      <c r="E22" s="64">
        <f>E21-E19</f>
        <v/>
      </c>
      <c r="F22" s="64">
        <f>F21-F19</f>
        <v/>
      </c>
      <c r="G22" s="64">
        <f>G21-G19</f>
        <v/>
      </c>
      <c r="H22" s="64">
        <f>H21-H19</f>
        <v/>
      </c>
      <c r="I22" s="64">
        <f>I21-I19</f>
        <v/>
      </c>
      <c r="J22" s="64">
        <f>J21-J19</f>
        <v/>
      </c>
      <c r="K22" s="64">
        <f>K21-K19</f>
        <v/>
      </c>
      <c r="L22" s="64">
        <f>L21-L19</f>
        <v/>
      </c>
      <c r="M22" s="64">
        <f>M21-M19</f>
        <v/>
      </c>
      <c r="N22" s="64">
        <f>N21-N19</f>
        <v/>
      </c>
      <c r="O22" s="64">
        <f>O21-O19</f>
        <v/>
      </c>
      <c r="P22" s="64">
        <f>P21-P19</f>
        <v/>
      </c>
      <c r="Q22" s="64">
        <f>Q21-Q19</f>
        <v/>
      </c>
      <c r="R22" s="64">
        <f>R21-R19</f>
        <v/>
      </c>
      <c r="S22" s="64">
        <f>S21-S19</f>
        <v/>
      </c>
      <c r="T22" s="64">
        <f>T21-T19</f>
        <v/>
      </c>
      <c r="U22" s="64">
        <f>U21-U19</f>
        <v/>
      </c>
      <c r="V22" s="64">
        <f>V21-V19</f>
        <v/>
      </c>
      <c r="W22" s="64">
        <f>W21-W19</f>
        <v/>
      </c>
      <c r="X22" s="64">
        <f>X21-X19</f>
        <v/>
      </c>
      <c r="Y22" s="64">
        <f>Y21-Y19</f>
        <v/>
      </c>
      <c r="Z22" s="64">
        <f>Z21-Z19</f>
        <v/>
      </c>
      <c r="AA22" s="64">
        <f>AA21-AA19</f>
        <v/>
      </c>
      <c r="AB22" s="64">
        <f>AB21-AB19</f>
        <v/>
      </c>
      <c r="AC22" s="64">
        <f>AC21-AC19</f>
        <v/>
      </c>
      <c r="AD22" s="64">
        <f>AD21-AD19</f>
        <v/>
      </c>
      <c r="AE22" s="64">
        <f>AE21-AE19</f>
        <v/>
      </c>
      <c r="AF22" s="64">
        <f>AF21-AF19</f>
        <v/>
      </c>
      <c r="AG22" s="64">
        <f>AG21-AG19</f>
        <v/>
      </c>
      <c r="AH22" s="64">
        <f>AH21-AH19</f>
        <v/>
      </c>
      <c r="AI22" s="64">
        <f>AI21-AI19</f>
        <v/>
      </c>
      <c r="AJ22" s="64">
        <f>AJ21-AJ19</f>
        <v/>
      </c>
      <c r="AK22" s="64">
        <f>AK21-AK19</f>
        <v/>
      </c>
      <c r="AL22" s="64">
        <f>AL21-AL19</f>
        <v/>
      </c>
      <c r="AM22" s="64">
        <f>AM21-AM19</f>
        <v/>
      </c>
      <c r="AN22" s="64">
        <f>AN21-AN19</f>
        <v/>
      </c>
      <c r="AO22" s="64">
        <f>AO21-AO19</f>
        <v/>
      </c>
      <c r="AP22" s="64">
        <f>AP21-AP19</f>
        <v/>
      </c>
      <c r="AQ22" s="64">
        <f>AQ21-AQ19</f>
        <v/>
      </c>
      <c r="AR22" s="64">
        <f>AR21-AR19</f>
        <v/>
      </c>
      <c r="AS22" s="64">
        <f>AS21-AS19</f>
        <v/>
      </c>
      <c r="AT22" s="64">
        <f>AT21-AT19</f>
        <v/>
      </c>
      <c r="AU22" s="64">
        <f>AU21-AU19</f>
        <v/>
      </c>
      <c r="AV22" s="64">
        <f>AV21-AV19</f>
        <v/>
      </c>
      <c r="AW22" s="64">
        <f>AW21-AW19</f>
        <v/>
      </c>
      <c r="AX22" s="64">
        <f>AX21-AX19</f>
        <v/>
      </c>
      <c r="AY22" s="64">
        <f>AY21-AY19</f>
        <v/>
      </c>
      <c r="AZ22" s="64">
        <f>AZ21-AZ19</f>
        <v/>
      </c>
      <c r="BA22" s="64">
        <f>BA21-BA19</f>
        <v/>
      </c>
      <c r="BB22" s="64">
        <f>BB21-BB19</f>
        <v/>
      </c>
      <c r="BC22" s="64">
        <f>BC21-BC19</f>
        <v/>
      </c>
      <c r="BD22" s="64">
        <f>BD21-BD19</f>
        <v/>
      </c>
      <c r="BE22" s="64">
        <f>BE21-BE19</f>
        <v/>
      </c>
      <c r="BF22" s="64">
        <f>BF21-BF19</f>
        <v/>
      </c>
      <c r="BG22" s="64">
        <f>BG21-BG19</f>
        <v/>
      </c>
      <c r="BH22" s="64">
        <f>BH21-BH19</f>
        <v/>
      </c>
      <c r="BI22" s="64">
        <f>BI21-BI19</f>
        <v/>
      </c>
      <c r="BJ22" s="64">
        <f>BJ21-BJ19</f>
        <v/>
      </c>
      <c r="BK22" s="64">
        <f>BK21-BK19</f>
        <v/>
      </c>
      <c r="BL22" s="64">
        <f>BL21-BL19</f>
        <v/>
      </c>
      <c r="BM22" s="64">
        <f>BM21-BM19</f>
        <v/>
      </c>
      <c r="BN22" s="64">
        <f>BN21-BN19</f>
        <v/>
      </c>
      <c r="BO22" s="64">
        <f>BO21-BO19</f>
        <v/>
      </c>
      <c r="BP22" s="64">
        <f>BP21-BP19</f>
        <v/>
      </c>
      <c r="BQ22" s="64">
        <f>BQ21-BQ19</f>
        <v/>
      </c>
      <c r="BR22" s="64">
        <f>BR21-BR19</f>
        <v/>
      </c>
      <c r="BS22" s="64">
        <f>BS21-BS19</f>
        <v/>
      </c>
      <c r="BT22" s="64">
        <f>BT21-BT19</f>
        <v/>
      </c>
      <c r="BU22" s="64">
        <f>BU21-BU19</f>
        <v/>
      </c>
      <c r="BV22" s="64">
        <f>BV21-BV19</f>
        <v/>
      </c>
      <c r="BW22" s="64">
        <f>BW21-BW19</f>
        <v/>
      </c>
      <c r="BX22" s="64">
        <f>BX21-BX19</f>
        <v/>
      </c>
      <c r="BY22" s="64">
        <f>BY21-BY19</f>
        <v/>
      </c>
      <c r="BZ22" s="64">
        <f>BZ21-BZ19</f>
        <v/>
      </c>
      <c r="CA22" s="64">
        <f>CA21-CA19</f>
        <v/>
      </c>
      <c r="CB22" s="64">
        <f>CB21-CB19</f>
        <v/>
      </c>
      <c r="CC22" s="64">
        <f>CC21-CC19</f>
        <v/>
      </c>
      <c r="CD22" s="64">
        <f>CD21-CD19</f>
        <v/>
      </c>
    </row>
    <row r="23">
      <c r="A23" t="inlineStr">
        <is>
          <t>Closing Debt Balance ($)</t>
        </is>
      </c>
      <c r="C23" s="64">
        <f>C18-C22</f>
        <v/>
      </c>
      <c r="D23" s="64">
        <f>D18-D22</f>
        <v/>
      </c>
      <c r="E23" s="64">
        <f>E18-E22</f>
        <v/>
      </c>
      <c r="F23" s="64">
        <f>F18-F22</f>
        <v/>
      </c>
      <c r="G23" s="64">
        <f>G18-G22</f>
        <v/>
      </c>
      <c r="H23" s="64">
        <f>H18-H22</f>
        <v/>
      </c>
      <c r="I23" s="64">
        <f>I18-I22</f>
        <v/>
      </c>
      <c r="J23" s="64">
        <f>J18-J22</f>
        <v/>
      </c>
      <c r="K23" s="64">
        <f>K18-K22</f>
        <v/>
      </c>
      <c r="L23" s="64">
        <f>L18-L22</f>
        <v/>
      </c>
      <c r="M23" s="64">
        <f>M18-M22</f>
        <v/>
      </c>
      <c r="N23" s="64">
        <f>N18-N22</f>
        <v/>
      </c>
      <c r="O23" s="64">
        <f>O18-O22</f>
        <v/>
      </c>
      <c r="P23" s="64">
        <f>P18-P22</f>
        <v/>
      </c>
      <c r="Q23" s="64">
        <f>Q18-Q22</f>
        <v/>
      </c>
      <c r="R23" s="64">
        <f>R18-R22</f>
        <v/>
      </c>
      <c r="S23" s="64">
        <f>S18-S22</f>
        <v/>
      </c>
      <c r="T23" s="64">
        <f>T18-T22</f>
        <v/>
      </c>
      <c r="U23" s="64">
        <f>U18-U22</f>
        <v/>
      </c>
      <c r="V23" s="64">
        <f>V18-V22</f>
        <v/>
      </c>
      <c r="W23" s="64">
        <f>W18-W22</f>
        <v/>
      </c>
      <c r="X23" s="64">
        <f>X18-X22</f>
        <v/>
      </c>
      <c r="Y23" s="64">
        <f>Y18-Y22</f>
        <v/>
      </c>
      <c r="Z23" s="64">
        <f>Z18-Z22</f>
        <v/>
      </c>
      <c r="AA23" s="64">
        <f>AA18-AA22</f>
        <v/>
      </c>
      <c r="AB23" s="64">
        <f>AB18-AB22</f>
        <v/>
      </c>
      <c r="AC23" s="64">
        <f>AC18-AC22</f>
        <v/>
      </c>
      <c r="AD23" s="64">
        <f>AD18-AD22</f>
        <v/>
      </c>
      <c r="AE23" s="64">
        <f>AE18-AE22</f>
        <v/>
      </c>
      <c r="AF23" s="64">
        <f>AF18-AF22</f>
        <v/>
      </c>
      <c r="AG23" s="64">
        <f>AG18-AG22</f>
        <v/>
      </c>
      <c r="AH23" s="64">
        <f>AH18-AH22</f>
        <v/>
      </c>
      <c r="AI23" s="64">
        <f>AI18-AI22</f>
        <v/>
      </c>
      <c r="AJ23" s="64">
        <f>AJ18-AJ22</f>
        <v/>
      </c>
      <c r="AK23" s="64">
        <f>AK18-AK22</f>
        <v/>
      </c>
      <c r="AL23" s="64">
        <f>AL18-AL22</f>
        <v/>
      </c>
      <c r="AM23" s="64">
        <f>AM18-AM22</f>
        <v/>
      </c>
      <c r="AN23" s="64">
        <f>AN18-AN22</f>
        <v/>
      </c>
      <c r="AO23" s="64">
        <f>AO18-AO22</f>
        <v/>
      </c>
      <c r="AP23" s="64">
        <f>AP18-AP22</f>
        <v/>
      </c>
      <c r="AQ23" s="64">
        <f>AQ18-AQ22</f>
        <v/>
      </c>
      <c r="AR23" s="64">
        <f>AR18-AR22</f>
        <v/>
      </c>
      <c r="AS23" s="64">
        <f>AS18-AS22</f>
        <v/>
      </c>
      <c r="AT23" s="64">
        <f>AT18-AT22</f>
        <v/>
      </c>
      <c r="AU23" s="64">
        <f>AU18-AU22</f>
        <v/>
      </c>
      <c r="AV23" s="64">
        <f>AV18-AV22</f>
        <v/>
      </c>
      <c r="AW23" s="64">
        <f>AW18-AW22</f>
        <v/>
      </c>
      <c r="AX23" s="64">
        <f>AX18-AX22</f>
        <v/>
      </c>
      <c r="AY23" s="64">
        <f>AY18-AY22</f>
        <v/>
      </c>
      <c r="AZ23" s="64">
        <f>AZ18-AZ22</f>
        <v/>
      </c>
      <c r="BA23" s="64">
        <f>BA18-BA22</f>
        <v/>
      </c>
      <c r="BB23" s="64">
        <f>BB18-BB22</f>
        <v/>
      </c>
      <c r="BC23" s="64">
        <f>BC18-BC22</f>
        <v/>
      </c>
      <c r="BD23" s="64">
        <f>BD18-BD22</f>
        <v/>
      </c>
      <c r="BE23" s="64">
        <f>BE18-BE22</f>
        <v/>
      </c>
      <c r="BF23" s="64">
        <f>BF18-BF22</f>
        <v/>
      </c>
      <c r="BG23" s="64">
        <f>BG18-BG22</f>
        <v/>
      </c>
      <c r="BH23" s="64">
        <f>BH18-BH22</f>
        <v/>
      </c>
      <c r="BI23" s="64">
        <f>BI18-BI22</f>
        <v/>
      </c>
      <c r="BJ23" s="64">
        <f>BJ18-BJ22</f>
        <v/>
      </c>
      <c r="BK23" s="64">
        <f>BK18-BK22</f>
        <v/>
      </c>
      <c r="BL23" s="64">
        <f>BL18-BL22</f>
        <v/>
      </c>
      <c r="BM23" s="64">
        <f>BM18-BM22</f>
        <v/>
      </c>
      <c r="BN23" s="64">
        <f>BN18-BN22</f>
        <v/>
      </c>
      <c r="BO23" s="64">
        <f>BO18-BO22</f>
        <v/>
      </c>
      <c r="BP23" s="64">
        <f>BP18-BP22</f>
        <v/>
      </c>
      <c r="BQ23" s="64">
        <f>BQ18-BQ22</f>
        <v/>
      </c>
      <c r="BR23" s="64">
        <f>BR18-BR22</f>
        <v/>
      </c>
      <c r="BS23" s="64">
        <f>BS18-BS22</f>
        <v/>
      </c>
      <c r="BT23" s="64">
        <f>BT18-BT22</f>
        <v/>
      </c>
      <c r="BU23" s="64">
        <f>BU18-BU22</f>
        <v/>
      </c>
      <c r="BV23" s="64">
        <f>BV18-BV22</f>
        <v/>
      </c>
      <c r="BW23" s="64">
        <f>BW18-BW22</f>
        <v/>
      </c>
      <c r="BX23" s="64">
        <f>BX18-BX22</f>
        <v/>
      </c>
      <c r="BY23" s="64">
        <f>BY18-BY22</f>
        <v/>
      </c>
      <c r="BZ23" s="64">
        <f>BZ18-BZ22</f>
        <v/>
      </c>
      <c r="CA23" s="64">
        <f>CA18-CA22</f>
        <v/>
      </c>
      <c r="CB23" s="64">
        <f>CB18-CB22</f>
        <v/>
      </c>
      <c r="CC23" s="64">
        <f>CC18-CC22</f>
        <v/>
      </c>
      <c r="CD23" s="64">
        <f>CD18-CD22</f>
        <v/>
      </c>
    </row>
    <row r="24">
      <c r="A24" t="inlineStr">
        <is>
          <t>DSCR (achieved)</t>
        </is>
      </c>
      <c r="C24" s="62">
        <f>IF(C21=0,"",Calc_CFADS!C5/C21)</f>
        <v/>
      </c>
      <c r="D24" s="62">
        <f>IF(D21=0,"",Calc_CFADS!D5/D21)</f>
        <v/>
      </c>
      <c r="E24" s="62">
        <f>IF(E21=0,"",Calc_CFADS!E5/E21)</f>
        <v/>
      </c>
      <c r="F24" s="62">
        <f>IF(F21=0,"",Calc_CFADS!F5/F21)</f>
        <v/>
      </c>
      <c r="G24" s="62">
        <f>IF(G21=0,"",Calc_CFADS!G5/G21)</f>
        <v/>
      </c>
      <c r="H24" s="62">
        <f>IF(H21=0,"",Calc_CFADS!H5/H21)</f>
        <v/>
      </c>
      <c r="I24" s="62">
        <f>IF(I21=0,"",Calc_CFADS!I5/I21)</f>
        <v/>
      </c>
      <c r="J24" s="62">
        <f>IF(J21=0,"",Calc_CFADS!J5/J21)</f>
        <v/>
      </c>
      <c r="K24" s="62">
        <f>IF(K21=0,"",Calc_CFADS!K5/K21)</f>
        <v/>
      </c>
      <c r="L24" s="62">
        <f>IF(L21=0,"",Calc_CFADS!L5/L21)</f>
        <v/>
      </c>
      <c r="M24" s="62">
        <f>IF(M21=0,"",Calc_CFADS!M5/M21)</f>
        <v/>
      </c>
      <c r="N24" s="62">
        <f>IF(N21=0,"",Calc_CFADS!N5/N21)</f>
        <v/>
      </c>
      <c r="O24" s="62">
        <f>IF(O21=0,"",Calc_CFADS!O5/O21)</f>
        <v/>
      </c>
      <c r="P24" s="62">
        <f>IF(P21=0,"",Calc_CFADS!P5/P21)</f>
        <v/>
      </c>
      <c r="Q24" s="62">
        <f>IF(Q21=0,"",Calc_CFADS!Q5/Q21)</f>
        <v/>
      </c>
      <c r="R24" s="62">
        <f>IF(R21=0,"",Calc_CFADS!R5/R21)</f>
        <v/>
      </c>
      <c r="S24" s="62">
        <f>IF(S21=0,"",Calc_CFADS!S5/S21)</f>
        <v/>
      </c>
      <c r="T24" s="62">
        <f>IF(T21=0,"",Calc_CFADS!T5/T21)</f>
        <v/>
      </c>
      <c r="U24" s="62">
        <f>IF(U21=0,"",Calc_CFADS!U5/U21)</f>
        <v/>
      </c>
      <c r="V24" s="62">
        <f>IF(V21=0,"",Calc_CFADS!V5/V21)</f>
        <v/>
      </c>
      <c r="W24" s="62">
        <f>IF(W21=0,"",Calc_CFADS!W5/W21)</f>
        <v/>
      </c>
      <c r="X24" s="62">
        <f>IF(X21=0,"",Calc_CFADS!X5/X21)</f>
        <v/>
      </c>
      <c r="Y24" s="62">
        <f>IF(Y21=0,"",Calc_CFADS!Y5/Y21)</f>
        <v/>
      </c>
      <c r="Z24" s="62">
        <f>IF(Z21=0,"",Calc_CFADS!Z5/Z21)</f>
        <v/>
      </c>
      <c r="AA24" s="62">
        <f>IF(AA21=0,"",Calc_CFADS!AA5/AA21)</f>
        <v/>
      </c>
      <c r="AB24" s="62">
        <f>IF(AB21=0,"",Calc_CFADS!AB5/AB21)</f>
        <v/>
      </c>
      <c r="AC24" s="62">
        <f>IF(AC21=0,"",Calc_CFADS!AC5/AC21)</f>
        <v/>
      </c>
      <c r="AD24" s="62">
        <f>IF(AD21=0,"",Calc_CFADS!AD5/AD21)</f>
        <v/>
      </c>
      <c r="AE24" s="62">
        <f>IF(AE21=0,"",Calc_CFADS!AE5/AE21)</f>
        <v/>
      </c>
      <c r="AF24" s="62">
        <f>IF(AF21=0,"",Calc_CFADS!AF5/AF21)</f>
        <v/>
      </c>
      <c r="AG24" s="62">
        <f>IF(AG21=0,"",Calc_CFADS!AG5/AG21)</f>
        <v/>
      </c>
      <c r="AH24" s="62">
        <f>IF(AH21=0,"",Calc_CFADS!AH5/AH21)</f>
        <v/>
      </c>
      <c r="AI24" s="62">
        <f>IF(AI21=0,"",Calc_CFADS!AI5/AI21)</f>
        <v/>
      </c>
      <c r="AJ24" s="62">
        <f>IF(AJ21=0,"",Calc_CFADS!AJ5/AJ21)</f>
        <v/>
      </c>
      <c r="AK24" s="62">
        <f>IF(AK21=0,"",Calc_CFADS!AK5/AK21)</f>
        <v/>
      </c>
      <c r="AL24" s="62">
        <f>IF(AL21=0,"",Calc_CFADS!AL5/AL21)</f>
        <v/>
      </c>
      <c r="AM24" s="62">
        <f>IF(AM21=0,"",Calc_CFADS!AM5/AM21)</f>
        <v/>
      </c>
      <c r="AN24" s="62">
        <f>IF(AN21=0,"",Calc_CFADS!AN5/AN21)</f>
        <v/>
      </c>
      <c r="AO24" s="62">
        <f>IF(AO21=0,"",Calc_CFADS!AO5/AO21)</f>
        <v/>
      </c>
      <c r="AP24" s="62">
        <f>IF(AP21=0,"",Calc_CFADS!AP5/AP21)</f>
        <v/>
      </c>
      <c r="AQ24" s="62">
        <f>IF(AQ21=0,"",Calc_CFADS!AQ5/AQ21)</f>
        <v/>
      </c>
      <c r="AR24" s="62">
        <f>IF(AR21=0,"",Calc_CFADS!AR5/AR21)</f>
        <v/>
      </c>
      <c r="AS24" s="62">
        <f>IF(AS21=0,"",Calc_CFADS!AS5/AS21)</f>
        <v/>
      </c>
      <c r="AT24" s="62">
        <f>IF(AT21=0,"",Calc_CFADS!AT5/AT21)</f>
        <v/>
      </c>
      <c r="AU24" s="62">
        <f>IF(AU21=0,"",Calc_CFADS!AU5/AU21)</f>
        <v/>
      </c>
      <c r="AV24" s="62">
        <f>IF(AV21=0,"",Calc_CFADS!AV5/AV21)</f>
        <v/>
      </c>
      <c r="AW24" s="62">
        <f>IF(AW21=0,"",Calc_CFADS!AW5/AW21)</f>
        <v/>
      </c>
      <c r="AX24" s="62">
        <f>IF(AX21=0,"",Calc_CFADS!AX5/AX21)</f>
        <v/>
      </c>
      <c r="AY24" s="62">
        <f>IF(AY21=0,"",Calc_CFADS!AY5/AY21)</f>
        <v/>
      </c>
      <c r="AZ24" s="62">
        <f>IF(AZ21=0,"",Calc_CFADS!AZ5/AZ21)</f>
        <v/>
      </c>
      <c r="BA24" s="62">
        <f>IF(BA21=0,"",Calc_CFADS!BA5/BA21)</f>
        <v/>
      </c>
      <c r="BB24" s="62">
        <f>IF(BB21=0,"",Calc_CFADS!BB5/BB21)</f>
        <v/>
      </c>
      <c r="BC24" s="62">
        <f>IF(BC21=0,"",Calc_CFADS!BC5/BC21)</f>
        <v/>
      </c>
      <c r="BD24" s="62">
        <f>IF(BD21=0,"",Calc_CFADS!BD5/BD21)</f>
        <v/>
      </c>
      <c r="BE24" s="62">
        <f>IF(BE21=0,"",Calc_CFADS!BE5/BE21)</f>
        <v/>
      </c>
      <c r="BF24" s="62">
        <f>IF(BF21=0,"",Calc_CFADS!BF5/BF21)</f>
        <v/>
      </c>
      <c r="BG24" s="62">
        <f>IF(BG21=0,"",Calc_CFADS!BG5/BG21)</f>
        <v/>
      </c>
      <c r="BH24" s="62">
        <f>IF(BH21=0,"",Calc_CFADS!BH5/BH21)</f>
        <v/>
      </c>
      <c r="BI24" s="62">
        <f>IF(BI21=0,"",Calc_CFADS!BI5/BI21)</f>
        <v/>
      </c>
      <c r="BJ24" s="62">
        <f>IF(BJ21=0,"",Calc_CFADS!BJ5/BJ21)</f>
        <v/>
      </c>
      <c r="BK24" s="62">
        <f>IF(BK21=0,"",Calc_CFADS!BK5/BK21)</f>
        <v/>
      </c>
      <c r="BL24" s="62">
        <f>IF(BL21=0,"",Calc_CFADS!BL5/BL21)</f>
        <v/>
      </c>
      <c r="BM24" s="62">
        <f>IF(BM21=0,"",Calc_CFADS!BM5/BM21)</f>
        <v/>
      </c>
      <c r="BN24" s="62">
        <f>IF(BN21=0,"",Calc_CFADS!BN5/BN21)</f>
        <v/>
      </c>
      <c r="BO24" s="62">
        <f>IF(BO21=0,"",Calc_CFADS!BO5/BO21)</f>
        <v/>
      </c>
      <c r="BP24" s="62">
        <f>IF(BP21=0,"",Calc_CFADS!BP5/BP21)</f>
        <v/>
      </c>
      <c r="BQ24" s="62">
        <f>IF(BQ21=0,"",Calc_CFADS!BQ5/BQ21)</f>
        <v/>
      </c>
      <c r="BR24" s="62">
        <f>IF(BR21=0,"",Calc_CFADS!BR5/BR21)</f>
        <v/>
      </c>
      <c r="BS24" s="62">
        <f>IF(BS21=0,"",Calc_CFADS!BS5/BS21)</f>
        <v/>
      </c>
      <c r="BT24" s="62">
        <f>IF(BT21=0,"",Calc_CFADS!BT5/BT21)</f>
        <v/>
      </c>
      <c r="BU24" s="62">
        <f>IF(BU21=0,"",Calc_CFADS!BU5/BU21)</f>
        <v/>
      </c>
      <c r="BV24" s="62">
        <f>IF(BV21=0,"",Calc_CFADS!BV5/BV21)</f>
        <v/>
      </c>
      <c r="BW24" s="62">
        <f>IF(BW21=0,"",Calc_CFADS!BW5/BW21)</f>
        <v/>
      </c>
      <c r="BX24" s="62">
        <f>IF(BX21=0,"",Calc_CFADS!BX5/BX21)</f>
        <v/>
      </c>
      <c r="BY24" s="62">
        <f>IF(BY21=0,"",Calc_CFADS!BY5/BY21)</f>
        <v/>
      </c>
      <c r="BZ24" s="62">
        <f>IF(BZ21=0,"",Calc_CFADS!BZ5/BZ21)</f>
        <v/>
      </c>
      <c r="CA24" s="62">
        <f>IF(CA21=0,"",Calc_CFADS!CA5/CA21)</f>
        <v/>
      </c>
      <c r="CB24" s="62">
        <f>IF(CB21=0,"",Calc_CFADS!CB5/CB21)</f>
        <v/>
      </c>
      <c r="CC24" s="62">
        <f>IF(CC21=0,"",Calc_CFADS!CC5/CC21)</f>
        <v/>
      </c>
      <c r="CD24" s="62">
        <f>IF(CD21=0,"",Calc_CFADS!CD5/CD21)</f>
        <v/>
      </c>
    </row>
    <row r="26">
      <c r="A26" t="inlineStr">
        <is>
          <t>DSRA Target ($) = next 2 quarters' debt service</t>
        </is>
      </c>
      <c r="C26" s="64">
        <f>SUM(D21:E21)</f>
        <v/>
      </c>
      <c r="D26" s="64">
        <f>SUM(E21:F21)</f>
        <v/>
      </c>
      <c r="E26" s="64">
        <f>SUM(F21:G21)</f>
        <v/>
      </c>
      <c r="F26" s="64">
        <f>SUM(G21:H21)</f>
        <v/>
      </c>
      <c r="G26" s="64">
        <f>SUM(H21:I21)</f>
        <v/>
      </c>
      <c r="H26" s="64">
        <f>SUM(I21:J21)</f>
        <v/>
      </c>
      <c r="I26" s="64">
        <f>SUM(J21:K21)</f>
        <v/>
      </c>
      <c r="J26" s="64">
        <f>SUM(K21:L21)</f>
        <v/>
      </c>
      <c r="K26" s="64">
        <f>SUM(L21:M21)</f>
        <v/>
      </c>
      <c r="L26" s="64">
        <f>SUM(M21:N21)</f>
        <v/>
      </c>
      <c r="M26" s="64">
        <f>SUM(N21:O21)</f>
        <v/>
      </c>
      <c r="N26" s="64">
        <f>SUM(O21:P21)</f>
        <v/>
      </c>
      <c r="O26" s="64">
        <f>SUM(P21:Q21)</f>
        <v/>
      </c>
      <c r="P26" s="64">
        <f>SUM(Q21:R21)</f>
        <v/>
      </c>
      <c r="Q26" s="64">
        <f>SUM(R21:S21)</f>
        <v/>
      </c>
      <c r="R26" s="64">
        <f>SUM(S21:T21)</f>
        <v/>
      </c>
      <c r="S26" s="64">
        <f>SUM(T21:U21)</f>
        <v/>
      </c>
      <c r="T26" s="64">
        <f>SUM(U21:V21)</f>
        <v/>
      </c>
      <c r="U26" s="64">
        <f>SUM(V21:W21)</f>
        <v/>
      </c>
      <c r="V26" s="64">
        <f>SUM(W21:X21)</f>
        <v/>
      </c>
      <c r="W26" s="64">
        <f>SUM(X21:Y21)</f>
        <v/>
      </c>
      <c r="X26" s="64">
        <f>SUM(Y21:Z21)</f>
        <v/>
      </c>
      <c r="Y26" s="64">
        <f>SUM(Z21:AA21)</f>
        <v/>
      </c>
      <c r="Z26" s="64">
        <f>SUM(AA21:AB21)</f>
        <v/>
      </c>
      <c r="AA26" s="64">
        <f>SUM(AB21:AC21)</f>
        <v/>
      </c>
      <c r="AB26" s="64">
        <f>SUM(AC21:AD21)</f>
        <v/>
      </c>
      <c r="AC26" s="64">
        <f>SUM(AD21:AE21)</f>
        <v/>
      </c>
      <c r="AD26" s="64">
        <f>SUM(AE21:AF21)</f>
        <v/>
      </c>
      <c r="AE26" s="64">
        <f>SUM(AF21:AG21)</f>
        <v/>
      </c>
      <c r="AF26" s="64">
        <f>SUM(AG21:AH21)</f>
        <v/>
      </c>
      <c r="AG26" s="64">
        <f>SUM(AH21:AI21)</f>
        <v/>
      </c>
      <c r="AH26" s="64">
        <f>SUM(AI21:AJ21)</f>
        <v/>
      </c>
      <c r="AI26" s="64">
        <f>SUM(AJ21:AK21)</f>
        <v/>
      </c>
      <c r="AJ26" s="64">
        <f>SUM(AK21:AL21)</f>
        <v/>
      </c>
      <c r="AK26" s="64">
        <f>SUM(AL21:AM21)</f>
        <v/>
      </c>
      <c r="AL26" s="64">
        <f>SUM(AM21:AN21)</f>
        <v/>
      </c>
      <c r="AM26" s="64">
        <f>SUM(AN21:AO21)</f>
        <v/>
      </c>
      <c r="AN26" s="64">
        <f>SUM(AO21:AP21)</f>
        <v/>
      </c>
      <c r="AO26" s="64">
        <f>SUM(AP21:AQ21)</f>
        <v/>
      </c>
      <c r="AP26" s="64">
        <f>SUM(AQ21:AR21)</f>
        <v/>
      </c>
      <c r="AQ26" s="64">
        <f>SUM(AR21:AS21)</f>
        <v/>
      </c>
      <c r="AR26" s="64">
        <f>SUM(AS21:AT21)</f>
        <v/>
      </c>
      <c r="AS26" s="64">
        <f>SUM(AT21:AU21)</f>
        <v/>
      </c>
      <c r="AT26" s="64">
        <f>SUM(AU21:AV21)</f>
        <v/>
      </c>
      <c r="AU26" s="64">
        <f>SUM(AV21:AW21)</f>
        <v/>
      </c>
      <c r="AV26" s="64">
        <f>SUM(AW21:AX21)</f>
        <v/>
      </c>
      <c r="AW26" s="64">
        <f>SUM(AX21:AY21)</f>
        <v/>
      </c>
      <c r="AX26" s="64">
        <f>SUM(AY21:AZ21)</f>
        <v/>
      </c>
      <c r="AY26" s="64">
        <f>SUM(AZ21:BA21)</f>
        <v/>
      </c>
      <c r="AZ26" s="64">
        <f>SUM(BA21:BB21)</f>
        <v/>
      </c>
      <c r="BA26" s="64">
        <f>SUM(BB21:BC21)</f>
        <v/>
      </c>
      <c r="BB26" s="64">
        <f>SUM(BC21:BD21)</f>
        <v/>
      </c>
      <c r="BC26" s="64">
        <f>SUM(BD21:BE21)</f>
        <v/>
      </c>
      <c r="BD26" s="64">
        <f>SUM(BE21:BF21)</f>
        <v/>
      </c>
      <c r="BE26" s="64">
        <f>SUM(BF21:BG21)</f>
        <v/>
      </c>
      <c r="BF26" s="64">
        <f>SUM(BG21:BH21)</f>
        <v/>
      </c>
      <c r="BG26" s="64">
        <f>SUM(BH21:BI21)</f>
        <v/>
      </c>
      <c r="BH26" s="64">
        <f>SUM(BI21:BJ21)</f>
        <v/>
      </c>
      <c r="BI26" s="64">
        <f>SUM(BJ21:BK21)</f>
        <v/>
      </c>
      <c r="BJ26" s="64">
        <f>SUM(BK21:BL21)</f>
        <v/>
      </c>
      <c r="BK26" s="64">
        <f>SUM(BL21:BM21)</f>
        <v/>
      </c>
      <c r="BL26" s="64">
        <f>SUM(BM21:BN21)</f>
        <v/>
      </c>
      <c r="BM26" s="64">
        <f>SUM(BN21:BO21)</f>
        <v/>
      </c>
      <c r="BN26" s="64">
        <f>SUM(BO21:BP21)</f>
        <v/>
      </c>
      <c r="BO26" s="64">
        <f>SUM(BP21:BQ21)</f>
        <v/>
      </c>
      <c r="BP26" s="64">
        <f>SUM(BQ21:BR21)</f>
        <v/>
      </c>
      <c r="BQ26" s="64">
        <f>SUM(BR21:BS21)</f>
        <v/>
      </c>
      <c r="BR26" s="64">
        <f>SUM(BS21:BT21)</f>
        <v/>
      </c>
      <c r="BS26" s="64">
        <f>SUM(BT21:BU21)</f>
        <v/>
      </c>
      <c r="BT26" s="64">
        <f>SUM(BU21:BV21)</f>
        <v/>
      </c>
      <c r="BU26" s="64">
        <f>SUM(BV21:BW21)</f>
        <v/>
      </c>
      <c r="BV26" s="64">
        <f>SUM(BW21:BX21)</f>
        <v/>
      </c>
      <c r="BW26" s="64">
        <f>SUM(BX21:BY21)</f>
        <v/>
      </c>
      <c r="BX26" s="64">
        <f>SUM(BY21:BZ21)</f>
        <v/>
      </c>
      <c r="BY26" s="64">
        <f>SUM(BZ21:CA21)</f>
        <v/>
      </c>
      <c r="BZ26" s="64">
        <f>SUM(CA21:CB21)</f>
        <v/>
      </c>
      <c r="CA26" s="64">
        <f>SUM(CB21:CC21)</f>
        <v/>
      </c>
      <c r="CB26" s="64">
        <f>SUM(CC21:CD21)</f>
        <v/>
      </c>
      <c r="CC26" s="64">
        <f>SUM(CD21:CD21)</f>
        <v/>
      </c>
      <c r="CD26" s="64">
        <f>0</f>
        <v/>
      </c>
    </row>
    <row r="27">
      <c r="A27" t="inlineStr">
        <is>
          <t>DSRA Balance ($) — zero when LC-backed</t>
        </is>
      </c>
      <c r="C27" s="64">
        <f>IF($B$13="Cash Funded",C26,0)</f>
        <v/>
      </c>
      <c r="D27" s="64">
        <f>IF($B$13="Cash Funded",D26,0)</f>
        <v/>
      </c>
      <c r="E27" s="64">
        <f>IF($B$13="Cash Funded",E26,0)</f>
        <v/>
      </c>
      <c r="F27" s="64">
        <f>IF($B$13="Cash Funded",F26,0)</f>
        <v/>
      </c>
      <c r="G27" s="64">
        <f>IF($B$13="Cash Funded",G26,0)</f>
        <v/>
      </c>
      <c r="H27" s="64">
        <f>IF($B$13="Cash Funded",H26,0)</f>
        <v/>
      </c>
      <c r="I27" s="64">
        <f>IF($B$13="Cash Funded",I26,0)</f>
        <v/>
      </c>
      <c r="J27" s="64">
        <f>IF($B$13="Cash Funded",J26,0)</f>
        <v/>
      </c>
      <c r="K27" s="64">
        <f>IF($B$13="Cash Funded",K26,0)</f>
        <v/>
      </c>
      <c r="L27" s="64">
        <f>IF($B$13="Cash Funded",L26,0)</f>
        <v/>
      </c>
      <c r="M27" s="64">
        <f>IF($B$13="Cash Funded",M26,0)</f>
        <v/>
      </c>
      <c r="N27" s="64">
        <f>IF($B$13="Cash Funded",N26,0)</f>
        <v/>
      </c>
      <c r="O27" s="64">
        <f>IF($B$13="Cash Funded",O26,0)</f>
        <v/>
      </c>
      <c r="P27" s="64">
        <f>IF($B$13="Cash Funded",P26,0)</f>
        <v/>
      </c>
      <c r="Q27" s="64">
        <f>IF($B$13="Cash Funded",Q26,0)</f>
        <v/>
      </c>
      <c r="R27" s="64">
        <f>IF($B$13="Cash Funded",R26,0)</f>
        <v/>
      </c>
      <c r="S27" s="64">
        <f>IF($B$13="Cash Funded",S26,0)</f>
        <v/>
      </c>
      <c r="T27" s="64">
        <f>IF($B$13="Cash Funded",T26,0)</f>
        <v/>
      </c>
      <c r="U27" s="64">
        <f>IF($B$13="Cash Funded",U26,0)</f>
        <v/>
      </c>
      <c r="V27" s="64">
        <f>IF($B$13="Cash Funded",V26,0)</f>
        <v/>
      </c>
      <c r="W27" s="64">
        <f>IF($B$13="Cash Funded",W26,0)</f>
        <v/>
      </c>
      <c r="X27" s="64">
        <f>IF($B$13="Cash Funded",X26,0)</f>
        <v/>
      </c>
      <c r="Y27" s="64">
        <f>IF($B$13="Cash Funded",Y26,0)</f>
        <v/>
      </c>
      <c r="Z27" s="64">
        <f>IF($B$13="Cash Funded",Z26,0)</f>
        <v/>
      </c>
      <c r="AA27" s="64">
        <f>IF($B$13="Cash Funded",AA26,0)</f>
        <v/>
      </c>
      <c r="AB27" s="64">
        <f>IF($B$13="Cash Funded",AB26,0)</f>
        <v/>
      </c>
      <c r="AC27" s="64">
        <f>IF($B$13="Cash Funded",AC26,0)</f>
        <v/>
      </c>
      <c r="AD27" s="64">
        <f>IF($B$13="Cash Funded",AD26,0)</f>
        <v/>
      </c>
      <c r="AE27" s="64">
        <f>IF($B$13="Cash Funded",AE26,0)</f>
        <v/>
      </c>
      <c r="AF27" s="64">
        <f>IF($B$13="Cash Funded",AF26,0)</f>
        <v/>
      </c>
      <c r="AG27" s="64">
        <f>IF($B$13="Cash Funded",AG26,0)</f>
        <v/>
      </c>
      <c r="AH27" s="64">
        <f>IF($B$13="Cash Funded",AH26,0)</f>
        <v/>
      </c>
      <c r="AI27" s="64">
        <f>IF($B$13="Cash Funded",AI26,0)</f>
        <v/>
      </c>
      <c r="AJ27" s="64">
        <f>IF($B$13="Cash Funded",AJ26,0)</f>
        <v/>
      </c>
      <c r="AK27" s="64">
        <f>IF($B$13="Cash Funded",AK26,0)</f>
        <v/>
      </c>
      <c r="AL27" s="64">
        <f>IF($B$13="Cash Funded",AL26,0)</f>
        <v/>
      </c>
      <c r="AM27" s="64">
        <f>IF($B$13="Cash Funded",AM26,0)</f>
        <v/>
      </c>
      <c r="AN27" s="64">
        <f>IF($B$13="Cash Funded",AN26,0)</f>
        <v/>
      </c>
      <c r="AO27" s="64">
        <f>IF($B$13="Cash Funded",AO26,0)</f>
        <v/>
      </c>
      <c r="AP27" s="64">
        <f>IF($B$13="Cash Funded",AP26,0)</f>
        <v/>
      </c>
      <c r="AQ27" s="64">
        <f>IF($B$13="Cash Funded",AQ26,0)</f>
        <v/>
      </c>
      <c r="AR27" s="64">
        <f>IF($B$13="Cash Funded",AR26,0)</f>
        <v/>
      </c>
      <c r="AS27" s="64">
        <f>IF($B$13="Cash Funded",AS26,0)</f>
        <v/>
      </c>
      <c r="AT27" s="64">
        <f>IF($B$13="Cash Funded",AT26,0)</f>
        <v/>
      </c>
      <c r="AU27" s="64">
        <f>IF($B$13="Cash Funded",AU26,0)</f>
        <v/>
      </c>
      <c r="AV27" s="64">
        <f>IF($B$13="Cash Funded",AV26,0)</f>
        <v/>
      </c>
      <c r="AW27" s="64">
        <f>IF($B$13="Cash Funded",AW26,0)</f>
        <v/>
      </c>
      <c r="AX27" s="64">
        <f>IF($B$13="Cash Funded",AX26,0)</f>
        <v/>
      </c>
      <c r="AY27" s="64">
        <f>IF($B$13="Cash Funded",AY26,0)</f>
        <v/>
      </c>
      <c r="AZ27" s="64">
        <f>IF($B$13="Cash Funded",AZ26,0)</f>
        <v/>
      </c>
      <c r="BA27" s="64">
        <f>IF($B$13="Cash Funded",BA26,0)</f>
        <v/>
      </c>
      <c r="BB27" s="64">
        <f>IF($B$13="Cash Funded",BB26,0)</f>
        <v/>
      </c>
      <c r="BC27" s="64">
        <f>IF($B$13="Cash Funded",BC26,0)</f>
        <v/>
      </c>
      <c r="BD27" s="64">
        <f>IF($B$13="Cash Funded",BD26,0)</f>
        <v/>
      </c>
      <c r="BE27" s="64">
        <f>IF($B$13="Cash Funded",BE26,0)</f>
        <v/>
      </c>
      <c r="BF27" s="64">
        <f>IF($B$13="Cash Funded",BF26,0)</f>
        <v/>
      </c>
      <c r="BG27" s="64">
        <f>IF($B$13="Cash Funded",BG26,0)</f>
        <v/>
      </c>
      <c r="BH27" s="64">
        <f>IF($B$13="Cash Funded",BH26,0)</f>
        <v/>
      </c>
      <c r="BI27" s="64">
        <f>IF($B$13="Cash Funded",BI26,0)</f>
        <v/>
      </c>
      <c r="BJ27" s="64">
        <f>IF($B$13="Cash Funded",BJ26,0)</f>
        <v/>
      </c>
      <c r="BK27" s="64">
        <f>IF($B$13="Cash Funded",BK26,0)</f>
        <v/>
      </c>
      <c r="BL27" s="64">
        <f>IF($B$13="Cash Funded",BL26,0)</f>
        <v/>
      </c>
      <c r="BM27" s="64">
        <f>IF($B$13="Cash Funded",BM26,0)</f>
        <v/>
      </c>
      <c r="BN27" s="64">
        <f>IF($B$13="Cash Funded",BN26,0)</f>
        <v/>
      </c>
      <c r="BO27" s="64">
        <f>IF($B$13="Cash Funded",BO26,0)</f>
        <v/>
      </c>
      <c r="BP27" s="64">
        <f>IF($B$13="Cash Funded",BP26,0)</f>
        <v/>
      </c>
      <c r="BQ27" s="64">
        <f>IF($B$13="Cash Funded",BQ26,0)</f>
        <v/>
      </c>
      <c r="BR27" s="64">
        <f>IF($B$13="Cash Funded",BR26,0)</f>
        <v/>
      </c>
      <c r="BS27" s="64">
        <f>IF($B$13="Cash Funded",BS26,0)</f>
        <v/>
      </c>
      <c r="BT27" s="64">
        <f>IF($B$13="Cash Funded",BT26,0)</f>
        <v/>
      </c>
      <c r="BU27" s="64">
        <f>IF($B$13="Cash Funded",BU26,0)</f>
        <v/>
      </c>
      <c r="BV27" s="64">
        <f>IF($B$13="Cash Funded",BV26,0)</f>
        <v/>
      </c>
      <c r="BW27" s="64">
        <f>IF($B$13="Cash Funded",BW26,0)</f>
        <v/>
      </c>
      <c r="BX27" s="64">
        <f>IF($B$13="Cash Funded",BX26,0)</f>
        <v/>
      </c>
      <c r="BY27" s="64">
        <f>IF($B$13="Cash Funded",BY26,0)</f>
        <v/>
      </c>
      <c r="BZ27" s="64">
        <f>IF($B$13="Cash Funded",BZ26,0)</f>
        <v/>
      </c>
      <c r="CA27" s="64">
        <f>IF($B$13="Cash Funded",CA26,0)</f>
        <v/>
      </c>
      <c r="CB27" s="64">
        <f>IF($B$13="Cash Funded",CB26,0)</f>
        <v/>
      </c>
      <c r="CC27" s="64">
        <f>IF($B$13="Cash Funded",CC26,0)</f>
        <v/>
      </c>
      <c r="CD27" s="64">
        <f>IF($B$13="Cash Funded",CD26,0)</f>
        <v/>
      </c>
    </row>
    <row r="28">
      <c r="A28" t="inlineStr">
        <is>
          <t>DSRA Funding/(Release) ($) — cash trapped this quarter</t>
        </is>
      </c>
      <c r="C28" s="64">
        <f>C27</f>
        <v/>
      </c>
      <c r="D28" s="64">
        <f>D27-C27</f>
        <v/>
      </c>
      <c r="E28" s="64">
        <f>E27-D27</f>
        <v/>
      </c>
      <c r="F28" s="64">
        <f>F27-E27</f>
        <v/>
      </c>
      <c r="G28" s="64">
        <f>G27-F27</f>
        <v/>
      </c>
      <c r="H28" s="64">
        <f>H27-G27</f>
        <v/>
      </c>
      <c r="I28" s="64">
        <f>I27-H27</f>
        <v/>
      </c>
      <c r="J28" s="64">
        <f>J27-I27</f>
        <v/>
      </c>
      <c r="K28" s="64">
        <f>K27-J27</f>
        <v/>
      </c>
      <c r="L28" s="64">
        <f>L27-K27</f>
        <v/>
      </c>
      <c r="M28" s="64">
        <f>M27-L27</f>
        <v/>
      </c>
      <c r="N28" s="64">
        <f>N27-M27</f>
        <v/>
      </c>
      <c r="O28" s="64">
        <f>O27-N27</f>
        <v/>
      </c>
      <c r="P28" s="64">
        <f>P27-O27</f>
        <v/>
      </c>
      <c r="Q28" s="64">
        <f>Q27-P27</f>
        <v/>
      </c>
      <c r="R28" s="64">
        <f>R27-Q27</f>
        <v/>
      </c>
      <c r="S28" s="64">
        <f>S27-R27</f>
        <v/>
      </c>
      <c r="T28" s="64">
        <f>T27-S27</f>
        <v/>
      </c>
      <c r="U28" s="64">
        <f>U27-T27</f>
        <v/>
      </c>
      <c r="V28" s="64">
        <f>V27-U27</f>
        <v/>
      </c>
      <c r="W28" s="64">
        <f>W27-V27</f>
        <v/>
      </c>
      <c r="X28" s="64">
        <f>X27-W27</f>
        <v/>
      </c>
      <c r="Y28" s="64">
        <f>Y27-X27</f>
        <v/>
      </c>
      <c r="Z28" s="64">
        <f>Z27-Y27</f>
        <v/>
      </c>
      <c r="AA28" s="64">
        <f>AA27-Z27</f>
        <v/>
      </c>
      <c r="AB28" s="64">
        <f>AB27-AA27</f>
        <v/>
      </c>
      <c r="AC28" s="64">
        <f>AC27-AB27</f>
        <v/>
      </c>
      <c r="AD28" s="64">
        <f>AD27-AC27</f>
        <v/>
      </c>
      <c r="AE28" s="64">
        <f>AE27-AD27</f>
        <v/>
      </c>
      <c r="AF28" s="64">
        <f>AF27-AE27</f>
        <v/>
      </c>
      <c r="AG28" s="64">
        <f>AG27-AF27</f>
        <v/>
      </c>
      <c r="AH28" s="64">
        <f>AH27-AG27</f>
        <v/>
      </c>
      <c r="AI28" s="64">
        <f>AI27-AH27</f>
        <v/>
      </c>
      <c r="AJ28" s="64">
        <f>AJ27-AI27</f>
        <v/>
      </c>
      <c r="AK28" s="64">
        <f>AK27-AJ27</f>
        <v/>
      </c>
      <c r="AL28" s="64">
        <f>AL27-AK27</f>
        <v/>
      </c>
      <c r="AM28" s="64">
        <f>AM27-AL27</f>
        <v/>
      </c>
      <c r="AN28" s="64">
        <f>AN27-AM27</f>
        <v/>
      </c>
      <c r="AO28" s="64">
        <f>AO27-AN27</f>
        <v/>
      </c>
      <c r="AP28" s="64">
        <f>AP27-AO27</f>
        <v/>
      </c>
      <c r="AQ28" s="64">
        <f>AQ27-AP27</f>
        <v/>
      </c>
      <c r="AR28" s="64">
        <f>AR27-AQ27</f>
        <v/>
      </c>
      <c r="AS28" s="64">
        <f>AS27-AR27</f>
        <v/>
      </c>
      <c r="AT28" s="64">
        <f>AT27-AS27</f>
        <v/>
      </c>
      <c r="AU28" s="64">
        <f>AU27-AT27</f>
        <v/>
      </c>
      <c r="AV28" s="64">
        <f>AV27-AU27</f>
        <v/>
      </c>
      <c r="AW28" s="64">
        <f>AW27-AV27</f>
        <v/>
      </c>
      <c r="AX28" s="64">
        <f>AX27-AW27</f>
        <v/>
      </c>
      <c r="AY28" s="64">
        <f>AY27-AX27</f>
        <v/>
      </c>
      <c r="AZ28" s="64">
        <f>AZ27-AY27</f>
        <v/>
      </c>
      <c r="BA28" s="64">
        <f>BA27-AZ27</f>
        <v/>
      </c>
      <c r="BB28" s="64">
        <f>BB27-BA27</f>
        <v/>
      </c>
      <c r="BC28" s="64">
        <f>BC27-BB27</f>
        <v/>
      </c>
      <c r="BD28" s="64">
        <f>BD27-BC27</f>
        <v/>
      </c>
      <c r="BE28" s="64">
        <f>BE27-BD27</f>
        <v/>
      </c>
      <c r="BF28" s="64">
        <f>BF27-BE27</f>
        <v/>
      </c>
      <c r="BG28" s="64">
        <f>BG27-BF27</f>
        <v/>
      </c>
      <c r="BH28" s="64">
        <f>BH27-BG27</f>
        <v/>
      </c>
      <c r="BI28" s="64">
        <f>BI27-BH27</f>
        <v/>
      </c>
      <c r="BJ28" s="64">
        <f>BJ27-BI27</f>
        <v/>
      </c>
      <c r="BK28" s="64">
        <f>BK27-BJ27</f>
        <v/>
      </c>
      <c r="BL28" s="64">
        <f>BL27-BK27</f>
        <v/>
      </c>
      <c r="BM28" s="64">
        <f>BM27-BL27</f>
        <v/>
      </c>
      <c r="BN28" s="64">
        <f>BN27-BM27</f>
        <v/>
      </c>
      <c r="BO28" s="64">
        <f>BO27-BN27</f>
        <v/>
      </c>
      <c r="BP28" s="64">
        <f>BP27-BO27</f>
        <v/>
      </c>
      <c r="BQ28" s="64">
        <f>BQ27-BP27</f>
        <v/>
      </c>
      <c r="BR28" s="64">
        <f>BR27-BQ27</f>
        <v/>
      </c>
      <c r="BS28" s="64">
        <f>BS27-BR27</f>
        <v/>
      </c>
      <c r="BT28" s="64">
        <f>BT27-BS27</f>
        <v/>
      </c>
      <c r="BU28" s="64">
        <f>BU27-BT27</f>
        <v/>
      </c>
      <c r="BV28" s="64">
        <f>BV27-BU27</f>
        <v/>
      </c>
      <c r="BW28" s="64">
        <f>BW27-BV27</f>
        <v/>
      </c>
      <c r="BX28" s="64">
        <f>BX27-BW27</f>
        <v/>
      </c>
      <c r="BY28" s="64">
        <f>BY27-BX27</f>
        <v/>
      </c>
      <c r="BZ28" s="64">
        <f>BZ27-BY27</f>
        <v/>
      </c>
      <c r="CA28" s="64">
        <f>CA27-BZ27</f>
        <v/>
      </c>
      <c r="CB28" s="64">
        <f>CB27-CA27</f>
        <v/>
      </c>
      <c r="CC28" s="64">
        <f>CC27-CB27</f>
        <v/>
      </c>
      <c r="CD28" s="64">
        <f>CD27-CC27</f>
        <v/>
      </c>
    </row>
    <row r="29">
      <c r="A29" t="inlineStr">
        <is>
          <t>DSRA LC Fee ($) — charged only when LC-backed</t>
        </is>
      </c>
      <c r="C29" s="64">
        <f>IF($B$13="Cash Funded",0,C26*$B$12/4)</f>
        <v/>
      </c>
      <c r="D29" s="64">
        <f>IF($B$13="Cash Funded",0,D26*$B$12/4)</f>
        <v/>
      </c>
      <c r="E29" s="64">
        <f>IF($B$13="Cash Funded",0,E26*$B$12/4)</f>
        <v/>
      </c>
      <c r="F29" s="64">
        <f>IF($B$13="Cash Funded",0,F26*$B$12/4)</f>
        <v/>
      </c>
      <c r="G29" s="64">
        <f>IF($B$13="Cash Funded",0,G26*$B$12/4)</f>
        <v/>
      </c>
      <c r="H29" s="64">
        <f>IF($B$13="Cash Funded",0,H26*$B$12/4)</f>
        <v/>
      </c>
      <c r="I29" s="64">
        <f>IF($B$13="Cash Funded",0,I26*$B$12/4)</f>
        <v/>
      </c>
      <c r="J29" s="64">
        <f>IF($B$13="Cash Funded",0,J26*$B$12/4)</f>
        <v/>
      </c>
      <c r="K29" s="64">
        <f>IF($B$13="Cash Funded",0,K26*$B$12/4)</f>
        <v/>
      </c>
      <c r="L29" s="64">
        <f>IF($B$13="Cash Funded",0,L26*$B$12/4)</f>
        <v/>
      </c>
      <c r="M29" s="64">
        <f>IF($B$13="Cash Funded",0,M26*$B$12/4)</f>
        <v/>
      </c>
      <c r="N29" s="64">
        <f>IF($B$13="Cash Funded",0,N26*$B$12/4)</f>
        <v/>
      </c>
      <c r="O29" s="64">
        <f>IF($B$13="Cash Funded",0,O26*$B$12/4)</f>
        <v/>
      </c>
      <c r="P29" s="64">
        <f>IF($B$13="Cash Funded",0,P26*$B$12/4)</f>
        <v/>
      </c>
      <c r="Q29" s="64">
        <f>IF($B$13="Cash Funded",0,Q26*$B$12/4)</f>
        <v/>
      </c>
      <c r="R29" s="64">
        <f>IF($B$13="Cash Funded",0,R26*$B$12/4)</f>
        <v/>
      </c>
      <c r="S29" s="64">
        <f>IF($B$13="Cash Funded",0,S26*$B$12/4)</f>
        <v/>
      </c>
      <c r="T29" s="64">
        <f>IF($B$13="Cash Funded",0,T26*$B$12/4)</f>
        <v/>
      </c>
      <c r="U29" s="64">
        <f>IF($B$13="Cash Funded",0,U26*$B$12/4)</f>
        <v/>
      </c>
      <c r="V29" s="64">
        <f>IF($B$13="Cash Funded",0,V26*$B$12/4)</f>
        <v/>
      </c>
      <c r="W29" s="64">
        <f>IF($B$13="Cash Funded",0,W26*$B$12/4)</f>
        <v/>
      </c>
      <c r="X29" s="64">
        <f>IF($B$13="Cash Funded",0,X26*$B$12/4)</f>
        <v/>
      </c>
      <c r="Y29" s="64">
        <f>IF($B$13="Cash Funded",0,Y26*$B$12/4)</f>
        <v/>
      </c>
      <c r="Z29" s="64">
        <f>IF($B$13="Cash Funded",0,Z26*$B$12/4)</f>
        <v/>
      </c>
      <c r="AA29" s="64">
        <f>IF($B$13="Cash Funded",0,AA26*$B$12/4)</f>
        <v/>
      </c>
      <c r="AB29" s="64">
        <f>IF($B$13="Cash Funded",0,AB26*$B$12/4)</f>
        <v/>
      </c>
      <c r="AC29" s="64">
        <f>IF($B$13="Cash Funded",0,AC26*$B$12/4)</f>
        <v/>
      </c>
      <c r="AD29" s="64">
        <f>IF($B$13="Cash Funded",0,AD26*$B$12/4)</f>
        <v/>
      </c>
      <c r="AE29" s="64">
        <f>IF($B$13="Cash Funded",0,AE26*$B$12/4)</f>
        <v/>
      </c>
      <c r="AF29" s="64">
        <f>IF($B$13="Cash Funded",0,AF26*$B$12/4)</f>
        <v/>
      </c>
      <c r="AG29" s="64">
        <f>IF($B$13="Cash Funded",0,AG26*$B$12/4)</f>
        <v/>
      </c>
      <c r="AH29" s="64">
        <f>IF($B$13="Cash Funded",0,AH26*$B$12/4)</f>
        <v/>
      </c>
      <c r="AI29" s="64">
        <f>IF($B$13="Cash Funded",0,AI26*$B$12/4)</f>
        <v/>
      </c>
      <c r="AJ29" s="64">
        <f>IF($B$13="Cash Funded",0,AJ26*$B$12/4)</f>
        <v/>
      </c>
      <c r="AK29" s="64">
        <f>IF($B$13="Cash Funded",0,AK26*$B$12/4)</f>
        <v/>
      </c>
      <c r="AL29" s="64">
        <f>IF($B$13="Cash Funded",0,AL26*$B$12/4)</f>
        <v/>
      </c>
      <c r="AM29" s="64">
        <f>IF($B$13="Cash Funded",0,AM26*$B$12/4)</f>
        <v/>
      </c>
      <c r="AN29" s="64">
        <f>IF($B$13="Cash Funded",0,AN26*$B$12/4)</f>
        <v/>
      </c>
      <c r="AO29" s="64">
        <f>IF($B$13="Cash Funded",0,AO26*$B$12/4)</f>
        <v/>
      </c>
      <c r="AP29" s="64">
        <f>IF($B$13="Cash Funded",0,AP26*$B$12/4)</f>
        <v/>
      </c>
      <c r="AQ29" s="64">
        <f>IF($B$13="Cash Funded",0,AQ26*$B$12/4)</f>
        <v/>
      </c>
      <c r="AR29" s="64">
        <f>IF($B$13="Cash Funded",0,AR26*$B$12/4)</f>
        <v/>
      </c>
      <c r="AS29" s="64">
        <f>IF($B$13="Cash Funded",0,AS26*$B$12/4)</f>
        <v/>
      </c>
      <c r="AT29" s="64">
        <f>IF($B$13="Cash Funded",0,AT26*$B$12/4)</f>
        <v/>
      </c>
      <c r="AU29" s="64">
        <f>IF($B$13="Cash Funded",0,AU26*$B$12/4)</f>
        <v/>
      </c>
      <c r="AV29" s="64">
        <f>IF($B$13="Cash Funded",0,AV26*$B$12/4)</f>
        <v/>
      </c>
      <c r="AW29" s="64">
        <f>IF($B$13="Cash Funded",0,AW26*$B$12/4)</f>
        <v/>
      </c>
      <c r="AX29" s="64">
        <f>IF($B$13="Cash Funded",0,AX26*$B$12/4)</f>
        <v/>
      </c>
      <c r="AY29" s="64">
        <f>IF($B$13="Cash Funded",0,AY26*$B$12/4)</f>
        <v/>
      </c>
      <c r="AZ29" s="64">
        <f>IF($B$13="Cash Funded",0,AZ26*$B$12/4)</f>
        <v/>
      </c>
      <c r="BA29" s="64">
        <f>IF($B$13="Cash Funded",0,BA26*$B$12/4)</f>
        <v/>
      </c>
      <c r="BB29" s="64">
        <f>IF($B$13="Cash Funded",0,BB26*$B$12/4)</f>
        <v/>
      </c>
      <c r="BC29" s="64">
        <f>IF($B$13="Cash Funded",0,BC26*$B$12/4)</f>
        <v/>
      </c>
      <c r="BD29" s="64">
        <f>IF($B$13="Cash Funded",0,BD26*$B$12/4)</f>
        <v/>
      </c>
      <c r="BE29" s="64">
        <f>IF($B$13="Cash Funded",0,BE26*$B$12/4)</f>
        <v/>
      </c>
      <c r="BF29" s="64">
        <f>IF($B$13="Cash Funded",0,BF26*$B$12/4)</f>
        <v/>
      </c>
      <c r="BG29" s="64">
        <f>IF($B$13="Cash Funded",0,BG26*$B$12/4)</f>
        <v/>
      </c>
      <c r="BH29" s="64">
        <f>IF($B$13="Cash Funded",0,BH26*$B$12/4)</f>
        <v/>
      </c>
      <c r="BI29" s="64">
        <f>IF($B$13="Cash Funded",0,BI26*$B$12/4)</f>
        <v/>
      </c>
      <c r="BJ29" s="64">
        <f>IF($B$13="Cash Funded",0,BJ26*$B$12/4)</f>
        <v/>
      </c>
      <c r="BK29" s="64">
        <f>IF($B$13="Cash Funded",0,BK26*$B$12/4)</f>
        <v/>
      </c>
      <c r="BL29" s="64">
        <f>IF($B$13="Cash Funded",0,BL26*$B$12/4)</f>
        <v/>
      </c>
      <c r="BM29" s="64">
        <f>IF($B$13="Cash Funded",0,BM26*$B$12/4)</f>
        <v/>
      </c>
      <c r="BN29" s="64">
        <f>IF($B$13="Cash Funded",0,BN26*$B$12/4)</f>
        <v/>
      </c>
      <c r="BO29" s="64">
        <f>IF($B$13="Cash Funded",0,BO26*$B$12/4)</f>
        <v/>
      </c>
      <c r="BP29" s="64">
        <f>IF($B$13="Cash Funded",0,BP26*$B$12/4)</f>
        <v/>
      </c>
      <c r="BQ29" s="64">
        <f>IF($B$13="Cash Funded",0,BQ26*$B$12/4)</f>
        <v/>
      </c>
      <c r="BR29" s="64">
        <f>IF($B$13="Cash Funded",0,BR26*$B$12/4)</f>
        <v/>
      </c>
      <c r="BS29" s="64">
        <f>IF($B$13="Cash Funded",0,BS26*$B$12/4)</f>
        <v/>
      </c>
      <c r="BT29" s="64">
        <f>IF($B$13="Cash Funded",0,BT26*$B$12/4)</f>
        <v/>
      </c>
      <c r="BU29" s="64">
        <f>IF($B$13="Cash Funded",0,BU26*$B$12/4)</f>
        <v/>
      </c>
      <c r="BV29" s="64">
        <f>IF($B$13="Cash Funded",0,BV26*$B$12/4)</f>
        <v/>
      </c>
      <c r="BW29" s="64">
        <f>IF($B$13="Cash Funded",0,BW26*$B$12/4)</f>
        <v/>
      </c>
      <c r="BX29" s="64">
        <f>IF($B$13="Cash Funded",0,BX26*$B$12/4)</f>
        <v/>
      </c>
      <c r="BY29" s="64">
        <f>IF($B$13="Cash Funded",0,BY26*$B$12/4)</f>
        <v/>
      </c>
      <c r="BZ29" s="64">
        <f>IF($B$13="Cash Funded",0,BZ26*$B$12/4)</f>
        <v/>
      </c>
      <c r="CA29" s="64">
        <f>IF($B$13="Cash Funded",0,CA26*$B$12/4)</f>
        <v/>
      </c>
      <c r="CB29" s="64">
        <f>IF($B$13="Cash Funded",0,CB26*$B$12/4)</f>
        <v/>
      </c>
      <c r="CC29" s="64">
        <f>IF($B$13="Cash Funded",0,CC26*$B$12/4)</f>
        <v/>
      </c>
      <c r="CD29" s="64">
        <f>IF($B$13="Cash Funded",0,CD26*$B$12/4)</f>
        <v/>
      </c>
    </row>
    <row r="30">
      <c r="A30" t="inlineStr">
        <is>
          <t>DSRA Cash Cost ($) = funding (cash-funded) or LC fee (LC-backed)</t>
        </is>
      </c>
      <c r="C30" s="64">
        <f>C28+C29</f>
        <v/>
      </c>
      <c r="D30" s="64">
        <f>D28+D29</f>
        <v/>
      </c>
      <c r="E30" s="64">
        <f>E28+E29</f>
        <v/>
      </c>
      <c r="F30" s="64">
        <f>F28+F29</f>
        <v/>
      </c>
      <c r="G30" s="64">
        <f>G28+G29</f>
        <v/>
      </c>
      <c r="H30" s="64">
        <f>H28+H29</f>
        <v/>
      </c>
      <c r="I30" s="64">
        <f>I28+I29</f>
        <v/>
      </c>
      <c r="J30" s="64">
        <f>J28+J29</f>
        <v/>
      </c>
      <c r="K30" s="64">
        <f>K28+K29</f>
        <v/>
      </c>
      <c r="L30" s="64">
        <f>L28+L29</f>
        <v/>
      </c>
      <c r="M30" s="64">
        <f>M28+M29</f>
        <v/>
      </c>
      <c r="N30" s="64">
        <f>N28+N29</f>
        <v/>
      </c>
      <c r="O30" s="64">
        <f>O28+O29</f>
        <v/>
      </c>
      <c r="P30" s="64">
        <f>P28+P29</f>
        <v/>
      </c>
      <c r="Q30" s="64">
        <f>Q28+Q29</f>
        <v/>
      </c>
      <c r="R30" s="64">
        <f>R28+R29</f>
        <v/>
      </c>
      <c r="S30" s="64">
        <f>S28+S29</f>
        <v/>
      </c>
      <c r="T30" s="64">
        <f>T28+T29</f>
        <v/>
      </c>
      <c r="U30" s="64">
        <f>U28+U29</f>
        <v/>
      </c>
      <c r="V30" s="64">
        <f>V28+V29</f>
        <v/>
      </c>
      <c r="W30" s="64">
        <f>W28+W29</f>
        <v/>
      </c>
      <c r="X30" s="64">
        <f>X28+X29</f>
        <v/>
      </c>
      <c r="Y30" s="64">
        <f>Y28+Y29</f>
        <v/>
      </c>
      <c r="Z30" s="64">
        <f>Z28+Z29</f>
        <v/>
      </c>
      <c r="AA30" s="64">
        <f>AA28+AA29</f>
        <v/>
      </c>
      <c r="AB30" s="64">
        <f>AB28+AB29</f>
        <v/>
      </c>
      <c r="AC30" s="64">
        <f>AC28+AC29</f>
        <v/>
      </c>
      <c r="AD30" s="64">
        <f>AD28+AD29</f>
        <v/>
      </c>
      <c r="AE30" s="64">
        <f>AE28+AE29</f>
        <v/>
      </c>
      <c r="AF30" s="64">
        <f>AF28+AF29</f>
        <v/>
      </c>
      <c r="AG30" s="64">
        <f>AG28+AG29</f>
        <v/>
      </c>
      <c r="AH30" s="64">
        <f>AH28+AH29</f>
        <v/>
      </c>
      <c r="AI30" s="64">
        <f>AI28+AI29</f>
        <v/>
      </c>
      <c r="AJ30" s="64">
        <f>AJ28+AJ29</f>
        <v/>
      </c>
      <c r="AK30" s="64">
        <f>AK28+AK29</f>
        <v/>
      </c>
      <c r="AL30" s="64">
        <f>AL28+AL29</f>
        <v/>
      </c>
      <c r="AM30" s="64">
        <f>AM28+AM29</f>
        <v/>
      </c>
      <c r="AN30" s="64">
        <f>AN28+AN29</f>
        <v/>
      </c>
      <c r="AO30" s="64">
        <f>AO28+AO29</f>
        <v/>
      </c>
      <c r="AP30" s="64">
        <f>AP28+AP29</f>
        <v/>
      </c>
      <c r="AQ30" s="64">
        <f>AQ28+AQ29</f>
        <v/>
      </c>
      <c r="AR30" s="64">
        <f>AR28+AR29</f>
        <v/>
      </c>
      <c r="AS30" s="64">
        <f>AS28+AS29</f>
        <v/>
      </c>
      <c r="AT30" s="64">
        <f>AT28+AT29</f>
        <v/>
      </c>
      <c r="AU30" s="64">
        <f>AU28+AU29</f>
        <v/>
      </c>
      <c r="AV30" s="64">
        <f>AV28+AV29</f>
        <v/>
      </c>
      <c r="AW30" s="64">
        <f>AW28+AW29</f>
        <v/>
      </c>
      <c r="AX30" s="64">
        <f>AX28+AX29</f>
        <v/>
      </c>
      <c r="AY30" s="64">
        <f>AY28+AY29</f>
        <v/>
      </c>
      <c r="AZ30" s="64">
        <f>AZ28+AZ29</f>
        <v/>
      </c>
      <c r="BA30" s="64">
        <f>BA28+BA29</f>
        <v/>
      </c>
      <c r="BB30" s="64">
        <f>BB28+BB29</f>
        <v/>
      </c>
      <c r="BC30" s="64">
        <f>BC28+BC29</f>
        <v/>
      </c>
      <c r="BD30" s="64">
        <f>BD28+BD29</f>
        <v/>
      </c>
      <c r="BE30" s="64">
        <f>BE28+BE29</f>
        <v/>
      </c>
      <c r="BF30" s="64">
        <f>BF28+BF29</f>
        <v/>
      </c>
      <c r="BG30" s="64">
        <f>BG28+BG29</f>
        <v/>
      </c>
      <c r="BH30" s="64">
        <f>BH28+BH29</f>
        <v/>
      </c>
      <c r="BI30" s="64">
        <f>BI28+BI29</f>
        <v/>
      </c>
      <c r="BJ30" s="64">
        <f>BJ28+BJ29</f>
        <v/>
      </c>
      <c r="BK30" s="64">
        <f>BK28+BK29</f>
        <v/>
      </c>
      <c r="BL30" s="64">
        <f>BL28+BL29</f>
        <v/>
      </c>
      <c r="BM30" s="64">
        <f>BM28+BM29</f>
        <v/>
      </c>
      <c r="BN30" s="64">
        <f>BN28+BN29</f>
        <v/>
      </c>
      <c r="BO30" s="64">
        <f>BO28+BO29</f>
        <v/>
      </c>
      <c r="BP30" s="64">
        <f>BP28+BP29</f>
        <v/>
      </c>
      <c r="BQ30" s="64">
        <f>BQ28+BQ29</f>
        <v/>
      </c>
      <c r="BR30" s="64">
        <f>BR28+BR29</f>
        <v/>
      </c>
      <c r="BS30" s="64">
        <f>BS28+BS29</f>
        <v/>
      </c>
      <c r="BT30" s="64">
        <f>BT28+BT29</f>
        <v/>
      </c>
      <c r="BU30" s="64">
        <f>BU28+BU29</f>
        <v/>
      </c>
      <c r="BV30" s="64">
        <f>BV28+BV29</f>
        <v/>
      </c>
      <c r="BW30" s="64">
        <f>BW28+BW29</f>
        <v/>
      </c>
      <c r="BX30" s="64">
        <f>BX28+BX29</f>
        <v/>
      </c>
      <c r="BY30" s="64">
        <f>BY28+BY29</f>
        <v/>
      </c>
      <c r="BZ30" s="64">
        <f>BZ28+BZ29</f>
        <v/>
      </c>
      <c r="CA30" s="64">
        <f>CA28+CA29</f>
        <v/>
      </c>
      <c r="CB30" s="64">
        <f>CB28+CB29</f>
        <v/>
      </c>
      <c r="CC30" s="64">
        <f>CC28+CC29</f>
        <v/>
      </c>
      <c r="CD30" s="64">
        <f>CD28+CD29</f>
        <v/>
      </c>
    </row>
    <row r="32">
      <c r="A32" t="inlineStr">
        <is>
          <t>LLCR = (PV of CFADS to loan maturity + DSRA) / debt outstanding</t>
        </is>
      </c>
      <c r="C32" s="68">
        <f>IF(C23&lt;=1,0,(NPV($B$4/4,Calc_CFADS!D5:Calc_CFADS!BJ5)+C27)/C23)</f>
        <v/>
      </c>
      <c r="D32" s="68">
        <f>IF(D23&lt;=1,0,(NPV($B$4/4,Calc_CFADS!E5:Calc_CFADS!BJ5)+D27)/D23)</f>
        <v/>
      </c>
      <c r="E32" s="68">
        <f>IF(E23&lt;=1,0,(NPV($B$4/4,Calc_CFADS!F5:Calc_CFADS!BJ5)+E27)/E23)</f>
        <v/>
      </c>
      <c r="F32" s="68">
        <f>IF(F23&lt;=1,0,(NPV($B$4/4,Calc_CFADS!G5:Calc_CFADS!BJ5)+F27)/F23)</f>
        <v/>
      </c>
      <c r="G32" s="68">
        <f>IF(G23&lt;=1,0,(NPV($B$4/4,Calc_CFADS!H5:Calc_CFADS!BJ5)+G27)/G23)</f>
        <v/>
      </c>
      <c r="H32" s="68">
        <f>IF(H23&lt;=1,0,(NPV($B$4/4,Calc_CFADS!I5:Calc_CFADS!BJ5)+H27)/H23)</f>
        <v/>
      </c>
      <c r="I32" s="68">
        <f>IF(I23&lt;=1,0,(NPV($B$4/4,Calc_CFADS!J5:Calc_CFADS!BJ5)+I27)/I23)</f>
        <v/>
      </c>
      <c r="J32" s="68">
        <f>IF(J23&lt;=1,0,(NPV($B$4/4,Calc_CFADS!K5:Calc_CFADS!BJ5)+J27)/J23)</f>
        <v/>
      </c>
      <c r="K32" s="68">
        <f>IF(K23&lt;=1,0,(NPV($B$4/4,Calc_CFADS!L5:Calc_CFADS!BJ5)+K27)/K23)</f>
        <v/>
      </c>
      <c r="L32" s="68">
        <f>IF(L23&lt;=1,0,(NPV($B$4/4,Calc_CFADS!M5:Calc_CFADS!BJ5)+L27)/L23)</f>
        <v/>
      </c>
      <c r="M32" s="68">
        <f>IF(M23&lt;=1,0,(NPV($B$4/4,Calc_CFADS!N5:Calc_CFADS!BJ5)+M27)/M23)</f>
        <v/>
      </c>
      <c r="N32" s="68">
        <f>IF(N23&lt;=1,0,(NPV($B$4/4,Calc_CFADS!O5:Calc_CFADS!BJ5)+N27)/N23)</f>
        <v/>
      </c>
      <c r="O32" s="68">
        <f>IF(O23&lt;=1,0,(NPV($B$4/4,Calc_CFADS!P5:Calc_CFADS!BJ5)+O27)/O23)</f>
        <v/>
      </c>
      <c r="P32" s="68">
        <f>IF(P23&lt;=1,0,(NPV($B$4/4,Calc_CFADS!Q5:Calc_CFADS!BJ5)+P27)/P23)</f>
        <v/>
      </c>
      <c r="Q32" s="68">
        <f>IF(Q23&lt;=1,0,(NPV($B$4/4,Calc_CFADS!R5:Calc_CFADS!BJ5)+Q27)/Q23)</f>
        <v/>
      </c>
      <c r="R32" s="68">
        <f>IF(R23&lt;=1,0,(NPV($B$4/4,Calc_CFADS!S5:Calc_CFADS!BJ5)+R27)/R23)</f>
        <v/>
      </c>
      <c r="S32" s="68">
        <f>IF(S23&lt;=1,0,(NPV($B$4/4,Calc_CFADS!T5:Calc_CFADS!BJ5)+S27)/S23)</f>
        <v/>
      </c>
      <c r="T32" s="68">
        <f>IF(T23&lt;=1,0,(NPV($B$4/4,Calc_CFADS!U5:Calc_CFADS!BJ5)+T27)/T23)</f>
        <v/>
      </c>
      <c r="U32" s="68">
        <f>IF(U23&lt;=1,0,(NPV($B$4/4,Calc_CFADS!V5:Calc_CFADS!BJ5)+U27)/U23)</f>
        <v/>
      </c>
      <c r="V32" s="68">
        <f>IF(V23&lt;=1,0,(NPV($B$4/4,Calc_CFADS!W5:Calc_CFADS!BJ5)+V27)/V23)</f>
        <v/>
      </c>
      <c r="W32" s="68">
        <f>IF(W23&lt;=1,0,(NPV($B$4/4,Calc_CFADS!X5:Calc_CFADS!BJ5)+W27)/W23)</f>
        <v/>
      </c>
      <c r="X32" s="68">
        <f>IF(X23&lt;=1,0,(NPV($B$4/4,Calc_CFADS!Y5:Calc_CFADS!BJ5)+X27)/X23)</f>
        <v/>
      </c>
      <c r="Y32" s="68">
        <f>IF(Y23&lt;=1,0,(NPV($B$4/4,Calc_CFADS!Z5:Calc_CFADS!BJ5)+Y27)/Y23)</f>
        <v/>
      </c>
      <c r="Z32" s="68">
        <f>IF(Z23&lt;=1,0,(NPV($B$4/4,Calc_CFADS!AA5:Calc_CFADS!BJ5)+Z27)/Z23)</f>
        <v/>
      </c>
      <c r="AA32" s="68">
        <f>IF(AA23&lt;=1,0,(NPV($B$4/4,Calc_CFADS!AB5:Calc_CFADS!BJ5)+AA27)/AA23)</f>
        <v/>
      </c>
      <c r="AB32" s="68">
        <f>IF(AB23&lt;=1,0,(NPV($B$4/4,Calc_CFADS!AC5:Calc_CFADS!BJ5)+AB27)/AB23)</f>
        <v/>
      </c>
      <c r="AC32" s="68">
        <f>IF(AC23&lt;=1,0,(NPV($B$4/4,Calc_CFADS!AD5:Calc_CFADS!BJ5)+AC27)/AC23)</f>
        <v/>
      </c>
      <c r="AD32" s="68">
        <f>IF(AD23&lt;=1,0,(NPV($B$4/4,Calc_CFADS!AE5:Calc_CFADS!BJ5)+AD27)/AD23)</f>
        <v/>
      </c>
      <c r="AE32" s="68">
        <f>IF(AE23&lt;=1,0,(NPV($B$4/4,Calc_CFADS!AF5:Calc_CFADS!BJ5)+AE27)/AE23)</f>
        <v/>
      </c>
      <c r="AF32" s="68">
        <f>IF(AF23&lt;=1,0,(NPV($B$4/4,Calc_CFADS!AG5:Calc_CFADS!BJ5)+AF27)/AF23)</f>
        <v/>
      </c>
      <c r="AG32" s="68">
        <f>IF(AG23&lt;=1,0,(NPV($B$4/4,Calc_CFADS!AH5:Calc_CFADS!BJ5)+AG27)/AG23)</f>
        <v/>
      </c>
      <c r="AH32" s="68">
        <f>IF(AH23&lt;=1,0,(NPV($B$4/4,Calc_CFADS!AI5:Calc_CFADS!BJ5)+AH27)/AH23)</f>
        <v/>
      </c>
      <c r="AI32" s="68">
        <f>IF(AI23&lt;=1,0,(NPV($B$4/4,Calc_CFADS!AJ5:Calc_CFADS!BJ5)+AI27)/AI23)</f>
        <v/>
      </c>
      <c r="AJ32" s="68">
        <f>IF(AJ23&lt;=1,0,(NPV($B$4/4,Calc_CFADS!AK5:Calc_CFADS!BJ5)+AJ27)/AJ23)</f>
        <v/>
      </c>
      <c r="AK32" s="68">
        <f>IF(AK23&lt;=1,0,(NPV($B$4/4,Calc_CFADS!AL5:Calc_CFADS!BJ5)+AK27)/AK23)</f>
        <v/>
      </c>
      <c r="AL32" s="68">
        <f>IF(AL23&lt;=1,0,(NPV($B$4/4,Calc_CFADS!AM5:Calc_CFADS!BJ5)+AL27)/AL23)</f>
        <v/>
      </c>
      <c r="AM32" s="68">
        <f>IF(AM23&lt;=1,0,(NPV($B$4/4,Calc_CFADS!AN5:Calc_CFADS!BJ5)+AM27)/AM23)</f>
        <v/>
      </c>
      <c r="AN32" s="68">
        <f>IF(AN23&lt;=1,0,(NPV($B$4/4,Calc_CFADS!AO5:Calc_CFADS!BJ5)+AN27)/AN23)</f>
        <v/>
      </c>
      <c r="AO32" s="68">
        <f>IF(AO23&lt;=1,0,(NPV($B$4/4,Calc_CFADS!AP5:Calc_CFADS!BJ5)+AO27)/AO23)</f>
        <v/>
      </c>
      <c r="AP32" s="68">
        <f>IF(AP23&lt;=1,0,(NPV($B$4/4,Calc_CFADS!AQ5:Calc_CFADS!BJ5)+AP27)/AP23)</f>
        <v/>
      </c>
      <c r="AQ32" s="68">
        <f>IF(AQ23&lt;=1,0,(NPV($B$4/4,Calc_CFADS!AR5:Calc_CFADS!BJ5)+AQ27)/AQ23)</f>
        <v/>
      </c>
      <c r="AR32" s="68">
        <f>IF(AR23&lt;=1,0,(NPV($B$4/4,Calc_CFADS!AS5:Calc_CFADS!BJ5)+AR27)/AR23)</f>
        <v/>
      </c>
      <c r="AS32" s="68">
        <f>IF(AS23&lt;=1,0,(NPV($B$4/4,Calc_CFADS!AT5:Calc_CFADS!BJ5)+AS27)/AS23)</f>
        <v/>
      </c>
      <c r="AT32" s="68">
        <f>IF(AT23&lt;=1,0,(NPV($B$4/4,Calc_CFADS!AU5:Calc_CFADS!BJ5)+AT27)/AT23)</f>
        <v/>
      </c>
      <c r="AU32" s="68">
        <f>IF(AU23&lt;=1,0,(NPV($B$4/4,Calc_CFADS!AV5:Calc_CFADS!BJ5)+AU27)/AU23)</f>
        <v/>
      </c>
      <c r="AV32" s="68">
        <f>IF(AV23&lt;=1,0,(NPV($B$4/4,Calc_CFADS!AW5:Calc_CFADS!BJ5)+AV27)/AV23)</f>
        <v/>
      </c>
      <c r="AW32" s="68">
        <f>IF(AW23&lt;=1,0,(NPV($B$4/4,Calc_CFADS!AX5:Calc_CFADS!BJ5)+AW27)/AW23)</f>
        <v/>
      </c>
      <c r="AX32" s="68">
        <f>IF(AX23&lt;=1,0,(NPV($B$4/4,Calc_CFADS!AY5:Calc_CFADS!BJ5)+AX27)/AX23)</f>
        <v/>
      </c>
      <c r="AY32" s="68">
        <f>IF(AY23&lt;=1,0,(NPV($B$4/4,Calc_CFADS!AZ5:Calc_CFADS!BJ5)+AY27)/AY23)</f>
        <v/>
      </c>
      <c r="AZ32" s="68">
        <f>IF(AZ23&lt;=1,0,(NPV($B$4/4,Calc_CFADS!BA5:Calc_CFADS!BJ5)+AZ27)/AZ23)</f>
        <v/>
      </c>
      <c r="BA32" s="68">
        <f>IF(BA23&lt;=1,0,(NPV($B$4/4,Calc_CFADS!BB5:Calc_CFADS!BJ5)+BA27)/BA23)</f>
        <v/>
      </c>
      <c r="BB32" s="68">
        <f>IF(BB23&lt;=1,0,(NPV($B$4/4,Calc_CFADS!BC5:Calc_CFADS!BJ5)+BB27)/BB23)</f>
        <v/>
      </c>
      <c r="BC32" s="68">
        <f>IF(BC23&lt;=1,0,(NPV($B$4/4,Calc_CFADS!BD5:Calc_CFADS!BJ5)+BC27)/BC23)</f>
        <v/>
      </c>
      <c r="BD32" s="68">
        <f>IF(BD23&lt;=1,0,(NPV($B$4/4,Calc_CFADS!BE5:Calc_CFADS!BJ5)+BD27)/BD23)</f>
        <v/>
      </c>
      <c r="BE32" s="68">
        <f>IF(BE23&lt;=1,0,(NPV($B$4/4,Calc_CFADS!BF5:Calc_CFADS!BJ5)+BE27)/BE23)</f>
        <v/>
      </c>
      <c r="BF32" s="68">
        <f>IF(BF23&lt;=1,0,(NPV($B$4/4,Calc_CFADS!BG5:Calc_CFADS!BJ5)+BF27)/BF23)</f>
        <v/>
      </c>
      <c r="BG32" s="68">
        <f>IF(BG23&lt;=1,0,(NPV($B$4/4,Calc_CFADS!BH5:Calc_CFADS!BJ5)+BG27)/BG23)</f>
        <v/>
      </c>
      <c r="BH32" s="68">
        <f>IF(BH23&lt;=1,0,(NPV($B$4/4,Calc_CFADS!BI5:Calc_CFADS!BJ5)+BH27)/BH23)</f>
        <v/>
      </c>
      <c r="BI32" s="68">
        <f>IF(BI23&lt;=1,0,(NPV($B$4/4,Calc_CFADS!BJ5:Calc_CFADS!BJ5)+BI27)/BI23)</f>
        <v/>
      </c>
      <c r="BJ32" s="68">
        <f>0</f>
        <v/>
      </c>
      <c r="BK32" s="68">
        <f>0</f>
        <v/>
      </c>
      <c r="BL32" s="68">
        <f>0</f>
        <v/>
      </c>
      <c r="BM32" s="68">
        <f>0</f>
        <v/>
      </c>
      <c r="BN32" s="68">
        <f>0</f>
        <v/>
      </c>
      <c r="BO32" s="68">
        <f>0</f>
        <v/>
      </c>
      <c r="BP32" s="68">
        <f>0</f>
        <v/>
      </c>
      <c r="BQ32" s="68">
        <f>0</f>
        <v/>
      </c>
      <c r="BR32" s="68">
        <f>0</f>
        <v/>
      </c>
      <c r="BS32" s="68">
        <f>0</f>
        <v/>
      </c>
      <c r="BT32" s="68">
        <f>0</f>
        <v/>
      </c>
      <c r="BU32" s="68">
        <f>0</f>
        <v/>
      </c>
      <c r="BV32" s="68">
        <f>0</f>
        <v/>
      </c>
      <c r="BW32" s="68">
        <f>0</f>
        <v/>
      </c>
      <c r="BX32" s="68">
        <f>0</f>
        <v/>
      </c>
      <c r="BY32" s="68">
        <f>0</f>
        <v/>
      </c>
      <c r="BZ32" s="68">
        <f>0</f>
        <v/>
      </c>
      <c r="CA32" s="68">
        <f>0</f>
        <v/>
      </c>
      <c r="CB32" s="68">
        <f>0</f>
        <v/>
      </c>
      <c r="CC32" s="68">
        <f>0</f>
        <v/>
      </c>
      <c r="CD32" s="68">
        <f>0</f>
        <v/>
      </c>
    </row>
    <row r="33">
      <c r="A33" t="inlineStr">
        <is>
          <t>PLCR = (PV of CFADS to end of project life + DSRA) / debt outstanding</t>
        </is>
      </c>
      <c r="C33" s="68">
        <f>IF(C23&lt;=1,0,(NPV($B$4/4,Calc_CFADS!D5:Calc_CFADS!CD5)+C27)/C23)</f>
        <v/>
      </c>
      <c r="D33" s="68">
        <f>IF(D23&lt;=1,0,(NPV($B$4/4,Calc_CFADS!E5:Calc_CFADS!CD5)+D27)/D23)</f>
        <v/>
      </c>
      <c r="E33" s="68">
        <f>IF(E23&lt;=1,0,(NPV($B$4/4,Calc_CFADS!F5:Calc_CFADS!CD5)+E27)/E23)</f>
        <v/>
      </c>
      <c r="F33" s="68">
        <f>IF(F23&lt;=1,0,(NPV($B$4/4,Calc_CFADS!G5:Calc_CFADS!CD5)+F27)/F23)</f>
        <v/>
      </c>
      <c r="G33" s="68">
        <f>IF(G23&lt;=1,0,(NPV($B$4/4,Calc_CFADS!H5:Calc_CFADS!CD5)+G27)/G23)</f>
        <v/>
      </c>
      <c r="H33" s="68">
        <f>IF(H23&lt;=1,0,(NPV($B$4/4,Calc_CFADS!I5:Calc_CFADS!CD5)+H27)/H23)</f>
        <v/>
      </c>
      <c r="I33" s="68">
        <f>IF(I23&lt;=1,0,(NPV($B$4/4,Calc_CFADS!J5:Calc_CFADS!CD5)+I27)/I23)</f>
        <v/>
      </c>
      <c r="J33" s="68">
        <f>IF(J23&lt;=1,0,(NPV($B$4/4,Calc_CFADS!K5:Calc_CFADS!CD5)+J27)/J23)</f>
        <v/>
      </c>
      <c r="K33" s="68">
        <f>IF(K23&lt;=1,0,(NPV($B$4/4,Calc_CFADS!L5:Calc_CFADS!CD5)+K27)/K23)</f>
        <v/>
      </c>
      <c r="L33" s="68">
        <f>IF(L23&lt;=1,0,(NPV($B$4/4,Calc_CFADS!M5:Calc_CFADS!CD5)+L27)/L23)</f>
        <v/>
      </c>
      <c r="M33" s="68">
        <f>IF(M23&lt;=1,0,(NPV($B$4/4,Calc_CFADS!N5:Calc_CFADS!CD5)+M27)/M23)</f>
        <v/>
      </c>
      <c r="N33" s="68">
        <f>IF(N23&lt;=1,0,(NPV($B$4/4,Calc_CFADS!O5:Calc_CFADS!CD5)+N27)/N23)</f>
        <v/>
      </c>
      <c r="O33" s="68">
        <f>IF(O23&lt;=1,0,(NPV($B$4/4,Calc_CFADS!P5:Calc_CFADS!CD5)+O27)/O23)</f>
        <v/>
      </c>
      <c r="P33" s="68">
        <f>IF(P23&lt;=1,0,(NPV($B$4/4,Calc_CFADS!Q5:Calc_CFADS!CD5)+P27)/P23)</f>
        <v/>
      </c>
      <c r="Q33" s="68">
        <f>IF(Q23&lt;=1,0,(NPV($B$4/4,Calc_CFADS!R5:Calc_CFADS!CD5)+Q27)/Q23)</f>
        <v/>
      </c>
      <c r="R33" s="68">
        <f>IF(R23&lt;=1,0,(NPV($B$4/4,Calc_CFADS!S5:Calc_CFADS!CD5)+R27)/R23)</f>
        <v/>
      </c>
      <c r="S33" s="68">
        <f>IF(S23&lt;=1,0,(NPV($B$4/4,Calc_CFADS!T5:Calc_CFADS!CD5)+S27)/S23)</f>
        <v/>
      </c>
      <c r="T33" s="68">
        <f>IF(T23&lt;=1,0,(NPV($B$4/4,Calc_CFADS!U5:Calc_CFADS!CD5)+T27)/T23)</f>
        <v/>
      </c>
      <c r="U33" s="68">
        <f>IF(U23&lt;=1,0,(NPV($B$4/4,Calc_CFADS!V5:Calc_CFADS!CD5)+U27)/U23)</f>
        <v/>
      </c>
      <c r="V33" s="68">
        <f>IF(V23&lt;=1,0,(NPV($B$4/4,Calc_CFADS!W5:Calc_CFADS!CD5)+V27)/V23)</f>
        <v/>
      </c>
      <c r="W33" s="68">
        <f>IF(W23&lt;=1,0,(NPV($B$4/4,Calc_CFADS!X5:Calc_CFADS!CD5)+W27)/W23)</f>
        <v/>
      </c>
      <c r="X33" s="68">
        <f>IF(X23&lt;=1,0,(NPV($B$4/4,Calc_CFADS!Y5:Calc_CFADS!CD5)+X27)/X23)</f>
        <v/>
      </c>
      <c r="Y33" s="68">
        <f>IF(Y23&lt;=1,0,(NPV($B$4/4,Calc_CFADS!Z5:Calc_CFADS!CD5)+Y27)/Y23)</f>
        <v/>
      </c>
      <c r="Z33" s="68">
        <f>IF(Z23&lt;=1,0,(NPV($B$4/4,Calc_CFADS!AA5:Calc_CFADS!CD5)+Z27)/Z23)</f>
        <v/>
      </c>
      <c r="AA33" s="68">
        <f>IF(AA23&lt;=1,0,(NPV($B$4/4,Calc_CFADS!AB5:Calc_CFADS!CD5)+AA27)/AA23)</f>
        <v/>
      </c>
      <c r="AB33" s="68">
        <f>IF(AB23&lt;=1,0,(NPV($B$4/4,Calc_CFADS!AC5:Calc_CFADS!CD5)+AB27)/AB23)</f>
        <v/>
      </c>
      <c r="AC33" s="68">
        <f>IF(AC23&lt;=1,0,(NPV($B$4/4,Calc_CFADS!AD5:Calc_CFADS!CD5)+AC27)/AC23)</f>
        <v/>
      </c>
      <c r="AD33" s="68">
        <f>IF(AD23&lt;=1,0,(NPV($B$4/4,Calc_CFADS!AE5:Calc_CFADS!CD5)+AD27)/AD23)</f>
        <v/>
      </c>
      <c r="AE33" s="68">
        <f>IF(AE23&lt;=1,0,(NPV($B$4/4,Calc_CFADS!AF5:Calc_CFADS!CD5)+AE27)/AE23)</f>
        <v/>
      </c>
      <c r="AF33" s="68">
        <f>IF(AF23&lt;=1,0,(NPV($B$4/4,Calc_CFADS!AG5:Calc_CFADS!CD5)+AF27)/AF23)</f>
        <v/>
      </c>
      <c r="AG33" s="68">
        <f>IF(AG23&lt;=1,0,(NPV($B$4/4,Calc_CFADS!AH5:Calc_CFADS!CD5)+AG27)/AG23)</f>
        <v/>
      </c>
      <c r="AH33" s="68">
        <f>IF(AH23&lt;=1,0,(NPV($B$4/4,Calc_CFADS!AI5:Calc_CFADS!CD5)+AH27)/AH23)</f>
        <v/>
      </c>
      <c r="AI33" s="68">
        <f>IF(AI23&lt;=1,0,(NPV($B$4/4,Calc_CFADS!AJ5:Calc_CFADS!CD5)+AI27)/AI23)</f>
        <v/>
      </c>
      <c r="AJ33" s="68">
        <f>IF(AJ23&lt;=1,0,(NPV($B$4/4,Calc_CFADS!AK5:Calc_CFADS!CD5)+AJ27)/AJ23)</f>
        <v/>
      </c>
      <c r="AK33" s="68">
        <f>IF(AK23&lt;=1,0,(NPV($B$4/4,Calc_CFADS!AL5:Calc_CFADS!CD5)+AK27)/AK23)</f>
        <v/>
      </c>
      <c r="AL33" s="68">
        <f>IF(AL23&lt;=1,0,(NPV($B$4/4,Calc_CFADS!AM5:Calc_CFADS!CD5)+AL27)/AL23)</f>
        <v/>
      </c>
      <c r="AM33" s="68">
        <f>IF(AM23&lt;=1,0,(NPV($B$4/4,Calc_CFADS!AN5:Calc_CFADS!CD5)+AM27)/AM23)</f>
        <v/>
      </c>
      <c r="AN33" s="68">
        <f>IF(AN23&lt;=1,0,(NPV($B$4/4,Calc_CFADS!AO5:Calc_CFADS!CD5)+AN27)/AN23)</f>
        <v/>
      </c>
      <c r="AO33" s="68">
        <f>IF(AO23&lt;=1,0,(NPV($B$4/4,Calc_CFADS!AP5:Calc_CFADS!CD5)+AO27)/AO23)</f>
        <v/>
      </c>
      <c r="AP33" s="68">
        <f>IF(AP23&lt;=1,0,(NPV($B$4/4,Calc_CFADS!AQ5:Calc_CFADS!CD5)+AP27)/AP23)</f>
        <v/>
      </c>
      <c r="AQ33" s="68">
        <f>IF(AQ23&lt;=1,0,(NPV($B$4/4,Calc_CFADS!AR5:Calc_CFADS!CD5)+AQ27)/AQ23)</f>
        <v/>
      </c>
      <c r="AR33" s="68">
        <f>IF(AR23&lt;=1,0,(NPV($B$4/4,Calc_CFADS!AS5:Calc_CFADS!CD5)+AR27)/AR23)</f>
        <v/>
      </c>
      <c r="AS33" s="68">
        <f>IF(AS23&lt;=1,0,(NPV($B$4/4,Calc_CFADS!AT5:Calc_CFADS!CD5)+AS27)/AS23)</f>
        <v/>
      </c>
      <c r="AT33" s="68">
        <f>IF(AT23&lt;=1,0,(NPV($B$4/4,Calc_CFADS!AU5:Calc_CFADS!CD5)+AT27)/AT23)</f>
        <v/>
      </c>
      <c r="AU33" s="68">
        <f>IF(AU23&lt;=1,0,(NPV($B$4/4,Calc_CFADS!AV5:Calc_CFADS!CD5)+AU27)/AU23)</f>
        <v/>
      </c>
      <c r="AV33" s="68">
        <f>IF(AV23&lt;=1,0,(NPV($B$4/4,Calc_CFADS!AW5:Calc_CFADS!CD5)+AV27)/AV23)</f>
        <v/>
      </c>
      <c r="AW33" s="68">
        <f>IF(AW23&lt;=1,0,(NPV($B$4/4,Calc_CFADS!AX5:Calc_CFADS!CD5)+AW27)/AW23)</f>
        <v/>
      </c>
      <c r="AX33" s="68">
        <f>IF(AX23&lt;=1,0,(NPV($B$4/4,Calc_CFADS!AY5:Calc_CFADS!CD5)+AX27)/AX23)</f>
        <v/>
      </c>
      <c r="AY33" s="68">
        <f>IF(AY23&lt;=1,0,(NPV($B$4/4,Calc_CFADS!AZ5:Calc_CFADS!CD5)+AY27)/AY23)</f>
        <v/>
      </c>
      <c r="AZ33" s="68">
        <f>IF(AZ23&lt;=1,0,(NPV($B$4/4,Calc_CFADS!BA5:Calc_CFADS!CD5)+AZ27)/AZ23)</f>
        <v/>
      </c>
      <c r="BA33" s="68">
        <f>IF(BA23&lt;=1,0,(NPV($B$4/4,Calc_CFADS!BB5:Calc_CFADS!CD5)+BA27)/BA23)</f>
        <v/>
      </c>
      <c r="BB33" s="68">
        <f>IF(BB23&lt;=1,0,(NPV($B$4/4,Calc_CFADS!BC5:Calc_CFADS!CD5)+BB27)/BB23)</f>
        <v/>
      </c>
      <c r="BC33" s="68">
        <f>IF(BC23&lt;=1,0,(NPV($B$4/4,Calc_CFADS!BD5:Calc_CFADS!CD5)+BC27)/BC23)</f>
        <v/>
      </c>
      <c r="BD33" s="68">
        <f>IF(BD23&lt;=1,0,(NPV($B$4/4,Calc_CFADS!BE5:Calc_CFADS!CD5)+BD27)/BD23)</f>
        <v/>
      </c>
      <c r="BE33" s="68">
        <f>IF(BE23&lt;=1,0,(NPV($B$4/4,Calc_CFADS!BF5:Calc_CFADS!CD5)+BE27)/BE23)</f>
        <v/>
      </c>
      <c r="BF33" s="68">
        <f>IF(BF23&lt;=1,0,(NPV($B$4/4,Calc_CFADS!BG5:Calc_CFADS!CD5)+BF27)/BF23)</f>
        <v/>
      </c>
      <c r="BG33" s="68">
        <f>IF(BG23&lt;=1,0,(NPV($B$4/4,Calc_CFADS!BH5:Calc_CFADS!CD5)+BG27)/BG23)</f>
        <v/>
      </c>
      <c r="BH33" s="68">
        <f>IF(BH23&lt;=1,0,(NPV($B$4/4,Calc_CFADS!BI5:Calc_CFADS!CD5)+BH27)/BH23)</f>
        <v/>
      </c>
      <c r="BI33" s="68">
        <f>IF(BI23&lt;=1,0,(NPV($B$4/4,Calc_CFADS!BJ5:Calc_CFADS!CD5)+BI27)/BI23)</f>
        <v/>
      </c>
      <c r="BJ33" s="68">
        <f>IF(BJ23&lt;=1,0,(NPV($B$4/4,Calc_CFADS!BK5:Calc_CFADS!CD5)+BJ27)/BJ23)</f>
        <v/>
      </c>
      <c r="BK33" s="68">
        <f>IF(BK23&lt;=1,0,(NPV($B$4/4,Calc_CFADS!BL5:Calc_CFADS!CD5)+BK27)/BK23)</f>
        <v/>
      </c>
      <c r="BL33" s="68">
        <f>IF(BL23&lt;=1,0,(NPV($B$4/4,Calc_CFADS!BM5:Calc_CFADS!CD5)+BL27)/BL23)</f>
        <v/>
      </c>
      <c r="BM33" s="68">
        <f>IF(BM23&lt;=1,0,(NPV($B$4/4,Calc_CFADS!BN5:Calc_CFADS!CD5)+BM27)/BM23)</f>
        <v/>
      </c>
      <c r="BN33" s="68">
        <f>IF(BN23&lt;=1,0,(NPV($B$4/4,Calc_CFADS!BO5:Calc_CFADS!CD5)+BN27)/BN23)</f>
        <v/>
      </c>
      <c r="BO33" s="68">
        <f>IF(BO23&lt;=1,0,(NPV($B$4/4,Calc_CFADS!BP5:Calc_CFADS!CD5)+BO27)/BO23)</f>
        <v/>
      </c>
      <c r="BP33" s="68">
        <f>IF(BP23&lt;=1,0,(NPV($B$4/4,Calc_CFADS!BQ5:Calc_CFADS!CD5)+BP27)/BP23)</f>
        <v/>
      </c>
      <c r="BQ33" s="68">
        <f>IF(BQ23&lt;=1,0,(NPV($B$4/4,Calc_CFADS!BR5:Calc_CFADS!CD5)+BQ27)/BQ23)</f>
        <v/>
      </c>
      <c r="BR33" s="68">
        <f>IF(BR23&lt;=1,0,(NPV($B$4/4,Calc_CFADS!BS5:Calc_CFADS!CD5)+BR27)/BR23)</f>
        <v/>
      </c>
      <c r="BS33" s="68">
        <f>IF(BS23&lt;=1,0,(NPV($B$4/4,Calc_CFADS!BT5:Calc_CFADS!CD5)+BS27)/BS23)</f>
        <v/>
      </c>
      <c r="BT33" s="68">
        <f>IF(BT23&lt;=1,0,(NPV($B$4/4,Calc_CFADS!BU5:Calc_CFADS!CD5)+BT27)/BT23)</f>
        <v/>
      </c>
      <c r="BU33" s="68">
        <f>IF(BU23&lt;=1,0,(NPV($B$4/4,Calc_CFADS!BV5:Calc_CFADS!CD5)+BU27)/BU23)</f>
        <v/>
      </c>
      <c r="BV33" s="68">
        <f>IF(BV23&lt;=1,0,(NPV($B$4/4,Calc_CFADS!BW5:Calc_CFADS!CD5)+BV27)/BV23)</f>
        <v/>
      </c>
      <c r="BW33" s="68">
        <f>IF(BW23&lt;=1,0,(NPV($B$4/4,Calc_CFADS!BX5:Calc_CFADS!CD5)+BW27)/BW23)</f>
        <v/>
      </c>
      <c r="BX33" s="68">
        <f>IF(BX23&lt;=1,0,(NPV($B$4/4,Calc_CFADS!BY5:Calc_CFADS!CD5)+BX27)/BX23)</f>
        <v/>
      </c>
      <c r="BY33" s="68">
        <f>IF(BY23&lt;=1,0,(NPV($B$4/4,Calc_CFADS!BZ5:Calc_CFADS!CD5)+BY27)/BY23)</f>
        <v/>
      </c>
      <c r="BZ33" s="68">
        <f>IF(BZ23&lt;=1,0,(NPV($B$4/4,Calc_CFADS!CA5:Calc_CFADS!CD5)+BZ27)/BZ23)</f>
        <v/>
      </c>
      <c r="CA33" s="68">
        <f>IF(CA23&lt;=1,0,(NPV($B$4/4,Calc_CFADS!CB5:Calc_CFADS!CD5)+CA27)/CA23)</f>
        <v/>
      </c>
      <c r="CB33" s="68">
        <f>IF(CB23&lt;=1,0,(NPV($B$4/4,Calc_CFADS!CC5:Calc_CFADS!CD5)+CB27)/CB23)</f>
        <v/>
      </c>
      <c r="CC33" s="68">
        <f>IF(CC23&lt;=1,0,(NPV($B$4/4,Calc_CFADS!CD5:Calc_CFADS!CD5)+CC27)/CC23)</f>
        <v/>
      </c>
      <c r="CD33" s="68">
        <f>0</f>
        <v/>
      </c>
    </row>
    <row r="34"/>
    <row r="36">
      <c r="A36" s="41" t="inlineStr">
        <is>
          <t>Checks</t>
        </is>
      </c>
    </row>
    <row r="37">
      <c r="A37" t="inlineStr">
        <is>
          <t>Check: Closing Balance = 0 at Debt Tenor End</t>
        </is>
      </c>
      <c r="CD37" s="69">
        <f>IF(ABS(BJ23)&lt;=MAX(Cover!$B$6,C18*0.00001),1,0)</f>
        <v/>
      </c>
    </row>
    <row r="38">
      <c r="A38" t="inlineStr">
        <is>
          <t>Check: Debt Sizing Converged (Loop 2)</t>
        </is>
      </c>
      <c r="CD38" s="69">
        <f>IF($B$3&lt;&gt;"DSCR Sculpted",1,IF(ABS($B$10)&lt;=Cover!$B$6,1,0))</f>
        <v/>
      </c>
    </row>
    <row r="39">
      <c r="A39" t="inlineStr">
        <is>
          <t>Check: Min DSCR over tenor &gt;= Target DSCR</t>
        </is>
      </c>
      <c r="CD39" s="69">
        <f>IF(MIN(C24:BJ24)&gt;=$B$5-0.001,1,0)</f>
        <v/>
      </c>
    </row>
    <row r="40">
      <c r="A40" t="inlineStr">
        <is>
          <t>Informational: # quarters principal floored at zero</t>
        </is>
      </c>
      <c r="CD40" s="69">
        <f>SUMPRODUCT(--(C20:BJ20&lt;C19:BJ19))</f>
        <v/>
      </c>
    </row>
    <row r="41">
      <c r="A41" t="inlineStr">
        <is>
          <t>Informational: debt sizing capped by Max Gearing (1 = capped)</t>
        </is>
      </c>
      <c r="CD41" s="69">
        <f>IF(NPV($B$4/4,C20:BJ20)&gt;$B$6*Calc_Capex!$Z$17,1,0)</f>
        <v/>
      </c>
    </row>
    <row r="42">
      <c r="A42" t="inlineStr">
        <is>
          <t>Check: PLCR &gt;= LLCR in every quarter</t>
        </is>
      </c>
      <c r="CD42" s="69">
        <f>IF(SUMPRODUCT(--(C32:CD32&gt;C33:CD33+0.000001))=0,1,0)</f>
        <v/>
      </c>
    </row>
    <row r="43">
      <c r="A43" t="inlineStr">
        <is>
          <t>Check: LLCR &gt;= 1.00 wherever debt is outstanding</t>
        </is>
      </c>
      <c r="CD43" s="69">
        <f>IF(SUMPRODUCT((C32:CD32&gt;0)*(C32:CD32&lt;1))=0,1,0)</f>
        <v/>
      </c>
    </row>
  </sheetData>
  <pageMargins left="0.75" right="0.75" top="1" bottom="1" header="0.5" footer="0.5"/>
</worksheet>
</file>

<file path=xl/worksheets/sheet11.xml><?xml version="1.0" encoding="utf-8"?>
<worksheet xmlns="http://schemas.openxmlformats.org/spreadsheetml/2006/main">
  <sheetPr>
    <tabColor rgb="00808080"/>
    <outlinePr summaryBelow="1" summaryRight="1"/>
    <pageSetUpPr/>
  </sheetPr>
  <dimension ref="A1:CD23"/>
  <sheetViews>
    <sheetView workbookViewId="0">
      <pane xSplit="2" ySplit="17" topLeftCell="C18" activePane="bottomRight" state="frozen"/>
      <selection pane="topRight"/>
      <selection pane="bottomLeft"/>
      <selection pane="bottomRight" activeCell="A1" sqref="A1"/>
    </sheetView>
  </sheetViews>
  <sheetFormatPr baseColWidth="8" defaultRowHeight="15"/>
  <cols>
    <col width="58" customWidth="1" min="1" max="1"/>
  </cols>
  <sheetData>
    <row r="1">
      <c r="A1" s="59" t="inlineStr">
        <is>
          <t>Calc_CFADS — Quarterly Cash Waterfall (DSRA cash cost, MRA, maintenance capex)</t>
        </is>
      </c>
    </row>
    <row r="2">
      <c r="A2" t="inlineStr">
        <is>
          <t>Period End Date</t>
        </is>
      </c>
      <c r="C2" s="16" t="n">
        <v>47208</v>
      </c>
      <c r="D2" s="16" t="n">
        <v>47299</v>
      </c>
      <c r="E2" s="16" t="n">
        <v>47391</v>
      </c>
      <c r="F2" s="16" t="n">
        <v>47483</v>
      </c>
      <c r="G2" s="16" t="n">
        <v>47573</v>
      </c>
      <c r="H2" s="16" t="n">
        <v>47664</v>
      </c>
      <c r="I2" s="16" t="n">
        <v>47756</v>
      </c>
      <c r="J2" s="16" t="n">
        <v>47848</v>
      </c>
      <c r="K2" s="16" t="n">
        <v>47938</v>
      </c>
      <c r="L2" s="16" t="n">
        <v>48029</v>
      </c>
      <c r="M2" s="16" t="n">
        <v>48121</v>
      </c>
      <c r="N2" s="16" t="n">
        <v>48213</v>
      </c>
      <c r="O2" s="16" t="n">
        <v>48304</v>
      </c>
      <c r="P2" s="16" t="n">
        <v>48395</v>
      </c>
      <c r="Q2" s="16" t="n">
        <v>48487</v>
      </c>
      <c r="R2" s="16" t="n">
        <v>48579</v>
      </c>
      <c r="S2" s="16" t="n">
        <v>48669</v>
      </c>
      <c r="T2" s="16" t="n">
        <v>48760</v>
      </c>
      <c r="U2" s="16" t="n">
        <v>48852</v>
      </c>
      <c r="V2" s="16" t="n">
        <v>48944</v>
      </c>
      <c r="W2" s="16" t="n">
        <v>49034</v>
      </c>
      <c r="X2" s="16" t="n">
        <v>49125</v>
      </c>
      <c r="Y2" s="16" t="n">
        <v>49217</v>
      </c>
      <c r="Z2" s="16" t="n">
        <v>49309</v>
      </c>
      <c r="AA2" s="16" t="n">
        <v>49399</v>
      </c>
      <c r="AB2" s="16" t="n">
        <v>49490</v>
      </c>
      <c r="AC2" s="16" t="n">
        <v>49582</v>
      </c>
      <c r="AD2" s="16" t="n">
        <v>49674</v>
      </c>
      <c r="AE2" s="16" t="n">
        <v>49765</v>
      </c>
      <c r="AF2" s="16" t="n">
        <v>49856</v>
      </c>
      <c r="AG2" s="16" t="n">
        <v>49948</v>
      </c>
      <c r="AH2" s="16" t="n">
        <v>50040</v>
      </c>
      <c r="AI2" s="16" t="n">
        <v>50130</v>
      </c>
      <c r="AJ2" s="16" t="n">
        <v>50221</v>
      </c>
      <c r="AK2" s="16" t="n">
        <v>50313</v>
      </c>
      <c r="AL2" s="16" t="n">
        <v>50405</v>
      </c>
      <c r="AM2" s="16" t="n">
        <v>50495</v>
      </c>
      <c r="AN2" s="16" t="n">
        <v>50586</v>
      </c>
      <c r="AO2" s="16" t="n">
        <v>50678</v>
      </c>
      <c r="AP2" s="16" t="n">
        <v>50770</v>
      </c>
      <c r="AQ2" s="16" t="n">
        <v>50860</v>
      </c>
      <c r="AR2" s="16" t="n">
        <v>50951</v>
      </c>
      <c r="AS2" s="16" t="n">
        <v>51043</v>
      </c>
      <c r="AT2" s="16" t="n">
        <v>51135</v>
      </c>
      <c r="AU2" s="16" t="n">
        <v>51226</v>
      </c>
      <c r="AV2" s="16" t="n">
        <v>51317</v>
      </c>
      <c r="AW2" s="16" t="n">
        <v>51409</v>
      </c>
      <c r="AX2" s="16" t="n">
        <v>51501</v>
      </c>
      <c r="AY2" s="16" t="n">
        <v>51591</v>
      </c>
      <c r="AZ2" s="16" t="n">
        <v>51682</v>
      </c>
      <c r="BA2" s="16" t="n">
        <v>51774</v>
      </c>
      <c r="BB2" s="16" t="n">
        <v>51866</v>
      </c>
      <c r="BC2" s="16" t="n">
        <v>51956</v>
      </c>
      <c r="BD2" s="16" t="n">
        <v>52047</v>
      </c>
      <c r="BE2" s="16" t="n">
        <v>52139</v>
      </c>
      <c r="BF2" s="16" t="n">
        <v>52231</v>
      </c>
      <c r="BG2" s="16" t="n">
        <v>52321</v>
      </c>
      <c r="BH2" s="16" t="n">
        <v>52412</v>
      </c>
      <c r="BI2" s="16" t="n">
        <v>52504</v>
      </c>
      <c r="BJ2" s="16" t="n">
        <v>52596</v>
      </c>
      <c r="BK2" s="16" t="n">
        <v>52687</v>
      </c>
      <c r="BL2" s="16" t="n">
        <v>52778</v>
      </c>
      <c r="BM2" s="16" t="n">
        <v>52870</v>
      </c>
      <c r="BN2" s="16" t="n">
        <v>52962</v>
      </c>
      <c r="BO2" s="16" t="n">
        <v>53052</v>
      </c>
      <c r="BP2" s="16" t="n">
        <v>53143</v>
      </c>
      <c r="BQ2" s="16" t="n">
        <v>53235</v>
      </c>
      <c r="BR2" s="16" t="n">
        <v>53327</v>
      </c>
      <c r="BS2" s="16" t="n">
        <v>53417</v>
      </c>
      <c r="BT2" s="16" t="n">
        <v>53508</v>
      </c>
      <c r="BU2" s="16" t="n">
        <v>53600</v>
      </c>
      <c r="BV2" s="16" t="n">
        <v>53692</v>
      </c>
      <c r="BW2" s="16" t="n">
        <v>53782</v>
      </c>
      <c r="BX2" s="16" t="n">
        <v>53873</v>
      </c>
      <c r="BY2" s="16" t="n">
        <v>53965</v>
      </c>
      <c r="BZ2" s="16" t="n">
        <v>54057</v>
      </c>
      <c r="CA2" s="16" t="n">
        <v>54148</v>
      </c>
      <c r="CB2" s="16" t="n">
        <v>54239</v>
      </c>
      <c r="CC2" s="16" t="n">
        <v>54331</v>
      </c>
      <c r="CD2" s="16" t="n">
        <v>54423</v>
      </c>
    </row>
    <row r="3">
      <c r="A3" t="inlineStr">
        <is>
          <t>Operating Quarter #</t>
        </is>
      </c>
      <c r="C3" t="n">
        <v>1</v>
      </c>
      <c r="D3" t="n">
        <v>2</v>
      </c>
      <c r="E3" t="n">
        <v>3</v>
      </c>
      <c r="F3" t="n">
        <v>4</v>
      </c>
      <c r="G3" t="n">
        <v>5</v>
      </c>
      <c r="H3" t="n">
        <v>6</v>
      </c>
      <c r="I3" t="n">
        <v>7</v>
      </c>
      <c r="J3" t="n">
        <v>8</v>
      </c>
      <c r="K3" t="n">
        <v>9</v>
      </c>
      <c r="L3" t="n">
        <v>10</v>
      </c>
      <c r="M3" t="n">
        <v>11</v>
      </c>
      <c r="N3" t="n">
        <v>12</v>
      </c>
      <c r="O3" t="n">
        <v>13</v>
      </c>
      <c r="P3" t="n">
        <v>14</v>
      </c>
      <c r="Q3" t="n">
        <v>15</v>
      </c>
      <c r="R3" t="n">
        <v>16</v>
      </c>
      <c r="S3" t="n">
        <v>17</v>
      </c>
      <c r="T3" t="n">
        <v>18</v>
      </c>
      <c r="U3" t="n">
        <v>19</v>
      </c>
      <c r="V3" t="n">
        <v>20</v>
      </c>
      <c r="W3" t="n">
        <v>21</v>
      </c>
      <c r="X3" t="n">
        <v>22</v>
      </c>
      <c r="Y3" t="n">
        <v>23</v>
      </c>
      <c r="Z3" t="n">
        <v>24</v>
      </c>
      <c r="AA3" t="n">
        <v>25</v>
      </c>
      <c r="AB3" t="n">
        <v>26</v>
      </c>
      <c r="AC3" t="n">
        <v>27</v>
      </c>
      <c r="AD3" t="n">
        <v>28</v>
      </c>
      <c r="AE3" t="n">
        <v>29</v>
      </c>
      <c r="AF3" t="n">
        <v>30</v>
      </c>
      <c r="AG3" t="n">
        <v>31</v>
      </c>
      <c r="AH3" t="n">
        <v>32</v>
      </c>
      <c r="AI3" t="n">
        <v>33</v>
      </c>
      <c r="AJ3" t="n">
        <v>34</v>
      </c>
      <c r="AK3" t="n">
        <v>35</v>
      </c>
      <c r="AL3" t="n">
        <v>36</v>
      </c>
      <c r="AM3" t="n">
        <v>37</v>
      </c>
      <c r="AN3" t="n">
        <v>38</v>
      </c>
      <c r="AO3" t="n">
        <v>39</v>
      </c>
      <c r="AP3" t="n">
        <v>40</v>
      </c>
      <c r="AQ3" t="n">
        <v>41</v>
      </c>
      <c r="AR3" t="n">
        <v>42</v>
      </c>
      <c r="AS3" t="n">
        <v>43</v>
      </c>
      <c r="AT3" t="n">
        <v>44</v>
      </c>
      <c r="AU3" t="n">
        <v>45</v>
      </c>
      <c r="AV3" t="n">
        <v>46</v>
      </c>
      <c r="AW3" t="n">
        <v>47</v>
      </c>
      <c r="AX3" t="n">
        <v>48</v>
      </c>
      <c r="AY3" t="n">
        <v>49</v>
      </c>
      <c r="AZ3" t="n">
        <v>50</v>
      </c>
      <c r="BA3" t="n">
        <v>51</v>
      </c>
      <c r="BB3" t="n">
        <v>52</v>
      </c>
      <c r="BC3" t="n">
        <v>53</v>
      </c>
      <c r="BD3" t="n">
        <v>54</v>
      </c>
      <c r="BE3" t="n">
        <v>55</v>
      </c>
      <c r="BF3" t="n">
        <v>56</v>
      </c>
      <c r="BG3" t="n">
        <v>57</v>
      </c>
      <c r="BH3" t="n">
        <v>58</v>
      </c>
      <c r="BI3" t="n">
        <v>59</v>
      </c>
      <c r="BJ3" t="n">
        <v>60</v>
      </c>
      <c r="BK3" t="n">
        <v>61</v>
      </c>
      <c r="BL3" t="n">
        <v>62</v>
      </c>
      <c r="BM3" t="n">
        <v>63</v>
      </c>
      <c r="BN3" t="n">
        <v>64</v>
      </c>
      <c r="BO3" t="n">
        <v>65</v>
      </c>
      <c r="BP3" t="n">
        <v>66</v>
      </c>
      <c r="BQ3" t="n">
        <v>67</v>
      </c>
      <c r="BR3" t="n">
        <v>68</v>
      </c>
      <c r="BS3" t="n">
        <v>69</v>
      </c>
      <c r="BT3" t="n">
        <v>70</v>
      </c>
      <c r="BU3" t="n">
        <v>71</v>
      </c>
      <c r="BV3" t="n">
        <v>72</v>
      </c>
      <c r="BW3" t="n">
        <v>73</v>
      </c>
      <c r="BX3" t="n">
        <v>74</v>
      </c>
      <c r="BY3" t="n">
        <v>75</v>
      </c>
      <c r="BZ3" t="n">
        <v>76</v>
      </c>
      <c r="CA3" t="n">
        <v>77</v>
      </c>
      <c r="CB3" t="n">
        <v>78</v>
      </c>
      <c r="CC3" t="n">
        <v>79</v>
      </c>
      <c r="CD3" t="n">
        <v>80</v>
      </c>
    </row>
    <row r="5">
      <c r="A5" t="inlineStr">
        <is>
          <t>CFADS ($) = EBITDA - Tax</t>
        </is>
      </c>
      <c r="C5" s="55">
        <f>Calc_Tax!C10-Calc_Tax!C17</f>
        <v/>
      </c>
      <c r="D5" s="55">
        <f>Calc_Tax!D10-Calc_Tax!D17</f>
        <v/>
      </c>
      <c r="E5" s="55">
        <f>Calc_Tax!E10-Calc_Tax!E17</f>
        <v/>
      </c>
      <c r="F5" s="55">
        <f>Calc_Tax!F10-Calc_Tax!F17</f>
        <v/>
      </c>
      <c r="G5" s="55">
        <f>Calc_Tax!G10-Calc_Tax!G17</f>
        <v/>
      </c>
      <c r="H5" s="55">
        <f>Calc_Tax!H10-Calc_Tax!H17</f>
        <v/>
      </c>
      <c r="I5" s="55">
        <f>Calc_Tax!I10-Calc_Tax!I17</f>
        <v/>
      </c>
      <c r="J5" s="55">
        <f>Calc_Tax!J10-Calc_Tax!J17</f>
        <v/>
      </c>
      <c r="K5" s="55">
        <f>Calc_Tax!K10-Calc_Tax!K17</f>
        <v/>
      </c>
      <c r="L5" s="55">
        <f>Calc_Tax!L10-Calc_Tax!L17</f>
        <v/>
      </c>
      <c r="M5" s="55">
        <f>Calc_Tax!M10-Calc_Tax!M17</f>
        <v/>
      </c>
      <c r="N5" s="55">
        <f>Calc_Tax!N10-Calc_Tax!N17</f>
        <v/>
      </c>
      <c r="O5" s="55">
        <f>Calc_Tax!O10-Calc_Tax!O17</f>
        <v/>
      </c>
      <c r="P5" s="55">
        <f>Calc_Tax!P10-Calc_Tax!P17</f>
        <v/>
      </c>
      <c r="Q5" s="55">
        <f>Calc_Tax!Q10-Calc_Tax!Q17</f>
        <v/>
      </c>
      <c r="R5" s="55">
        <f>Calc_Tax!R10-Calc_Tax!R17</f>
        <v/>
      </c>
      <c r="S5" s="55">
        <f>Calc_Tax!S10-Calc_Tax!S17</f>
        <v/>
      </c>
      <c r="T5" s="55">
        <f>Calc_Tax!T10-Calc_Tax!T17</f>
        <v/>
      </c>
      <c r="U5" s="55">
        <f>Calc_Tax!U10-Calc_Tax!U17</f>
        <v/>
      </c>
      <c r="V5" s="55">
        <f>Calc_Tax!V10-Calc_Tax!V17</f>
        <v/>
      </c>
      <c r="W5" s="55">
        <f>Calc_Tax!W10-Calc_Tax!W17</f>
        <v/>
      </c>
      <c r="X5" s="55">
        <f>Calc_Tax!X10-Calc_Tax!X17</f>
        <v/>
      </c>
      <c r="Y5" s="55">
        <f>Calc_Tax!Y10-Calc_Tax!Y17</f>
        <v/>
      </c>
      <c r="Z5" s="55">
        <f>Calc_Tax!Z10-Calc_Tax!Z17</f>
        <v/>
      </c>
      <c r="AA5" s="55">
        <f>Calc_Tax!AA10-Calc_Tax!AA17</f>
        <v/>
      </c>
      <c r="AB5" s="55">
        <f>Calc_Tax!AB10-Calc_Tax!AB17</f>
        <v/>
      </c>
      <c r="AC5" s="55">
        <f>Calc_Tax!AC10-Calc_Tax!AC17</f>
        <v/>
      </c>
      <c r="AD5" s="55">
        <f>Calc_Tax!AD10-Calc_Tax!AD17</f>
        <v/>
      </c>
      <c r="AE5" s="55">
        <f>Calc_Tax!AE10-Calc_Tax!AE17</f>
        <v/>
      </c>
      <c r="AF5" s="55">
        <f>Calc_Tax!AF10-Calc_Tax!AF17</f>
        <v/>
      </c>
      <c r="AG5" s="55">
        <f>Calc_Tax!AG10-Calc_Tax!AG17</f>
        <v/>
      </c>
      <c r="AH5" s="55">
        <f>Calc_Tax!AH10-Calc_Tax!AH17</f>
        <v/>
      </c>
      <c r="AI5" s="55">
        <f>Calc_Tax!AI10-Calc_Tax!AI17</f>
        <v/>
      </c>
      <c r="AJ5" s="55">
        <f>Calc_Tax!AJ10-Calc_Tax!AJ17</f>
        <v/>
      </c>
      <c r="AK5" s="55">
        <f>Calc_Tax!AK10-Calc_Tax!AK17</f>
        <v/>
      </c>
      <c r="AL5" s="55">
        <f>Calc_Tax!AL10-Calc_Tax!AL17</f>
        <v/>
      </c>
      <c r="AM5" s="55">
        <f>Calc_Tax!AM10-Calc_Tax!AM17</f>
        <v/>
      </c>
      <c r="AN5" s="55">
        <f>Calc_Tax!AN10-Calc_Tax!AN17</f>
        <v/>
      </c>
      <c r="AO5" s="55">
        <f>Calc_Tax!AO10-Calc_Tax!AO17</f>
        <v/>
      </c>
      <c r="AP5" s="55">
        <f>Calc_Tax!AP10-Calc_Tax!AP17</f>
        <v/>
      </c>
      <c r="AQ5" s="55">
        <f>Calc_Tax!AQ10-Calc_Tax!AQ17</f>
        <v/>
      </c>
      <c r="AR5" s="55">
        <f>Calc_Tax!AR10-Calc_Tax!AR17</f>
        <v/>
      </c>
      <c r="AS5" s="55">
        <f>Calc_Tax!AS10-Calc_Tax!AS17</f>
        <v/>
      </c>
      <c r="AT5" s="55">
        <f>Calc_Tax!AT10-Calc_Tax!AT17</f>
        <v/>
      </c>
      <c r="AU5" s="55">
        <f>Calc_Tax!AU10-Calc_Tax!AU17</f>
        <v/>
      </c>
      <c r="AV5" s="55">
        <f>Calc_Tax!AV10-Calc_Tax!AV17</f>
        <v/>
      </c>
      <c r="AW5" s="55">
        <f>Calc_Tax!AW10-Calc_Tax!AW17</f>
        <v/>
      </c>
      <c r="AX5" s="55">
        <f>Calc_Tax!AX10-Calc_Tax!AX17</f>
        <v/>
      </c>
      <c r="AY5" s="55">
        <f>Calc_Tax!AY10-Calc_Tax!AY17</f>
        <v/>
      </c>
      <c r="AZ5" s="55">
        <f>Calc_Tax!AZ10-Calc_Tax!AZ17</f>
        <v/>
      </c>
      <c r="BA5" s="55">
        <f>Calc_Tax!BA10-Calc_Tax!BA17</f>
        <v/>
      </c>
      <c r="BB5" s="55">
        <f>Calc_Tax!BB10-Calc_Tax!BB17</f>
        <v/>
      </c>
      <c r="BC5" s="55">
        <f>Calc_Tax!BC10-Calc_Tax!BC17</f>
        <v/>
      </c>
      <c r="BD5" s="55">
        <f>Calc_Tax!BD10-Calc_Tax!BD17</f>
        <v/>
      </c>
      <c r="BE5" s="55">
        <f>Calc_Tax!BE10-Calc_Tax!BE17</f>
        <v/>
      </c>
      <c r="BF5" s="55">
        <f>Calc_Tax!BF10-Calc_Tax!BF17</f>
        <v/>
      </c>
      <c r="BG5" s="55">
        <f>Calc_Tax!BG10-Calc_Tax!BG17</f>
        <v/>
      </c>
      <c r="BH5" s="55">
        <f>Calc_Tax!BH10-Calc_Tax!BH17</f>
        <v/>
      </c>
      <c r="BI5" s="55">
        <f>Calc_Tax!BI10-Calc_Tax!BI17</f>
        <v/>
      </c>
      <c r="BJ5" s="55">
        <f>Calc_Tax!BJ10-Calc_Tax!BJ17</f>
        <v/>
      </c>
      <c r="BK5" s="55">
        <f>Calc_Tax!BK10-Calc_Tax!BK17</f>
        <v/>
      </c>
      <c r="BL5" s="55">
        <f>Calc_Tax!BL10-Calc_Tax!BL17</f>
        <v/>
      </c>
      <c r="BM5" s="55">
        <f>Calc_Tax!BM10-Calc_Tax!BM17</f>
        <v/>
      </c>
      <c r="BN5" s="55">
        <f>Calc_Tax!BN10-Calc_Tax!BN17</f>
        <v/>
      </c>
      <c r="BO5" s="55">
        <f>Calc_Tax!BO10-Calc_Tax!BO17</f>
        <v/>
      </c>
      <c r="BP5" s="55">
        <f>Calc_Tax!BP10-Calc_Tax!BP17</f>
        <v/>
      </c>
      <c r="BQ5" s="55">
        <f>Calc_Tax!BQ10-Calc_Tax!BQ17</f>
        <v/>
      </c>
      <c r="BR5" s="55">
        <f>Calc_Tax!BR10-Calc_Tax!BR17</f>
        <v/>
      </c>
      <c r="BS5" s="55">
        <f>Calc_Tax!BS10-Calc_Tax!BS17</f>
        <v/>
      </c>
      <c r="BT5" s="55">
        <f>Calc_Tax!BT10-Calc_Tax!BT17</f>
        <v/>
      </c>
      <c r="BU5" s="55">
        <f>Calc_Tax!BU10-Calc_Tax!BU17</f>
        <v/>
      </c>
      <c r="BV5" s="55">
        <f>Calc_Tax!BV10-Calc_Tax!BV17</f>
        <v/>
      </c>
      <c r="BW5" s="55">
        <f>Calc_Tax!BW10-Calc_Tax!BW17</f>
        <v/>
      </c>
      <c r="BX5" s="55">
        <f>Calc_Tax!BX10-Calc_Tax!BX17</f>
        <v/>
      </c>
      <c r="BY5" s="55">
        <f>Calc_Tax!BY10-Calc_Tax!BY17</f>
        <v/>
      </c>
      <c r="BZ5" s="55">
        <f>Calc_Tax!BZ10-Calc_Tax!BZ17</f>
        <v/>
      </c>
      <c r="CA5" s="55">
        <f>Calc_Tax!CA10-Calc_Tax!CA17</f>
        <v/>
      </c>
      <c r="CB5" s="55">
        <f>Calc_Tax!CB10-Calc_Tax!CB17</f>
        <v/>
      </c>
      <c r="CC5" s="55">
        <f>Calc_Tax!CC10-Calc_Tax!CC17</f>
        <v/>
      </c>
      <c r="CD5" s="55">
        <f>Calc_Tax!CD10-Calc_Tax!CD17</f>
        <v/>
      </c>
    </row>
    <row r="6">
      <c r="A6" t="inlineStr">
        <is>
          <t>Debt Service ($) — linked from Calc_Financing_Ops</t>
        </is>
      </c>
      <c r="C6" s="55">
        <f>Calc_Financing_Ops!C21</f>
        <v/>
      </c>
      <c r="D6" s="55">
        <f>Calc_Financing_Ops!D21</f>
        <v/>
      </c>
      <c r="E6" s="55">
        <f>Calc_Financing_Ops!E21</f>
        <v/>
      </c>
      <c r="F6" s="55">
        <f>Calc_Financing_Ops!F21</f>
        <v/>
      </c>
      <c r="G6" s="55">
        <f>Calc_Financing_Ops!G21</f>
        <v/>
      </c>
      <c r="H6" s="55">
        <f>Calc_Financing_Ops!H21</f>
        <v/>
      </c>
      <c r="I6" s="55">
        <f>Calc_Financing_Ops!I21</f>
        <v/>
      </c>
      <c r="J6" s="55">
        <f>Calc_Financing_Ops!J21</f>
        <v/>
      </c>
      <c r="K6" s="55">
        <f>Calc_Financing_Ops!K21</f>
        <v/>
      </c>
      <c r="L6" s="55">
        <f>Calc_Financing_Ops!L21</f>
        <v/>
      </c>
      <c r="M6" s="55">
        <f>Calc_Financing_Ops!M21</f>
        <v/>
      </c>
      <c r="N6" s="55">
        <f>Calc_Financing_Ops!N21</f>
        <v/>
      </c>
      <c r="O6" s="55">
        <f>Calc_Financing_Ops!O21</f>
        <v/>
      </c>
      <c r="P6" s="55">
        <f>Calc_Financing_Ops!P21</f>
        <v/>
      </c>
      <c r="Q6" s="55">
        <f>Calc_Financing_Ops!Q21</f>
        <v/>
      </c>
      <c r="R6" s="55">
        <f>Calc_Financing_Ops!R21</f>
        <v/>
      </c>
      <c r="S6" s="55">
        <f>Calc_Financing_Ops!S21</f>
        <v/>
      </c>
      <c r="T6" s="55">
        <f>Calc_Financing_Ops!T21</f>
        <v/>
      </c>
      <c r="U6" s="55">
        <f>Calc_Financing_Ops!U21</f>
        <v/>
      </c>
      <c r="V6" s="55">
        <f>Calc_Financing_Ops!V21</f>
        <v/>
      </c>
      <c r="W6" s="55">
        <f>Calc_Financing_Ops!W21</f>
        <v/>
      </c>
      <c r="X6" s="55">
        <f>Calc_Financing_Ops!X21</f>
        <v/>
      </c>
      <c r="Y6" s="55">
        <f>Calc_Financing_Ops!Y21</f>
        <v/>
      </c>
      <c r="Z6" s="55">
        <f>Calc_Financing_Ops!Z21</f>
        <v/>
      </c>
      <c r="AA6" s="55">
        <f>Calc_Financing_Ops!AA21</f>
        <v/>
      </c>
      <c r="AB6" s="55">
        <f>Calc_Financing_Ops!AB21</f>
        <v/>
      </c>
      <c r="AC6" s="55">
        <f>Calc_Financing_Ops!AC21</f>
        <v/>
      </c>
      <c r="AD6" s="55">
        <f>Calc_Financing_Ops!AD21</f>
        <v/>
      </c>
      <c r="AE6" s="55">
        <f>Calc_Financing_Ops!AE21</f>
        <v/>
      </c>
      <c r="AF6" s="55">
        <f>Calc_Financing_Ops!AF21</f>
        <v/>
      </c>
      <c r="AG6" s="55">
        <f>Calc_Financing_Ops!AG21</f>
        <v/>
      </c>
      <c r="AH6" s="55">
        <f>Calc_Financing_Ops!AH21</f>
        <v/>
      </c>
      <c r="AI6" s="55">
        <f>Calc_Financing_Ops!AI21</f>
        <v/>
      </c>
      <c r="AJ6" s="55">
        <f>Calc_Financing_Ops!AJ21</f>
        <v/>
      </c>
      <c r="AK6" s="55">
        <f>Calc_Financing_Ops!AK21</f>
        <v/>
      </c>
      <c r="AL6" s="55">
        <f>Calc_Financing_Ops!AL21</f>
        <v/>
      </c>
      <c r="AM6" s="55">
        <f>Calc_Financing_Ops!AM21</f>
        <v/>
      </c>
      <c r="AN6" s="55">
        <f>Calc_Financing_Ops!AN21</f>
        <v/>
      </c>
      <c r="AO6" s="55">
        <f>Calc_Financing_Ops!AO21</f>
        <v/>
      </c>
      <c r="AP6" s="55">
        <f>Calc_Financing_Ops!AP21</f>
        <v/>
      </c>
      <c r="AQ6" s="55">
        <f>Calc_Financing_Ops!AQ21</f>
        <v/>
      </c>
      <c r="AR6" s="55">
        <f>Calc_Financing_Ops!AR21</f>
        <v/>
      </c>
      <c r="AS6" s="55">
        <f>Calc_Financing_Ops!AS21</f>
        <v/>
      </c>
      <c r="AT6" s="55">
        <f>Calc_Financing_Ops!AT21</f>
        <v/>
      </c>
      <c r="AU6" s="55">
        <f>Calc_Financing_Ops!AU21</f>
        <v/>
      </c>
      <c r="AV6" s="55">
        <f>Calc_Financing_Ops!AV21</f>
        <v/>
      </c>
      <c r="AW6" s="55">
        <f>Calc_Financing_Ops!AW21</f>
        <v/>
      </c>
      <c r="AX6" s="55">
        <f>Calc_Financing_Ops!AX21</f>
        <v/>
      </c>
      <c r="AY6" s="55">
        <f>Calc_Financing_Ops!AY21</f>
        <v/>
      </c>
      <c r="AZ6" s="55">
        <f>Calc_Financing_Ops!AZ21</f>
        <v/>
      </c>
      <c r="BA6" s="55">
        <f>Calc_Financing_Ops!BA21</f>
        <v/>
      </c>
      <c r="BB6" s="55">
        <f>Calc_Financing_Ops!BB21</f>
        <v/>
      </c>
      <c r="BC6" s="55">
        <f>Calc_Financing_Ops!BC21</f>
        <v/>
      </c>
      <c r="BD6" s="55">
        <f>Calc_Financing_Ops!BD21</f>
        <v/>
      </c>
      <c r="BE6" s="55">
        <f>Calc_Financing_Ops!BE21</f>
        <v/>
      </c>
      <c r="BF6" s="55">
        <f>Calc_Financing_Ops!BF21</f>
        <v/>
      </c>
      <c r="BG6" s="55">
        <f>Calc_Financing_Ops!BG21</f>
        <v/>
      </c>
      <c r="BH6" s="55">
        <f>Calc_Financing_Ops!BH21</f>
        <v/>
      </c>
      <c r="BI6" s="55">
        <f>Calc_Financing_Ops!BI21</f>
        <v/>
      </c>
      <c r="BJ6" s="55">
        <f>Calc_Financing_Ops!BJ21</f>
        <v/>
      </c>
      <c r="BK6" s="55">
        <f>Calc_Financing_Ops!BK21</f>
        <v/>
      </c>
      <c r="BL6" s="55">
        <f>Calc_Financing_Ops!BL21</f>
        <v/>
      </c>
      <c r="BM6" s="55">
        <f>Calc_Financing_Ops!BM21</f>
        <v/>
      </c>
      <c r="BN6" s="55">
        <f>Calc_Financing_Ops!BN21</f>
        <v/>
      </c>
      <c r="BO6" s="55">
        <f>Calc_Financing_Ops!BO21</f>
        <v/>
      </c>
      <c r="BP6" s="55">
        <f>Calc_Financing_Ops!BP21</f>
        <v/>
      </c>
      <c r="BQ6" s="55">
        <f>Calc_Financing_Ops!BQ21</f>
        <v/>
      </c>
      <c r="BR6" s="55">
        <f>Calc_Financing_Ops!BR21</f>
        <v/>
      </c>
      <c r="BS6" s="55">
        <f>Calc_Financing_Ops!BS21</f>
        <v/>
      </c>
      <c r="BT6" s="55">
        <f>Calc_Financing_Ops!BT21</f>
        <v/>
      </c>
      <c r="BU6" s="55">
        <f>Calc_Financing_Ops!BU21</f>
        <v/>
      </c>
      <c r="BV6" s="55">
        <f>Calc_Financing_Ops!BV21</f>
        <v/>
      </c>
      <c r="BW6" s="55">
        <f>Calc_Financing_Ops!BW21</f>
        <v/>
      </c>
      <c r="BX6" s="55">
        <f>Calc_Financing_Ops!BX21</f>
        <v/>
      </c>
      <c r="BY6" s="55">
        <f>Calc_Financing_Ops!BY21</f>
        <v/>
      </c>
      <c r="BZ6" s="55">
        <f>Calc_Financing_Ops!BZ21</f>
        <v/>
      </c>
      <c r="CA6" s="55">
        <f>Calc_Financing_Ops!CA21</f>
        <v/>
      </c>
      <c r="CB6" s="55">
        <f>Calc_Financing_Ops!CB21</f>
        <v/>
      </c>
      <c r="CC6" s="55">
        <f>Calc_Financing_Ops!CC21</f>
        <v/>
      </c>
      <c r="CD6" s="55">
        <f>Calc_Financing_Ops!CD21</f>
        <v/>
      </c>
    </row>
    <row r="7">
      <c r="A7" t="inlineStr">
        <is>
          <t>CFADS after Debt Service ($)</t>
        </is>
      </c>
      <c r="C7" s="64">
        <f>C5-C6</f>
        <v/>
      </c>
      <c r="D7" s="64">
        <f>D5-D6</f>
        <v/>
      </c>
      <c r="E7" s="64">
        <f>E5-E6</f>
        <v/>
      </c>
      <c r="F7" s="64">
        <f>F5-F6</f>
        <v/>
      </c>
      <c r="G7" s="64">
        <f>G5-G6</f>
        <v/>
      </c>
      <c r="H7" s="64">
        <f>H5-H6</f>
        <v/>
      </c>
      <c r="I7" s="64">
        <f>I5-I6</f>
        <v/>
      </c>
      <c r="J7" s="64">
        <f>J5-J6</f>
        <v/>
      </c>
      <c r="K7" s="64">
        <f>K5-K6</f>
        <v/>
      </c>
      <c r="L7" s="64">
        <f>L5-L6</f>
        <v/>
      </c>
      <c r="M7" s="64">
        <f>M5-M6</f>
        <v/>
      </c>
      <c r="N7" s="64">
        <f>N5-N6</f>
        <v/>
      </c>
      <c r="O7" s="64">
        <f>O5-O6</f>
        <v/>
      </c>
      <c r="P7" s="64">
        <f>P5-P6</f>
        <v/>
      </c>
      <c r="Q7" s="64">
        <f>Q5-Q6</f>
        <v/>
      </c>
      <c r="R7" s="64">
        <f>R5-R6</f>
        <v/>
      </c>
      <c r="S7" s="64">
        <f>S5-S6</f>
        <v/>
      </c>
      <c r="T7" s="64">
        <f>T5-T6</f>
        <v/>
      </c>
      <c r="U7" s="64">
        <f>U5-U6</f>
        <v/>
      </c>
      <c r="V7" s="64">
        <f>V5-V6</f>
        <v/>
      </c>
      <c r="W7" s="64">
        <f>W5-W6</f>
        <v/>
      </c>
      <c r="X7" s="64">
        <f>X5-X6</f>
        <v/>
      </c>
      <c r="Y7" s="64">
        <f>Y5-Y6</f>
        <v/>
      </c>
      <c r="Z7" s="64">
        <f>Z5-Z6</f>
        <v/>
      </c>
      <c r="AA7" s="64">
        <f>AA5-AA6</f>
        <v/>
      </c>
      <c r="AB7" s="64">
        <f>AB5-AB6</f>
        <v/>
      </c>
      <c r="AC7" s="64">
        <f>AC5-AC6</f>
        <v/>
      </c>
      <c r="AD7" s="64">
        <f>AD5-AD6</f>
        <v/>
      </c>
      <c r="AE7" s="64">
        <f>AE5-AE6</f>
        <v/>
      </c>
      <c r="AF7" s="64">
        <f>AF5-AF6</f>
        <v/>
      </c>
      <c r="AG7" s="64">
        <f>AG5-AG6</f>
        <v/>
      </c>
      <c r="AH7" s="64">
        <f>AH5-AH6</f>
        <v/>
      </c>
      <c r="AI7" s="64">
        <f>AI5-AI6</f>
        <v/>
      </c>
      <c r="AJ7" s="64">
        <f>AJ5-AJ6</f>
        <v/>
      </c>
      <c r="AK7" s="64">
        <f>AK5-AK6</f>
        <v/>
      </c>
      <c r="AL7" s="64">
        <f>AL5-AL6</f>
        <v/>
      </c>
      <c r="AM7" s="64">
        <f>AM5-AM6</f>
        <v/>
      </c>
      <c r="AN7" s="64">
        <f>AN5-AN6</f>
        <v/>
      </c>
      <c r="AO7" s="64">
        <f>AO5-AO6</f>
        <v/>
      </c>
      <c r="AP7" s="64">
        <f>AP5-AP6</f>
        <v/>
      </c>
      <c r="AQ7" s="64">
        <f>AQ5-AQ6</f>
        <v/>
      </c>
      <c r="AR7" s="64">
        <f>AR5-AR6</f>
        <v/>
      </c>
      <c r="AS7" s="64">
        <f>AS5-AS6</f>
        <v/>
      </c>
      <c r="AT7" s="64">
        <f>AT5-AT6</f>
        <v/>
      </c>
      <c r="AU7" s="64">
        <f>AU5-AU6</f>
        <v/>
      </c>
      <c r="AV7" s="64">
        <f>AV5-AV6</f>
        <v/>
      </c>
      <c r="AW7" s="64">
        <f>AW5-AW6</f>
        <v/>
      </c>
      <c r="AX7" s="64">
        <f>AX5-AX6</f>
        <v/>
      </c>
      <c r="AY7" s="64">
        <f>AY5-AY6</f>
        <v/>
      </c>
      <c r="AZ7" s="64">
        <f>AZ5-AZ6</f>
        <v/>
      </c>
      <c r="BA7" s="64">
        <f>BA5-BA6</f>
        <v/>
      </c>
      <c r="BB7" s="64">
        <f>BB5-BB6</f>
        <v/>
      </c>
      <c r="BC7" s="64">
        <f>BC5-BC6</f>
        <v/>
      </c>
      <c r="BD7" s="64">
        <f>BD5-BD6</f>
        <v/>
      </c>
      <c r="BE7" s="64">
        <f>BE5-BE6</f>
        <v/>
      </c>
      <c r="BF7" s="64">
        <f>BF5-BF6</f>
        <v/>
      </c>
      <c r="BG7" s="64">
        <f>BG5-BG6</f>
        <v/>
      </c>
      <c r="BH7" s="64">
        <f>BH5-BH6</f>
        <v/>
      </c>
      <c r="BI7" s="64">
        <f>BI5-BI6</f>
        <v/>
      </c>
      <c r="BJ7" s="64">
        <f>BJ5-BJ6</f>
        <v/>
      </c>
      <c r="BK7" s="64">
        <f>BK5-BK6</f>
        <v/>
      </c>
      <c r="BL7" s="64">
        <f>BL5-BL6</f>
        <v/>
      </c>
      <c r="BM7" s="64">
        <f>BM5-BM6</f>
        <v/>
      </c>
      <c r="BN7" s="64">
        <f>BN5-BN6</f>
        <v/>
      </c>
      <c r="BO7" s="64">
        <f>BO5-BO6</f>
        <v/>
      </c>
      <c r="BP7" s="64">
        <f>BP5-BP6</f>
        <v/>
      </c>
      <c r="BQ7" s="64">
        <f>BQ5-BQ6</f>
        <v/>
      </c>
      <c r="BR7" s="64">
        <f>BR5-BR6</f>
        <v/>
      </c>
      <c r="BS7" s="64">
        <f>BS5-BS6</f>
        <v/>
      </c>
      <c r="BT7" s="64">
        <f>BT5-BT6</f>
        <v/>
      </c>
      <c r="BU7" s="64">
        <f>BU5-BU6</f>
        <v/>
      </c>
      <c r="BV7" s="64">
        <f>BV5-BV6</f>
        <v/>
      </c>
      <c r="BW7" s="64">
        <f>BW5-BW6</f>
        <v/>
      </c>
      <c r="BX7" s="64">
        <f>BX5-BX6</f>
        <v/>
      </c>
      <c r="BY7" s="64">
        <f>BY5-BY6</f>
        <v/>
      </c>
      <c r="BZ7" s="64">
        <f>BZ5-BZ6</f>
        <v/>
      </c>
      <c r="CA7" s="64">
        <f>CA5-CA6</f>
        <v/>
      </c>
      <c r="CB7" s="64">
        <f>CB5-CB6</f>
        <v/>
      </c>
      <c r="CC7" s="64">
        <f>CC5-CC6</f>
        <v/>
      </c>
      <c r="CD7" s="64">
        <f>CD5-CD6</f>
        <v/>
      </c>
    </row>
    <row r="9">
      <c r="A9" t="inlineStr">
        <is>
          <t>DSRA Funding/(Release) or LC Fee ($) — linked from Calc_Financing_Ops</t>
        </is>
      </c>
      <c r="C9" s="55">
        <f>Calc_Financing_Ops!C30</f>
        <v/>
      </c>
      <c r="D9" s="55">
        <f>Calc_Financing_Ops!D30</f>
        <v/>
      </c>
      <c r="E9" s="55">
        <f>Calc_Financing_Ops!E30</f>
        <v/>
      </c>
      <c r="F9" s="55">
        <f>Calc_Financing_Ops!F30</f>
        <v/>
      </c>
      <c r="G9" s="55">
        <f>Calc_Financing_Ops!G30</f>
        <v/>
      </c>
      <c r="H9" s="55">
        <f>Calc_Financing_Ops!H30</f>
        <v/>
      </c>
      <c r="I9" s="55">
        <f>Calc_Financing_Ops!I30</f>
        <v/>
      </c>
      <c r="J9" s="55">
        <f>Calc_Financing_Ops!J30</f>
        <v/>
      </c>
      <c r="K9" s="55">
        <f>Calc_Financing_Ops!K30</f>
        <v/>
      </c>
      <c r="L9" s="55">
        <f>Calc_Financing_Ops!L30</f>
        <v/>
      </c>
      <c r="M9" s="55">
        <f>Calc_Financing_Ops!M30</f>
        <v/>
      </c>
      <c r="N9" s="55">
        <f>Calc_Financing_Ops!N30</f>
        <v/>
      </c>
      <c r="O9" s="55">
        <f>Calc_Financing_Ops!O30</f>
        <v/>
      </c>
      <c r="P9" s="55">
        <f>Calc_Financing_Ops!P30</f>
        <v/>
      </c>
      <c r="Q9" s="55">
        <f>Calc_Financing_Ops!Q30</f>
        <v/>
      </c>
      <c r="R9" s="55">
        <f>Calc_Financing_Ops!R30</f>
        <v/>
      </c>
      <c r="S9" s="55">
        <f>Calc_Financing_Ops!S30</f>
        <v/>
      </c>
      <c r="T9" s="55">
        <f>Calc_Financing_Ops!T30</f>
        <v/>
      </c>
      <c r="U9" s="55">
        <f>Calc_Financing_Ops!U30</f>
        <v/>
      </c>
      <c r="V9" s="55">
        <f>Calc_Financing_Ops!V30</f>
        <v/>
      </c>
      <c r="W9" s="55">
        <f>Calc_Financing_Ops!W30</f>
        <v/>
      </c>
      <c r="X9" s="55">
        <f>Calc_Financing_Ops!X30</f>
        <v/>
      </c>
      <c r="Y9" s="55">
        <f>Calc_Financing_Ops!Y30</f>
        <v/>
      </c>
      <c r="Z9" s="55">
        <f>Calc_Financing_Ops!Z30</f>
        <v/>
      </c>
      <c r="AA9" s="55">
        <f>Calc_Financing_Ops!AA30</f>
        <v/>
      </c>
      <c r="AB9" s="55">
        <f>Calc_Financing_Ops!AB30</f>
        <v/>
      </c>
      <c r="AC9" s="55">
        <f>Calc_Financing_Ops!AC30</f>
        <v/>
      </c>
      <c r="AD9" s="55">
        <f>Calc_Financing_Ops!AD30</f>
        <v/>
      </c>
      <c r="AE9" s="55">
        <f>Calc_Financing_Ops!AE30</f>
        <v/>
      </c>
      <c r="AF9" s="55">
        <f>Calc_Financing_Ops!AF30</f>
        <v/>
      </c>
      <c r="AG9" s="55">
        <f>Calc_Financing_Ops!AG30</f>
        <v/>
      </c>
      <c r="AH9" s="55">
        <f>Calc_Financing_Ops!AH30</f>
        <v/>
      </c>
      <c r="AI9" s="55">
        <f>Calc_Financing_Ops!AI30</f>
        <v/>
      </c>
      <c r="AJ9" s="55">
        <f>Calc_Financing_Ops!AJ30</f>
        <v/>
      </c>
      <c r="AK9" s="55">
        <f>Calc_Financing_Ops!AK30</f>
        <v/>
      </c>
      <c r="AL9" s="55">
        <f>Calc_Financing_Ops!AL30</f>
        <v/>
      </c>
      <c r="AM9" s="55">
        <f>Calc_Financing_Ops!AM30</f>
        <v/>
      </c>
      <c r="AN9" s="55">
        <f>Calc_Financing_Ops!AN30</f>
        <v/>
      </c>
      <c r="AO9" s="55">
        <f>Calc_Financing_Ops!AO30</f>
        <v/>
      </c>
      <c r="AP9" s="55">
        <f>Calc_Financing_Ops!AP30</f>
        <v/>
      </c>
      <c r="AQ9" s="55">
        <f>Calc_Financing_Ops!AQ30</f>
        <v/>
      </c>
      <c r="AR9" s="55">
        <f>Calc_Financing_Ops!AR30</f>
        <v/>
      </c>
      <c r="AS9" s="55">
        <f>Calc_Financing_Ops!AS30</f>
        <v/>
      </c>
      <c r="AT9" s="55">
        <f>Calc_Financing_Ops!AT30</f>
        <v/>
      </c>
      <c r="AU9" s="55">
        <f>Calc_Financing_Ops!AU30</f>
        <v/>
      </c>
      <c r="AV9" s="55">
        <f>Calc_Financing_Ops!AV30</f>
        <v/>
      </c>
      <c r="AW9" s="55">
        <f>Calc_Financing_Ops!AW30</f>
        <v/>
      </c>
      <c r="AX9" s="55">
        <f>Calc_Financing_Ops!AX30</f>
        <v/>
      </c>
      <c r="AY9" s="55">
        <f>Calc_Financing_Ops!AY30</f>
        <v/>
      </c>
      <c r="AZ9" s="55">
        <f>Calc_Financing_Ops!AZ30</f>
        <v/>
      </c>
      <c r="BA9" s="55">
        <f>Calc_Financing_Ops!BA30</f>
        <v/>
      </c>
      <c r="BB9" s="55">
        <f>Calc_Financing_Ops!BB30</f>
        <v/>
      </c>
      <c r="BC9" s="55">
        <f>Calc_Financing_Ops!BC30</f>
        <v/>
      </c>
      <c r="BD9" s="55">
        <f>Calc_Financing_Ops!BD30</f>
        <v/>
      </c>
      <c r="BE9" s="55">
        <f>Calc_Financing_Ops!BE30</f>
        <v/>
      </c>
      <c r="BF9" s="55">
        <f>Calc_Financing_Ops!BF30</f>
        <v/>
      </c>
      <c r="BG9" s="55">
        <f>Calc_Financing_Ops!BG30</f>
        <v/>
      </c>
      <c r="BH9" s="55">
        <f>Calc_Financing_Ops!BH30</f>
        <v/>
      </c>
      <c r="BI9" s="55">
        <f>Calc_Financing_Ops!BI30</f>
        <v/>
      </c>
      <c r="BJ9" s="55">
        <f>Calc_Financing_Ops!BJ30</f>
        <v/>
      </c>
      <c r="BK9" s="55">
        <f>Calc_Financing_Ops!BK30</f>
        <v/>
      </c>
      <c r="BL9" s="55">
        <f>Calc_Financing_Ops!BL30</f>
        <v/>
      </c>
      <c r="BM9" s="55">
        <f>Calc_Financing_Ops!BM30</f>
        <v/>
      </c>
      <c r="BN9" s="55">
        <f>Calc_Financing_Ops!BN30</f>
        <v/>
      </c>
      <c r="BO9" s="55">
        <f>Calc_Financing_Ops!BO30</f>
        <v/>
      </c>
      <c r="BP9" s="55">
        <f>Calc_Financing_Ops!BP30</f>
        <v/>
      </c>
      <c r="BQ9" s="55">
        <f>Calc_Financing_Ops!BQ30</f>
        <v/>
      </c>
      <c r="BR9" s="55">
        <f>Calc_Financing_Ops!BR30</f>
        <v/>
      </c>
      <c r="BS9" s="55">
        <f>Calc_Financing_Ops!BS30</f>
        <v/>
      </c>
      <c r="BT9" s="55">
        <f>Calc_Financing_Ops!BT30</f>
        <v/>
      </c>
      <c r="BU9" s="55">
        <f>Calc_Financing_Ops!BU30</f>
        <v/>
      </c>
      <c r="BV9" s="55">
        <f>Calc_Financing_Ops!BV30</f>
        <v/>
      </c>
      <c r="BW9" s="55">
        <f>Calc_Financing_Ops!BW30</f>
        <v/>
      </c>
      <c r="BX9" s="55">
        <f>Calc_Financing_Ops!BX30</f>
        <v/>
      </c>
      <c r="BY9" s="55">
        <f>Calc_Financing_Ops!BY30</f>
        <v/>
      </c>
      <c r="BZ9" s="55">
        <f>Calc_Financing_Ops!BZ30</f>
        <v/>
      </c>
      <c r="CA9" s="55">
        <f>Calc_Financing_Ops!CA30</f>
        <v/>
      </c>
      <c r="CB9" s="55">
        <f>Calc_Financing_Ops!CB30</f>
        <v/>
      </c>
      <c r="CC9" s="55">
        <f>Calc_Financing_Ops!CC30</f>
        <v/>
      </c>
      <c r="CD9" s="55">
        <f>Calc_Financing_Ops!CD30</f>
        <v/>
      </c>
    </row>
    <row r="11">
      <c r="A11" t="inlineStr">
        <is>
          <t>Maintenance Capex ($) — linked from Calc_Revenue_Opex</t>
        </is>
      </c>
      <c r="C11" s="55">
        <f>Calc_Revenue_Opex!C16</f>
        <v/>
      </c>
      <c r="D11" s="55">
        <f>Calc_Revenue_Opex!D16</f>
        <v/>
      </c>
      <c r="E11" s="55">
        <f>Calc_Revenue_Opex!E16</f>
        <v/>
      </c>
      <c r="F11" s="55">
        <f>Calc_Revenue_Opex!F16</f>
        <v/>
      </c>
      <c r="G11" s="55">
        <f>Calc_Revenue_Opex!G16</f>
        <v/>
      </c>
      <c r="H11" s="55">
        <f>Calc_Revenue_Opex!H16</f>
        <v/>
      </c>
      <c r="I11" s="55">
        <f>Calc_Revenue_Opex!I16</f>
        <v/>
      </c>
      <c r="J11" s="55">
        <f>Calc_Revenue_Opex!J16</f>
        <v/>
      </c>
      <c r="K11" s="55">
        <f>Calc_Revenue_Opex!K16</f>
        <v/>
      </c>
      <c r="L11" s="55">
        <f>Calc_Revenue_Opex!L16</f>
        <v/>
      </c>
      <c r="M11" s="55">
        <f>Calc_Revenue_Opex!M16</f>
        <v/>
      </c>
      <c r="N11" s="55">
        <f>Calc_Revenue_Opex!N16</f>
        <v/>
      </c>
      <c r="O11" s="55">
        <f>Calc_Revenue_Opex!O16</f>
        <v/>
      </c>
      <c r="P11" s="55">
        <f>Calc_Revenue_Opex!P16</f>
        <v/>
      </c>
      <c r="Q11" s="55">
        <f>Calc_Revenue_Opex!Q16</f>
        <v/>
      </c>
      <c r="R11" s="55">
        <f>Calc_Revenue_Opex!R16</f>
        <v/>
      </c>
      <c r="S11" s="55">
        <f>Calc_Revenue_Opex!S16</f>
        <v/>
      </c>
      <c r="T11" s="55">
        <f>Calc_Revenue_Opex!T16</f>
        <v/>
      </c>
      <c r="U11" s="55">
        <f>Calc_Revenue_Opex!U16</f>
        <v/>
      </c>
      <c r="V11" s="55">
        <f>Calc_Revenue_Opex!V16</f>
        <v/>
      </c>
      <c r="W11" s="55">
        <f>Calc_Revenue_Opex!W16</f>
        <v/>
      </c>
      <c r="X11" s="55">
        <f>Calc_Revenue_Opex!X16</f>
        <v/>
      </c>
      <c r="Y11" s="55">
        <f>Calc_Revenue_Opex!Y16</f>
        <v/>
      </c>
      <c r="Z11" s="55">
        <f>Calc_Revenue_Opex!Z16</f>
        <v/>
      </c>
      <c r="AA11" s="55">
        <f>Calc_Revenue_Opex!AA16</f>
        <v/>
      </c>
      <c r="AB11" s="55">
        <f>Calc_Revenue_Opex!AB16</f>
        <v/>
      </c>
      <c r="AC11" s="55">
        <f>Calc_Revenue_Opex!AC16</f>
        <v/>
      </c>
      <c r="AD11" s="55">
        <f>Calc_Revenue_Opex!AD16</f>
        <v/>
      </c>
      <c r="AE11" s="55">
        <f>Calc_Revenue_Opex!AE16</f>
        <v/>
      </c>
      <c r="AF11" s="55">
        <f>Calc_Revenue_Opex!AF16</f>
        <v/>
      </c>
      <c r="AG11" s="55">
        <f>Calc_Revenue_Opex!AG16</f>
        <v/>
      </c>
      <c r="AH11" s="55">
        <f>Calc_Revenue_Opex!AH16</f>
        <v/>
      </c>
      <c r="AI11" s="55">
        <f>Calc_Revenue_Opex!AI16</f>
        <v/>
      </c>
      <c r="AJ11" s="55">
        <f>Calc_Revenue_Opex!AJ16</f>
        <v/>
      </c>
      <c r="AK11" s="55">
        <f>Calc_Revenue_Opex!AK16</f>
        <v/>
      </c>
      <c r="AL11" s="55">
        <f>Calc_Revenue_Opex!AL16</f>
        <v/>
      </c>
      <c r="AM11" s="55">
        <f>Calc_Revenue_Opex!AM16</f>
        <v/>
      </c>
      <c r="AN11" s="55">
        <f>Calc_Revenue_Opex!AN16</f>
        <v/>
      </c>
      <c r="AO11" s="55">
        <f>Calc_Revenue_Opex!AO16</f>
        <v/>
      </c>
      <c r="AP11" s="55">
        <f>Calc_Revenue_Opex!AP16</f>
        <v/>
      </c>
      <c r="AQ11" s="55">
        <f>Calc_Revenue_Opex!AQ16</f>
        <v/>
      </c>
      <c r="AR11" s="55">
        <f>Calc_Revenue_Opex!AR16</f>
        <v/>
      </c>
      <c r="AS11" s="55">
        <f>Calc_Revenue_Opex!AS16</f>
        <v/>
      </c>
      <c r="AT11" s="55">
        <f>Calc_Revenue_Opex!AT16</f>
        <v/>
      </c>
      <c r="AU11" s="55">
        <f>Calc_Revenue_Opex!AU16</f>
        <v/>
      </c>
      <c r="AV11" s="55">
        <f>Calc_Revenue_Opex!AV16</f>
        <v/>
      </c>
      <c r="AW11" s="55">
        <f>Calc_Revenue_Opex!AW16</f>
        <v/>
      </c>
      <c r="AX11" s="55">
        <f>Calc_Revenue_Opex!AX16</f>
        <v/>
      </c>
      <c r="AY11" s="55">
        <f>Calc_Revenue_Opex!AY16</f>
        <v/>
      </c>
      <c r="AZ11" s="55">
        <f>Calc_Revenue_Opex!AZ16</f>
        <v/>
      </c>
      <c r="BA11" s="55">
        <f>Calc_Revenue_Opex!BA16</f>
        <v/>
      </c>
      <c r="BB11" s="55">
        <f>Calc_Revenue_Opex!BB16</f>
        <v/>
      </c>
      <c r="BC11" s="55">
        <f>Calc_Revenue_Opex!BC16</f>
        <v/>
      </c>
      <c r="BD11" s="55">
        <f>Calc_Revenue_Opex!BD16</f>
        <v/>
      </c>
      <c r="BE11" s="55">
        <f>Calc_Revenue_Opex!BE16</f>
        <v/>
      </c>
      <c r="BF11" s="55">
        <f>Calc_Revenue_Opex!BF16</f>
        <v/>
      </c>
      <c r="BG11" s="55">
        <f>Calc_Revenue_Opex!BG16</f>
        <v/>
      </c>
      <c r="BH11" s="55">
        <f>Calc_Revenue_Opex!BH16</f>
        <v/>
      </c>
      <c r="BI11" s="55">
        <f>Calc_Revenue_Opex!BI16</f>
        <v/>
      </c>
      <c r="BJ11" s="55">
        <f>Calc_Revenue_Opex!BJ16</f>
        <v/>
      </c>
      <c r="BK11" s="55">
        <f>Calc_Revenue_Opex!BK16</f>
        <v/>
      </c>
      <c r="BL11" s="55">
        <f>Calc_Revenue_Opex!BL16</f>
        <v/>
      </c>
      <c r="BM11" s="55">
        <f>Calc_Revenue_Opex!BM16</f>
        <v/>
      </c>
      <c r="BN11" s="55">
        <f>Calc_Revenue_Opex!BN16</f>
        <v/>
      </c>
      <c r="BO11" s="55">
        <f>Calc_Revenue_Opex!BO16</f>
        <v/>
      </c>
      <c r="BP11" s="55">
        <f>Calc_Revenue_Opex!BP16</f>
        <v/>
      </c>
      <c r="BQ11" s="55">
        <f>Calc_Revenue_Opex!BQ16</f>
        <v/>
      </c>
      <c r="BR11" s="55">
        <f>Calc_Revenue_Opex!BR16</f>
        <v/>
      </c>
      <c r="BS11" s="55">
        <f>Calc_Revenue_Opex!BS16</f>
        <v/>
      </c>
      <c r="BT11" s="55">
        <f>Calc_Revenue_Opex!BT16</f>
        <v/>
      </c>
      <c r="BU11" s="55">
        <f>Calc_Revenue_Opex!BU16</f>
        <v/>
      </c>
      <c r="BV11" s="55">
        <f>Calc_Revenue_Opex!BV16</f>
        <v/>
      </c>
      <c r="BW11" s="55">
        <f>Calc_Revenue_Opex!BW16</f>
        <v/>
      </c>
      <c r="BX11" s="55">
        <f>Calc_Revenue_Opex!BX16</f>
        <v/>
      </c>
      <c r="BY11" s="55">
        <f>Calc_Revenue_Opex!BY16</f>
        <v/>
      </c>
      <c r="BZ11" s="55">
        <f>Calc_Revenue_Opex!BZ16</f>
        <v/>
      </c>
      <c r="CA11" s="55">
        <f>Calc_Revenue_Opex!CA16</f>
        <v/>
      </c>
      <c r="CB11" s="55">
        <f>Calc_Revenue_Opex!CB16</f>
        <v/>
      </c>
      <c r="CC11" s="55">
        <f>Calc_Revenue_Opex!CC16</f>
        <v/>
      </c>
      <c r="CD11" s="55">
        <f>Calc_Revenue_Opex!CD16</f>
        <v/>
      </c>
    </row>
    <row r="12">
      <c r="A12" t="inlineStr">
        <is>
          <t>MRA Target ($) = next 4 quarters' maintenance capex</t>
        </is>
      </c>
      <c r="C12" s="64">
        <f>SUM(D11:G11)</f>
        <v/>
      </c>
      <c r="D12" s="64">
        <f>SUM(E11:H11)</f>
        <v/>
      </c>
      <c r="E12" s="64">
        <f>SUM(F11:I11)</f>
        <v/>
      </c>
      <c r="F12" s="64">
        <f>SUM(G11:J11)</f>
        <v/>
      </c>
      <c r="G12" s="64">
        <f>SUM(H11:K11)</f>
        <v/>
      </c>
      <c r="H12" s="64">
        <f>SUM(I11:L11)</f>
        <v/>
      </c>
      <c r="I12" s="64">
        <f>SUM(J11:M11)</f>
        <v/>
      </c>
      <c r="J12" s="64">
        <f>SUM(K11:N11)</f>
        <v/>
      </c>
      <c r="K12" s="64">
        <f>SUM(L11:O11)</f>
        <v/>
      </c>
      <c r="L12" s="64">
        <f>SUM(M11:P11)</f>
        <v/>
      </c>
      <c r="M12" s="64">
        <f>SUM(N11:Q11)</f>
        <v/>
      </c>
      <c r="N12" s="64">
        <f>SUM(O11:R11)</f>
        <v/>
      </c>
      <c r="O12" s="64">
        <f>SUM(P11:S11)</f>
        <v/>
      </c>
      <c r="P12" s="64">
        <f>SUM(Q11:T11)</f>
        <v/>
      </c>
      <c r="Q12" s="64">
        <f>SUM(R11:U11)</f>
        <v/>
      </c>
      <c r="R12" s="64">
        <f>SUM(S11:V11)</f>
        <v/>
      </c>
      <c r="S12" s="64">
        <f>SUM(T11:W11)</f>
        <v/>
      </c>
      <c r="T12" s="64">
        <f>SUM(U11:X11)</f>
        <v/>
      </c>
      <c r="U12" s="64">
        <f>SUM(V11:Y11)</f>
        <v/>
      </c>
      <c r="V12" s="64">
        <f>SUM(W11:Z11)</f>
        <v/>
      </c>
      <c r="W12" s="64">
        <f>SUM(X11:AA11)</f>
        <v/>
      </c>
      <c r="X12" s="64">
        <f>SUM(Y11:AB11)</f>
        <v/>
      </c>
      <c r="Y12" s="64">
        <f>SUM(Z11:AC11)</f>
        <v/>
      </c>
      <c r="Z12" s="64">
        <f>SUM(AA11:AD11)</f>
        <v/>
      </c>
      <c r="AA12" s="64">
        <f>SUM(AB11:AE11)</f>
        <v/>
      </c>
      <c r="AB12" s="64">
        <f>SUM(AC11:AF11)</f>
        <v/>
      </c>
      <c r="AC12" s="64">
        <f>SUM(AD11:AG11)</f>
        <v/>
      </c>
      <c r="AD12" s="64">
        <f>SUM(AE11:AH11)</f>
        <v/>
      </c>
      <c r="AE12" s="64">
        <f>SUM(AF11:AI11)</f>
        <v/>
      </c>
      <c r="AF12" s="64">
        <f>SUM(AG11:AJ11)</f>
        <v/>
      </c>
      <c r="AG12" s="64">
        <f>SUM(AH11:AK11)</f>
        <v/>
      </c>
      <c r="AH12" s="64">
        <f>SUM(AI11:AL11)</f>
        <v/>
      </c>
      <c r="AI12" s="64">
        <f>SUM(AJ11:AM11)</f>
        <v/>
      </c>
      <c r="AJ12" s="64">
        <f>SUM(AK11:AN11)</f>
        <v/>
      </c>
      <c r="AK12" s="64">
        <f>SUM(AL11:AO11)</f>
        <v/>
      </c>
      <c r="AL12" s="64">
        <f>SUM(AM11:AP11)</f>
        <v/>
      </c>
      <c r="AM12" s="64">
        <f>SUM(AN11:AQ11)</f>
        <v/>
      </c>
      <c r="AN12" s="64">
        <f>SUM(AO11:AR11)</f>
        <v/>
      </c>
      <c r="AO12" s="64">
        <f>SUM(AP11:AS11)</f>
        <v/>
      </c>
      <c r="AP12" s="64">
        <f>SUM(AQ11:AT11)</f>
        <v/>
      </c>
      <c r="AQ12" s="64">
        <f>SUM(AR11:AU11)</f>
        <v/>
      </c>
      <c r="AR12" s="64">
        <f>SUM(AS11:AV11)</f>
        <v/>
      </c>
      <c r="AS12" s="64">
        <f>SUM(AT11:AW11)</f>
        <v/>
      </c>
      <c r="AT12" s="64">
        <f>SUM(AU11:AX11)</f>
        <v/>
      </c>
      <c r="AU12" s="64">
        <f>SUM(AV11:AY11)</f>
        <v/>
      </c>
      <c r="AV12" s="64">
        <f>SUM(AW11:AZ11)</f>
        <v/>
      </c>
      <c r="AW12" s="64">
        <f>SUM(AX11:BA11)</f>
        <v/>
      </c>
      <c r="AX12" s="64">
        <f>SUM(AY11:BB11)</f>
        <v/>
      </c>
      <c r="AY12" s="64">
        <f>SUM(AZ11:BC11)</f>
        <v/>
      </c>
      <c r="AZ12" s="64">
        <f>SUM(BA11:BD11)</f>
        <v/>
      </c>
      <c r="BA12" s="64">
        <f>SUM(BB11:BE11)</f>
        <v/>
      </c>
      <c r="BB12" s="64">
        <f>SUM(BC11:BF11)</f>
        <v/>
      </c>
      <c r="BC12" s="64">
        <f>SUM(BD11:BG11)</f>
        <v/>
      </c>
      <c r="BD12" s="64">
        <f>SUM(BE11:BH11)</f>
        <v/>
      </c>
      <c r="BE12" s="64">
        <f>SUM(BF11:BI11)</f>
        <v/>
      </c>
      <c r="BF12" s="64">
        <f>SUM(BG11:BJ11)</f>
        <v/>
      </c>
      <c r="BG12" s="64">
        <f>SUM(BH11:BK11)</f>
        <v/>
      </c>
      <c r="BH12" s="64">
        <f>SUM(BI11:BL11)</f>
        <v/>
      </c>
      <c r="BI12" s="64">
        <f>SUM(BJ11:BM11)</f>
        <v/>
      </c>
      <c r="BJ12" s="64">
        <f>SUM(BK11:BN11)</f>
        <v/>
      </c>
      <c r="BK12" s="64">
        <f>SUM(BL11:BO11)</f>
        <v/>
      </c>
      <c r="BL12" s="64">
        <f>SUM(BM11:BP11)</f>
        <v/>
      </c>
      <c r="BM12" s="64">
        <f>SUM(BN11:BQ11)</f>
        <v/>
      </c>
      <c r="BN12" s="64">
        <f>SUM(BO11:BR11)</f>
        <v/>
      </c>
      <c r="BO12" s="64">
        <f>SUM(BP11:BS11)</f>
        <v/>
      </c>
      <c r="BP12" s="64">
        <f>SUM(BQ11:BT11)</f>
        <v/>
      </c>
      <c r="BQ12" s="64">
        <f>SUM(BR11:BU11)</f>
        <v/>
      </c>
      <c r="BR12" s="64">
        <f>SUM(BS11:BV11)</f>
        <v/>
      </c>
      <c r="BS12" s="64">
        <f>SUM(BT11:BW11)</f>
        <v/>
      </c>
      <c r="BT12" s="64">
        <f>SUM(BU11:BX11)</f>
        <v/>
      </c>
      <c r="BU12" s="64">
        <f>SUM(BV11:BY11)</f>
        <v/>
      </c>
      <c r="BV12" s="64">
        <f>SUM(BW11:BZ11)</f>
        <v/>
      </c>
      <c r="BW12" s="64">
        <f>SUM(BX11:CA11)</f>
        <v/>
      </c>
      <c r="BX12" s="64">
        <f>SUM(BY11:CB11)</f>
        <v/>
      </c>
      <c r="BY12" s="64">
        <f>SUM(BZ11:CC11)</f>
        <v/>
      </c>
      <c r="BZ12" s="64">
        <f>SUM(CA11:CD11)</f>
        <v/>
      </c>
      <c r="CA12" s="64">
        <f>SUM(CB11:CD11)</f>
        <v/>
      </c>
      <c r="CB12" s="64">
        <f>SUM(CC11:CD11)</f>
        <v/>
      </c>
      <c r="CC12" s="64">
        <f>SUM(CD11:CD11)</f>
        <v/>
      </c>
      <c r="CD12" s="64">
        <f>0</f>
        <v/>
      </c>
    </row>
    <row r="13">
      <c r="A13" t="inlineStr">
        <is>
          <t>MRA Balance ($)</t>
        </is>
      </c>
      <c r="C13" s="64">
        <f>C12</f>
        <v/>
      </c>
      <c r="D13" s="64">
        <f>D12</f>
        <v/>
      </c>
      <c r="E13" s="64">
        <f>E12</f>
        <v/>
      </c>
      <c r="F13" s="64">
        <f>F12</f>
        <v/>
      </c>
      <c r="G13" s="64">
        <f>G12</f>
        <v/>
      </c>
      <c r="H13" s="64">
        <f>H12</f>
        <v/>
      </c>
      <c r="I13" s="64">
        <f>I12</f>
        <v/>
      </c>
      <c r="J13" s="64">
        <f>J12</f>
        <v/>
      </c>
      <c r="K13" s="64">
        <f>K12</f>
        <v/>
      </c>
      <c r="L13" s="64">
        <f>L12</f>
        <v/>
      </c>
      <c r="M13" s="64">
        <f>M12</f>
        <v/>
      </c>
      <c r="N13" s="64">
        <f>N12</f>
        <v/>
      </c>
      <c r="O13" s="64">
        <f>O12</f>
        <v/>
      </c>
      <c r="P13" s="64">
        <f>P12</f>
        <v/>
      </c>
      <c r="Q13" s="64">
        <f>Q12</f>
        <v/>
      </c>
      <c r="R13" s="64">
        <f>R12</f>
        <v/>
      </c>
      <c r="S13" s="64">
        <f>S12</f>
        <v/>
      </c>
      <c r="T13" s="64">
        <f>T12</f>
        <v/>
      </c>
      <c r="U13" s="64">
        <f>U12</f>
        <v/>
      </c>
      <c r="V13" s="64">
        <f>V12</f>
        <v/>
      </c>
      <c r="W13" s="64">
        <f>W12</f>
        <v/>
      </c>
      <c r="X13" s="64">
        <f>X12</f>
        <v/>
      </c>
      <c r="Y13" s="64">
        <f>Y12</f>
        <v/>
      </c>
      <c r="Z13" s="64">
        <f>Z12</f>
        <v/>
      </c>
      <c r="AA13" s="64">
        <f>AA12</f>
        <v/>
      </c>
      <c r="AB13" s="64">
        <f>AB12</f>
        <v/>
      </c>
      <c r="AC13" s="64">
        <f>AC12</f>
        <v/>
      </c>
      <c r="AD13" s="64">
        <f>AD12</f>
        <v/>
      </c>
      <c r="AE13" s="64">
        <f>AE12</f>
        <v/>
      </c>
      <c r="AF13" s="64">
        <f>AF12</f>
        <v/>
      </c>
      <c r="AG13" s="64">
        <f>AG12</f>
        <v/>
      </c>
      <c r="AH13" s="64">
        <f>AH12</f>
        <v/>
      </c>
      <c r="AI13" s="64">
        <f>AI12</f>
        <v/>
      </c>
      <c r="AJ13" s="64">
        <f>AJ12</f>
        <v/>
      </c>
      <c r="AK13" s="64">
        <f>AK12</f>
        <v/>
      </c>
      <c r="AL13" s="64">
        <f>AL12</f>
        <v/>
      </c>
      <c r="AM13" s="64">
        <f>AM12</f>
        <v/>
      </c>
      <c r="AN13" s="64">
        <f>AN12</f>
        <v/>
      </c>
      <c r="AO13" s="64">
        <f>AO12</f>
        <v/>
      </c>
      <c r="AP13" s="64">
        <f>AP12</f>
        <v/>
      </c>
      <c r="AQ13" s="64">
        <f>AQ12</f>
        <v/>
      </c>
      <c r="AR13" s="64">
        <f>AR12</f>
        <v/>
      </c>
      <c r="AS13" s="64">
        <f>AS12</f>
        <v/>
      </c>
      <c r="AT13" s="64">
        <f>AT12</f>
        <v/>
      </c>
      <c r="AU13" s="64">
        <f>AU12</f>
        <v/>
      </c>
      <c r="AV13" s="64">
        <f>AV12</f>
        <v/>
      </c>
      <c r="AW13" s="64">
        <f>AW12</f>
        <v/>
      </c>
      <c r="AX13" s="64">
        <f>AX12</f>
        <v/>
      </c>
      <c r="AY13" s="64">
        <f>AY12</f>
        <v/>
      </c>
      <c r="AZ13" s="64">
        <f>AZ12</f>
        <v/>
      </c>
      <c r="BA13" s="64">
        <f>BA12</f>
        <v/>
      </c>
      <c r="BB13" s="64">
        <f>BB12</f>
        <v/>
      </c>
      <c r="BC13" s="64">
        <f>BC12</f>
        <v/>
      </c>
      <c r="BD13" s="64">
        <f>BD12</f>
        <v/>
      </c>
      <c r="BE13" s="64">
        <f>BE12</f>
        <v/>
      </c>
      <c r="BF13" s="64">
        <f>BF12</f>
        <v/>
      </c>
      <c r="BG13" s="64">
        <f>BG12</f>
        <v/>
      </c>
      <c r="BH13" s="64">
        <f>BH12</f>
        <v/>
      </c>
      <c r="BI13" s="64">
        <f>BI12</f>
        <v/>
      </c>
      <c r="BJ13" s="64">
        <f>BJ12</f>
        <v/>
      </c>
      <c r="BK13" s="64">
        <f>BK12</f>
        <v/>
      </c>
      <c r="BL13" s="64">
        <f>BL12</f>
        <v/>
      </c>
      <c r="BM13" s="64">
        <f>BM12</f>
        <v/>
      </c>
      <c r="BN13" s="64">
        <f>BN12</f>
        <v/>
      </c>
      <c r="BO13" s="64">
        <f>BO12</f>
        <v/>
      </c>
      <c r="BP13" s="64">
        <f>BP12</f>
        <v/>
      </c>
      <c r="BQ13" s="64">
        <f>BQ12</f>
        <v/>
      </c>
      <c r="BR13" s="64">
        <f>BR12</f>
        <v/>
      </c>
      <c r="BS13" s="64">
        <f>BS12</f>
        <v/>
      </c>
      <c r="BT13" s="64">
        <f>BT12</f>
        <v/>
      </c>
      <c r="BU13" s="64">
        <f>BU12</f>
        <v/>
      </c>
      <c r="BV13" s="64">
        <f>BV12</f>
        <v/>
      </c>
      <c r="BW13" s="64">
        <f>BW12</f>
        <v/>
      </c>
      <c r="BX13" s="64">
        <f>BX12</f>
        <v/>
      </c>
      <c r="BY13" s="64">
        <f>BY12</f>
        <v/>
      </c>
      <c r="BZ13" s="64">
        <f>BZ12</f>
        <v/>
      </c>
      <c r="CA13" s="64">
        <f>CA12</f>
        <v/>
      </c>
      <c r="CB13" s="64">
        <f>CB12</f>
        <v/>
      </c>
      <c r="CC13" s="64">
        <f>CC12</f>
        <v/>
      </c>
      <c r="CD13" s="64">
        <f>CD12</f>
        <v/>
      </c>
    </row>
    <row r="14">
      <c r="A14" t="inlineStr">
        <is>
          <t>MRA Funding/(Release) ($) — releases as the spend it pre-funded lands</t>
        </is>
      </c>
      <c r="C14" s="64">
        <f>C13</f>
        <v/>
      </c>
      <c r="D14" s="64">
        <f>D13-C13</f>
        <v/>
      </c>
      <c r="E14" s="64">
        <f>E13-D13</f>
        <v/>
      </c>
      <c r="F14" s="64">
        <f>F13-E13</f>
        <v/>
      </c>
      <c r="G14" s="64">
        <f>G13-F13</f>
        <v/>
      </c>
      <c r="H14" s="64">
        <f>H13-G13</f>
        <v/>
      </c>
      <c r="I14" s="64">
        <f>I13-H13</f>
        <v/>
      </c>
      <c r="J14" s="64">
        <f>J13-I13</f>
        <v/>
      </c>
      <c r="K14" s="64">
        <f>K13-J13</f>
        <v/>
      </c>
      <c r="L14" s="64">
        <f>L13-K13</f>
        <v/>
      </c>
      <c r="M14" s="64">
        <f>M13-L13</f>
        <v/>
      </c>
      <c r="N14" s="64">
        <f>N13-M13</f>
        <v/>
      </c>
      <c r="O14" s="64">
        <f>O13-N13</f>
        <v/>
      </c>
      <c r="P14" s="64">
        <f>P13-O13</f>
        <v/>
      </c>
      <c r="Q14" s="64">
        <f>Q13-P13</f>
        <v/>
      </c>
      <c r="R14" s="64">
        <f>R13-Q13</f>
        <v/>
      </c>
      <c r="S14" s="64">
        <f>S13-R13</f>
        <v/>
      </c>
      <c r="T14" s="64">
        <f>T13-S13</f>
        <v/>
      </c>
      <c r="U14" s="64">
        <f>U13-T13</f>
        <v/>
      </c>
      <c r="V14" s="64">
        <f>V13-U13</f>
        <v/>
      </c>
      <c r="W14" s="64">
        <f>W13-V13</f>
        <v/>
      </c>
      <c r="X14" s="64">
        <f>X13-W13</f>
        <v/>
      </c>
      <c r="Y14" s="64">
        <f>Y13-X13</f>
        <v/>
      </c>
      <c r="Z14" s="64">
        <f>Z13-Y13</f>
        <v/>
      </c>
      <c r="AA14" s="64">
        <f>AA13-Z13</f>
        <v/>
      </c>
      <c r="AB14" s="64">
        <f>AB13-AA13</f>
        <v/>
      </c>
      <c r="AC14" s="64">
        <f>AC13-AB13</f>
        <v/>
      </c>
      <c r="AD14" s="64">
        <f>AD13-AC13</f>
        <v/>
      </c>
      <c r="AE14" s="64">
        <f>AE13-AD13</f>
        <v/>
      </c>
      <c r="AF14" s="64">
        <f>AF13-AE13</f>
        <v/>
      </c>
      <c r="AG14" s="64">
        <f>AG13-AF13</f>
        <v/>
      </c>
      <c r="AH14" s="64">
        <f>AH13-AG13</f>
        <v/>
      </c>
      <c r="AI14" s="64">
        <f>AI13-AH13</f>
        <v/>
      </c>
      <c r="AJ14" s="64">
        <f>AJ13-AI13</f>
        <v/>
      </c>
      <c r="AK14" s="64">
        <f>AK13-AJ13</f>
        <v/>
      </c>
      <c r="AL14" s="64">
        <f>AL13-AK13</f>
        <v/>
      </c>
      <c r="AM14" s="64">
        <f>AM13-AL13</f>
        <v/>
      </c>
      <c r="AN14" s="64">
        <f>AN13-AM13</f>
        <v/>
      </c>
      <c r="AO14" s="64">
        <f>AO13-AN13</f>
        <v/>
      </c>
      <c r="AP14" s="64">
        <f>AP13-AO13</f>
        <v/>
      </c>
      <c r="AQ14" s="64">
        <f>AQ13-AP13</f>
        <v/>
      </c>
      <c r="AR14" s="64">
        <f>AR13-AQ13</f>
        <v/>
      </c>
      <c r="AS14" s="64">
        <f>AS13-AR13</f>
        <v/>
      </c>
      <c r="AT14" s="64">
        <f>AT13-AS13</f>
        <v/>
      </c>
      <c r="AU14" s="64">
        <f>AU13-AT13</f>
        <v/>
      </c>
      <c r="AV14" s="64">
        <f>AV13-AU13</f>
        <v/>
      </c>
      <c r="AW14" s="64">
        <f>AW13-AV13</f>
        <v/>
      </c>
      <c r="AX14" s="64">
        <f>AX13-AW13</f>
        <v/>
      </c>
      <c r="AY14" s="64">
        <f>AY13-AX13</f>
        <v/>
      </c>
      <c r="AZ14" s="64">
        <f>AZ13-AY13</f>
        <v/>
      </c>
      <c r="BA14" s="64">
        <f>BA13-AZ13</f>
        <v/>
      </c>
      <c r="BB14" s="64">
        <f>BB13-BA13</f>
        <v/>
      </c>
      <c r="BC14" s="64">
        <f>BC13-BB13</f>
        <v/>
      </c>
      <c r="BD14" s="64">
        <f>BD13-BC13</f>
        <v/>
      </c>
      <c r="BE14" s="64">
        <f>BE13-BD13</f>
        <v/>
      </c>
      <c r="BF14" s="64">
        <f>BF13-BE13</f>
        <v/>
      </c>
      <c r="BG14" s="64">
        <f>BG13-BF13</f>
        <v/>
      </c>
      <c r="BH14" s="64">
        <f>BH13-BG13</f>
        <v/>
      </c>
      <c r="BI14" s="64">
        <f>BI13-BH13</f>
        <v/>
      </c>
      <c r="BJ14" s="64">
        <f>BJ13-BI13</f>
        <v/>
      </c>
      <c r="BK14" s="64">
        <f>BK13-BJ13</f>
        <v/>
      </c>
      <c r="BL14" s="64">
        <f>BL13-BK13</f>
        <v/>
      </c>
      <c r="BM14" s="64">
        <f>BM13-BL13</f>
        <v/>
      </c>
      <c r="BN14" s="64">
        <f>BN13-BM13</f>
        <v/>
      </c>
      <c r="BO14" s="64">
        <f>BO13-BN13</f>
        <v/>
      </c>
      <c r="BP14" s="64">
        <f>BP13-BO13</f>
        <v/>
      </c>
      <c r="BQ14" s="64">
        <f>BQ13-BP13</f>
        <v/>
      </c>
      <c r="BR14" s="64">
        <f>BR13-BQ13</f>
        <v/>
      </c>
      <c r="BS14" s="64">
        <f>BS13-BR13</f>
        <v/>
      </c>
      <c r="BT14" s="64">
        <f>BT13-BS13</f>
        <v/>
      </c>
      <c r="BU14" s="64">
        <f>BU13-BT13</f>
        <v/>
      </c>
      <c r="BV14" s="64">
        <f>BV13-BU13</f>
        <v/>
      </c>
      <c r="BW14" s="64">
        <f>BW13-BV13</f>
        <v/>
      </c>
      <c r="BX14" s="64">
        <f>BX13-BW13</f>
        <v/>
      </c>
      <c r="BY14" s="64">
        <f>BY13-BX13</f>
        <v/>
      </c>
      <c r="BZ14" s="64">
        <f>BZ13-BY13</f>
        <v/>
      </c>
      <c r="CA14" s="64">
        <f>CA13-BZ13</f>
        <v/>
      </c>
      <c r="CB14" s="64">
        <f>CB13-CA13</f>
        <v/>
      </c>
      <c r="CC14" s="64">
        <f>CC13-CB13</f>
        <v/>
      </c>
      <c r="CD14" s="64">
        <f>CD13-CC13</f>
        <v/>
      </c>
    </row>
    <row r="16">
      <c r="A16" t="inlineStr">
        <is>
          <t>FCFE ($) = CFADS - Debt Service - DSRA - MRA - Maintenance Capex</t>
        </is>
      </c>
      <c r="C16" s="64">
        <f>C7-C9-C14-C11</f>
        <v/>
      </c>
      <c r="D16" s="64">
        <f>D7-D9-D14-D11</f>
        <v/>
      </c>
      <c r="E16" s="64">
        <f>E7-E9-E14-E11</f>
        <v/>
      </c>
      <c r="F16" s="64">
        <f>F7-F9-F14-F11</f>
        <v/>
      </c>
      <c r="G16" s="64">
        <f>G7-G9-G14-G11</f>
        <v/>
      </c>
      <c r="H16" s="64">
        <f>H7-H9-H14-H11</f>
        <v/>
      </c>
      <c r="I16" s="64">
        <f>I7-I9-I14-I11</f>
        <v/>
      </c>
      <c r="J16" s="64">
        <f>J7-J9-J14-J11</f>
        <v/>
      </c>
      <c r="K16" s="64">
        <f>K7-K9-K14-K11</f>
        <v/>
      </c>
      <c r="L16" s="64">
        <f>L7-L9-L14-L11</f>
        <v/>
      </c>
      <c r="M16" s="64">
        <f>M7-M9-M14-M11</f>
        <v/>
      </c>
      <c r="N16" s="64">
        <f>N7-N9-N14-N11</f>
        <v/>
      </c>
      <c r="O16" s="64">
        <f>O7-O9-O14-O11</f>
        <v/>
      </c>
      <c r="P16" s="64">
        <f>P7-P9-P14-P11</f>
        <v/>
      </c>
      <c r="Q16" s="64">
        <f>Q7-Q9-Q14-Q11</f>
        <v/>
      </c>
      <c r="R16" s="64">
        <f>R7-R9-R14-R11</f>
        <v/>
      </c>
      <c r="S16" s="64">
        <f>S7-S9-S14-S11</f>
        <v/>
      </c>
      <c r="T16" s="64">
        <f>T7-T9-T14-T11</f>
        <v/>
      </c>
      <c r="U16" s="64">
        <f>U7-U9-U14-U11</f>
        <v/>
      </c>
      <c r="V16" s="64">
        <f>V7-V9-V14-V11</f>
        <v/>
      </c>
      <c r="W16" s="64">
        <f>W7-W9-W14-W11</f>
        <v/>
      </c>
      <c r="X16" s="64">
        <f>X7-X9-X14-X11</f>
        <v/>
      </c>
      <c r="Y16" s="64">
        <f>Y7-Y9-Y14-Y11</f>
        <v/>
      </c>
      <c r="Z16" s="64">
        <f>Z7-Z9-Z14-Z11</f>
        <v/>
      </c>
      <c r="AA16" s="64">
        <f>AA7-AA9-AA14-AA11</f>
        <v/>
      </c>
      <c r="AB16" s="64">
        <f>AB7-AB9-AB14-AB11</f>
        <v/>
      </c>
      <c r="AC16" s="64">
        <f>AC7-AC9-AC14-AC11</f>
        <v/>
      </c>
      <c r="AD16" s="64">
        <f>AD7-AD9-AD14-AD11</f>
        <v/>
      </c>
      <c r="AE16" s="64">
        <f>AE7-AE9-AE14-AE11</f>
        <v/>
      </c>
      <c r="AF16" s="64">
        <f>AF7-AF9-AF14-AF11</f>
        <v/>
      </c>
      <c r="AG16" s="64">
        <f>AG7-AG9-AG14-AG11</f>
        <v/>
      </c>
      <c r="AH16" s="64">
        <f>AH7-AH9-AH14-AH11</f>
        <v/>
      </c>
      <c r="AI16" s="64">
        <f>AI7-AI9-AI14-AI11</f>
        <v/>
      </c>
      <c r="AJ16" s="64">
        <f>AJ7-AJ9-AJ14-AJ11</f>
        <v/>
      </c>
      <c r="AK16" s="64">
        <f>AK7-AK9-AK14-AK11</f>
        <v/>
      </c>
      <c r="AL16" s="64">
        <f>AL7-AL9-AL14-AL11</f>
        <v/>
      </c>
      <c r="AM16" s="64">
        <f>AM7-AM9-AM14-AM11</f>
        <v/>
      </c>
      <c r="AN16" s="64">
        <f>AN7-AN9-AN14-AN11</f>
        <v/>
      </c>
      <c r="AO16" s="64">
        <f>AO7-AO9-AO14-AO11</f>
        <v/>
      </c>
      <c r="AP16" s="64">
        <f>AP7-AP9-AP14-AP11</f>
        <v/>
      </c>
      <c r="AQ16" s="64">
        <f>AQ7-AQ9-AQ14-AQ11</f>
        <v/>
      </c>
      <c r="AR16" s="64">
        <f>AR7-AR9-AR14-AR11</f>
        <v/>
      </c>
      <c r="AS16" s="64">
        <f>AS7-AS9-AS14-AS11</f>
        <v/>
      </c>
      <c r="AT16" s="64">
        <f>AT7-AT9-AT14-AT11</f>
        <v/>
      </c>
      <c r="AU16" s="64">
        <f>AU7-AU9-AU14-AU11</f>
        <v/>
      </c>
      <c r="AV16" s="64">
        <f>AV7-AV9-AV14-AV11</f>
        <v/>
      </c>
      <c r="AW16" s="64">
        <f>AW7-AW9-AW14-AW11</f>
        <v/>
      </c>
      <c r="AX16" s="64">
        <f>AX7-AX9-AX14-AX11</f>
        <v/>
      </c>
      <c r="AY16" s="64">
        <f>AY7-AY9-AY14-AY11</f>
        <v/>
      </c>
      <c r="AZ16" s="64">
        <f>AZ7-AZ9-AZ14-AZ11</f>
        <v/>
      </c>
      <c r="BA16" s="64">
        <f>BA7-BA9-BA14-BA11</f>
        <v/>
      </c>
      <c r="BB16" s="64">
        <f>BB7-BB9-BB14-BB11</f>
        <v/>
      </c>
      <c r="BC16" s="64">
        <f>BC7-BC9-BC14-BC11</f>
        <v/>
      </c>
      <c r="BD16" s="64">
        <f>BD7-BD9-BD14-BD11</f>
        <v/>
      </c>
      <c r="BE16" s="64">
        <f>BE7-BE9-BE14-BE11</f>
        <v/>
      </c>
      <c r="BF16" s="64">
        <f>BF7-BF9-BF14-BF11</f>
        <v/>
      </c>
      <c r="BG16" s="64">
        <f>BG7-BG9-BG14-BG11</f>
        <v/>
      </c>
      <c r="BH16" s="64">
        <f>BH7-BH9-BH14-BH11</f>
        <v/>
      </c>
      <c r="BI16" s="64">
        <f>BI7-BI9-BI14-BI11</f>
        <v/>
      </c>
      <c r="BJ16" s="64">
        <f>BJ7-BJ9-BJ14-BJ11</f>
        <v/>
      </c>
      <c r="BK16" s="64">
        <f>BK7-BK9-BK14-BK11</f>
        <v/>
      </c>
      <c r="BL16" s="64">
        <f>BL7-BL9-BL14-BL11</f>
        <v/>
      </c>
      <c r="BM16" s="64">
        <f>BM7-BM9-BM14-BM11</f>
        <v/>
      </c>
      <c r="BN16" s="64">
        <f>BN7-BN9-BN14-BN11</f>
        <v/>
      </c>
      <c r="BO16" s="64">
        <f>BO7-BO9-BO14-BO11</f>
        <v/>
      </c>
      <c r="BP16" s="64">
        <f>BP7-BP9-BP14-BP11</f>
        <v/>
      </c>
      <c r="BQ16" s="64">
        <f>BQ7-BQ9-BQ14-BQ11</f>
        <v/>
      </c>
      <c r="BR16" s="64">
        <f>BR7-BR9-BR14-BR11</f>
        <v/>
      </c>
      <c r="BS16" s="64">
        <f>BS7-BS9-BS14-BS11</f>
        <v/>
      </c>
      <c r="BT16" s="64">
        <f>BT7-BT9-BT14-BT11</f>
        <v/>
      </c>
      <c r="BU16" s="64">
        <f>BU7-BU9-BU14-BU11</f>
        <v/>
      </c>
      <c r="BV16" s="64">
        <f>BV7-BV9-BV14-BV11</f>
        <v/>
      </c>
      <c r="BW16" s="64">
        <f>BW7-BW9-BW14-BW11</f>
        <v/>
      </c>
      <c r="BX16" s="64">
        <f>BX7-BX9-BX14-BX11</f>
        <v/>
      </c>
      <c r="BY16" s="64">
        <f>BY7-BY9-BY14-BY11</f>
        <v/>
      </c>
      <c r="BZ16" s="64">
        <f>BZ7-BZ9-BZ14-BZ11</f>
        <v/>
      </c>
      <c r="CA16" s="64">
        <f>CA7-CA9-CA14-CA11</f>
        <v/>
      </c>
      <c r="CB16" s="64">
        <f>CB7-CB9-CB14-CB11</f>
        <v/>
      </c>
      <c r="CC16" s="64">
        <f>CC7-CC9-CC14-CC11</f>
        <v/>
      </c>
      <c r="CD16" s="64">
        <f>CD7-CD9-CD14-CD11</f>
        <v/>
      </c>
    </row>
    <row r="17">
      <c r="A17" t="inlineStr">
        <is>
          <t>FCFF ($) = CFADS - Maintenance Capex (unlevered)</t>
        </is>
      </c>
      <c r="C17" s="64">
        <f>C5-C11</f>
        <v/>
      </c>
      <c r="D17" s="64">
        <f>D5-D11</f>
        <v/>
      </c>
      <c r="E17" s="64">
        <f>E5-E11</f>
        <v/>
      </c>
      <c r="F17" s="64">
        <f>F5-F11</f>
        <v/>
      </c>
      <c r="G17" s="64">
        <f>G5-G11</f>
        <v/>
      </c>
      <c r="H17" s="64">
        <f>H5-H11</f>
        <v/>
      </c>
      <c r="I17" s="64">
        <f>I5-I11</f>
        <v/>
      </c>
      <c r="J17" s="64">
        <f>J5-J11</f>
        <v/>
      </c>
      <c r="K17" s="64">
        <f>K5-K11</f>
        <v/>
      </c>
      <c r="L17" s="64">
        <f>L5-L11</f>
        <v/>
      </c>
      <c r="M17" s="64">
        <f>M5-M11</f>
        <v/>
      </c>
      <c r="N17" s="64">
        <f>N5-N11</f>
        <v/>
      </c>
      <c r="O17" s="64">
        <f>O5-O11</f>
        <v/>
      </c>
      <c r="P17" s="64">
        <f>P5-P11</f>
        <v/>
      </c>
      <c r="Q17" s="64">
        <f>Q5-Q11</f>
        <v/>
      </c>
      <c r="R17" s="64">
        <f>R5-R11</f>
        <v/>
      </c>
      <c r="S17" s="64">
        <f>S5-S11</f>
        <v/>
      </c>
      <c r="T17" s="64">
        <f>T5-T11</f>
        <v/>
      </c>
      <c r="U17" s="64">
        <f>U5-U11</f>
        <v/>
      </c>
      <c r="V17" s="64">
        <f>V5-V11</f>
        <v/>
      </c>
      <c r="W17" s="64">
        <f>W5-W11</f>
        <v/>
      </c>
      <c r="X17" s="64">
        <f>X5-X11</f>
        <v/>
      </c>
      <c r="Y17" s="64">
        <f>Y5-Y11</f>
        <v/>
      </c>
      <c r="Z17" s="64">
        <f>Z5-Z11</f>
        <v/>
      </c>
      <c r="AA17" s="64">
        <f>AA5-AA11</f>
        <v/>
      </c>
      <c r="AB17" s="64">
        <f>AB5-AB11</f>
        <v/>
      </c>
      <c r="AC17" s="64">
        <f>AC5-AC11</f>
        <v/>
      </c>
      <c r="AD17" s="64">
        <f>AD5-AD11</f>
        <v/>
      </c>
      <c r="AE17" s="64">
        <f>AE5-AE11</f>
        <v/>
      </c>
      <c r="AF17" s="64">
        <f>AF5-AF11</f>
        <v/>
      </c>
      <c r="AG17" s="64">
        <f>AG5-AG11</f>
        <v/>
      </c>
      <c r="AH17" s="64">
        <f>AH5-AH11</f>
        <v/>
      </c>
      <c r="AI17" s="64">
        <f>AI5-AI11</f>
        <v/>
      </c>
      <c r="AJ17" s="64">
        <f>AJ5-AJ11</f>
        <v/>
      </c>
      <c r="AK17" s="64">
        <f>AK5-AK11</f>
        <v/>
      </c>
      <c r="AL17" s="64">
        <f>AL5-AL11</f>
        <v/>
      </c>
      <c r="AM17" s="64">
        <f>AM5-AM11</f>
        <v/>
      </c>
      <c r="AN17" s="64">
        <f>AN5-AN11</f>
        <v/>
      </c>
      <c r="AO17" s="64">
        <f>AO5-AO11</f>
        <v/>
      </c>
      <c r="AP17" s="64">
        <f>AP5-AP11</f>
        <v/>
      </c>
      <c r="AQ17" s="64">
        <f>AQ5-AQ11</f>
        <v/>
      </c>
      <c r="AR17" s="64">
        <f>AR5-AR11</f>
        <v/>
      </c>
      <c r="AS17" s="64">
        <f>AS5-AS11</f>
        <v/>
      </c>
      <c r="AT17" s="64">
        <f>AT5-AT11</f>
        <v/>
      </c>
      <c r="AU17" s="64">
        <f>AU5-AU11</f>
        <v/>
      </c>
      <c r="AV17" s="64">
        <f>AV5-AV11</f>
        <v/>
      </c>
      <c r="AW17" s="64">
        <f>AW5-AW11</f>
        <v/>
      </c>
      <c r="AX17" s="64">
        <f>AX5-AX11</f>
        <v/>
      </c>
      <c r="AY17" s="64">
        <f>AY5-AY11</f>
        <v/>
      </c>
      <c r="AZ17" s="64">
        <f>AZ5-AZ11</f>
        <v/>
      </c>
      <c r="BA17" s="64">
        <f>BA5-BA11</f>
        <v/>
      </c>
      <c r="BB17" s="64">
        <f>BB5-BB11</f>
        <v/>
      </c>
      <c r="BC17" s="64">
        <f>BC5-BC11</f>
        <v/>
      </c>
      <c r="BD17" s="64">
        <f>BD5-BD11</f>
        <v/>
      </c>
      <c r="BE17" s="64">
        <f>BE5-BE11</f>
        <v/>
      </c>
      <c r="BF17" s="64">
        <f>BF5-BF11</f>
        <v/>
      </c>
      <c r="BG17" s="64">
        <f>BG5-BG11</f>
        <v/>
      </c>
      <c r="BH17" s="64">
        <f>BH5-BH11</f>
        <v/>
      </c>
      <c r="BI17" s="64">
        <f>BI5-BI11</f>
        <v/>
      </c>
      <c r="BJ17" s="64">
        <f>BJ5-BJ11</f>
        <v/>
      </c>
      <c r="BK17" s="64">
        <f>BK5-BK11</f>
        <v/>
      </c>
      <c r="BL17" s="64">
        <f>BL5-BL11</f>
        <v/>
      </c>
      <c r="BM17" s="64">
        <f>BM5-BM11</f>
        <v/>
      </c>
      <c r="BN17" s="64">
        <f>BN5-BN11</f>
        <v/>
      </c>
      <c r="BO17" s="64">
        <f>BO5-BO11</f>
        <v/>
      </c>
      <c r="BP17" s="64">
        <f>BP5-BP11</f>
        <v/>
      </c>
      <c r="BQ17" s="64">
        <f>BQ5-BQ11</f>
        <v/>
      </c>
      <c r="BR17" s="64">
        <f>BR5-BR11</f>
        <v/>
      </c>
      <c r="BS17" s="64">
        <f>BS5-BS11</f>
        <v/>
      </c>
      <c r="BT17" s="64">
        <f>BT5-BT11</f>
        <v/>
      </c>
      <c r="BU17" s="64">
        <f>BU5-BU11</f>
        <v/>
      </c>
      <c r="BV17" s="64">
        <f>BV5-BV11</f>
        <v/>
      </c>
      <c r="BW17" s="64">
        <f>BW5-BW11</f>
        <v/>
      </c>
      <c r="BX17" s="64">
        <f>BX5-BX11</f>
        <v/>
      </c>
      <c r="BY17" s="64">
        <f>BY5-BY11</f>
        <v/>
      </c>
      <c r="BZ17" s="64">
        <f>BZ5-BZ11</f>
        <v/>
      </c>
      <c r="CA17" s="64">
        <f>CA5-CA11</f>
        <v/>
      </c>
      <c r="CB17" s="64">
        <f>CB5-CB11</f>
        <v/>
      </c>
      <c r="CC17" s="64">
        <f>CC5-CC11</f>
        <v/>
      </c>
      <c r="CD17" s="64">
        <f>CD5-CD11</f>
        <v/>
      </c>
    </row>
    <row r="18"/>
    <row r="20">
      <c r="A20" s="41" t="inlineStr">
        <is>
          <t>Checks</t>
        </is>
      </c>
    </row>
    <row r="21">
      <c r="A21" t="inlineStr">
        <is>
          <t>Informational: # of quarters with negative FCFE</t>
        </is>
      </c>
      <c r="CD21" s="69">
        <f>COUNTIF(C16:CD16,"&lt;0")</f>
        <v/>
      </c>
    </row>
    <row r="22">
      <c r="A22" t="inlineStr">
        <is>
          <t>Check: MRA fully released by end of life (net funding = 0)</t>
        </is>
      </c>
      <c r="CD22" s="69">
        <f>IF(ROUND(SUM(C14:CD14),2)=0,1,0)</f>
        <v/>
      </c>
    </row>
    <row r="23">
      <c r="A23" t="inlineStr">
        <is>
          <t>Check: MRA pre-funds each quarter's spend (prior balance &gt;= capex)</t>
        </is>
      </c>
      <c r="CD23" s="69">
        <f>IF(SUMPRODUCT(--(C13:CC13&lt;D11:CD11-0.01))=0,1,0)</f>
        <v/>
      </c>
    </row>
  </sheetData>
  <pageMargins left="0.75" right="0.75" top="1" bottom="1" header="0.5" footer="0.5"/>
</worksheet>
</file>

<file path=xl/worksheets/sheet12.xml><?xml version="1.0" encoding="utf-8"?>
<worksheet xmlns="http://schemas.openxmlformats.org/spreadsheetml/2006/main">
  <sheetPr>
    <tabColor rgb="0000B050"/>
    <outlinePr summaryBelow="1" summaryRight="1"/>
    <pageSetUpPr/>
  </sheetPr>
  <dimension ref="A1:CD42"/>
  <sheetViews>
    <sheetView workbookViewId="0">
      <pane xSplit="2" ySplit="38" topLeftCell="C39" activePane="bottomRight" state="frozen"/>
      <selection pane="topRight"/>
      <selection pane="bottomLeft"/>
      <selection pane="bottomRight" activeCell="A1" sqref="A1"/>
    </sheetView>
  </sheetViews>
  <sheetFormatPr baseColWidth="8" defaultRowHeight="15"/>
  <cols>
    <col width="52" customWidth="1" min="1" max="1"/>
  </cols>
  <sheetData>
    <row r="1">
      <c r="A1" s="59" t="inlineStr">
        <is>
          <t>FS_Quarterly — 3-Statements (reserves as restricted cash, 100% FCFE payout)</t>
        </is>
      </c>
    </row>
    <row r="2">
      <c r="A2" t="inlineStr">
        <is>
          <t>Period End Date</t>
        </is>
      </c>
      <c r="C2" s="16" t="n">
        <v>47208</v>
      </c>
      <c r="D2" s="16" t="n">
        <v>47299</v>
      </c>
      <c r="E2" s="16" t="n">
        <v>47391</v>
      </c>
      <c r="F2" s="16" t="n">
        <v>47483</v>
      </c>
      <c r="G2" s="16" t="n">
        <v>47573</v>
      </c>
      <c r="H2" s="16" t="n">
        <v>47664</v>
      </c>
      <c r="I2" s="16" t="n">
        <v>47756</v>
      </c>
      <c r="J2" s="16" t="n">
        <v>47848</v>
      </c>
      <c r="K2" s="16" t="n">
        <v>47938</v>
      </c>
      <c r="L2" s="16" t="n">
        <v>48029</v>
      </c>
      <c r="M2" s="16" t="n">
        <v>48121</v>
      </c>
      <c r="N2" s="16" t="n">
        <v>48213</v>
      </c>
      <c r="O2" s="16" t="n">
        <v>48304</v>
      </c>
      <c r="P2" s="16" t="n">
        <v>48395</v>
      </c>
      <c r="Q2" s="16" t="n">
        <v>48487</v>
      </c>
      <c r="R2" s="16" t="n">
        <v>48579</v>
      </c>
      <c r="S2" s="16" t="n">
        <v>48669</v>
      </c>
      <c r="T2" s="16" t="n">
        <v>48760</v>
      </c>
      <c r="U2" s="16" t="n">
        <v>48852</v>
      </c>
      <c r="V2" s="16" t="n">
        <v>48944</v>
      </c>
      <c r="W2" s="16" t="n">
        <v>49034</v>
      </c>
      <c r="X2" s="16" t="n">
        <v>49125</v>
      </c>
      <c r="Y2" s="16" t="n">
        <v>49217</v>
      </c>
      <c r="Z2" s="16" t="n">
        <v>49309</v>
      </c>
      <c r="AA2" s="16" t="n">
        <v>49399</v>
      </c>
      <c r="AB2" s="16" t="n">
        <v>49490</v>
      </c>
      <c r="AC2" s="16" t="n">
        <v>49582</v>
      </c>
      <c r="AD2" s="16" t="n">
        <v>49674</v>
      </c>
      <c r="AE2" s="16" t="n">
        <v>49765</v>
      </c>
      <c r="AF2" s="16" t="n">
        <v>49856</v>
      </c>
      <c r="AG2" s="16" t="n">
        <v>49948</v>
      </c>
      <c r="AH2" s="16" t="n">
        <v>50040</v>
      </c>
      <c r="AI2" s="16" t="n">
        <v>50130</v>
      </c>
      <c r="AJ2" s="16" t="n">
        <v>50221</v>
      </c>
      <c r="AK2" s="16" t="n">
        <v>50313</v>
      </c>
      <c r="AL2" s="16" t="n">
        <v>50405</v>
      </c>
      <c r="AM2" s="16" t="n">
        <v>50495</v>
      </c>
      <c r="AN2" s="16" t="n">
        <v>50586</v>
      </c>
      <c r="AO2" s="16" t="n">
        <v>50678</v>
      </c>
      <c r="AP2" s="16" t="n">
        <v>50770</v>
      </c>
      <c r="AQ2" s="16" t="n">
        <v>50860</v>
      </c>
      <c r="AR2" s="16" t="n">
        <v>50951</v>
      </c>
      <c r="AS2" s="16" t="n">
        <v>51043</v>
      </c>
      <c r="AT2" s="16" t="n">
        <v>51135</v>
      </c>
      <c r="AU2" s="16" t="n">
        <v>51226</v>
      </c>
      <c r="AV2" s="16" t="n">
        <v>51317</v>
      </c>
      <c r="AW2" s="16" t="n">
        <v>51409</v>
      </c>
      <c r="AX2" s="16" t="n">
        <v>51501</v>
      </c>
      <c r="AY2" s="16" t="n">
        <v>51591</v>
      </c>
      <c r="AZ2" s="16" t="n">
        <v>51682</v>
      </c>
      <c r="BA2" s="16" t="n">
        <v>51774</v>
      </c>
      <c r="BB2" s="16" t="n">
        <v>51866</v>
      </c>
      <c r="BC2" s="16" t="n">
        <v>51956</v>
      </c>
      <c r="BD2" s="16" t="n">
        <v>52047</v>
      </c>
      <c r="BE2" s="16" t="n">
        <v>52139</v>
      </c>
      <c r="BF2" s="16" t="n">
        <v>52231</v>
      </c>
      <c r="BG2" s="16" t="n">
        <v>52321</v>
      </c>
      <c r="BH2" s="16" t="n">
        <v>52412</v>
      </c>
      <c r="BI2" s="16" t="n">
        <v>52504</v>
      </c>
      <c r="BJ2" s="16" t="n">
        <v>52596</v>
      </c>
      <c r="BK2" s="16" t="n">
        <v>52687</v>
      </c>
      <c r="BL2" s="16" t="n">
        <v>52778</v>
      </c>
      <c r="BM2" s="16" t="n">
        <v>52870</v>
      </c>
      <c r="BN2" s="16" t="n">
        <v>52962</v>
      </c>
      <c r="BO2" s="16" t="n">
        <v>53052</v>
      </c>
      <c r="BP2" s="16" t="n">
        <v>53143</v>
      </c>
      <c r="BQ2" s="16" t="n">
        <v>53235</v>
      </c>
      <c r="BR2" s="16" t="n">
        <v>53327</v>
      </c>
      <c r="BS2" s="16" t="n">
        <v>53417</v>
      </c>
      <c r="BT2" s="16" t="n">
        <v>53508</v>
      </c>
      <c r="BU2" s="16" t="n">
        <v>53600</v>
      </c>
      <c r="BV2" s="16" t="n">
        <v>53692</v>
      </c>
      <c r="BW2" s="16" t="n">
        <v>53782</v>
      </c>
      <c r="BX2" s="16" t="n">
        <v>53873</v>
      </c>
      <c r="BY2" s="16" t="n">
        <v>53965</v>
      </c>
      <c r="BZ2" s="16" t="n">
        <v>54057</v>
      </c>
      <c r="CA2" s="16" t="n">
        <v>54148</v>
      </c>
      <c r="CB2" s="16" t="n">
        <v>54239</v>
      </c>
      <c r="CC2" s="16" t="n">
        <v>54331</v>
      </c>
      <c r="CD2" s="16" t="n">
        <v>54423</v>
      </c>
    </row>
    <row r="3">
      <c r="A3" t="inlineStr">
        <is>
          <t>Operating Quarter #</t>
        </is>
      </c>
      <c r="C3" t="n">
        <v>1</v>
      </c>
      <c r="D3" t="n">
        <v>2</v>
      </c>
      <c r="E3" t="n">
        <v>3</v>
      </c>
      <c r="F3" t="n">
        <v>4</v>
      </c>
      <c r="G3" t="n">
        <v>5</v>
      </c>
      <c r="H3" t="n">
        <v>6</v>
      </c>
      <c r="I3" t="n">
        <v>7</v>
      </c>
      <c r="J3" t="n">
        <v>8</v>
      </c>
      <c r="K3" t="n">
        <v>9</v>
      </c>
      <c r="L3" t="n">
        <v>10</v>
      </c>
      <c r="M3" t="n">
        <v>11</v>
      </c>
      <c r="N3" t="n">
        <v>12</v>
      </c>
      <c r="O3" t="n">
        <v>13</v>
      </c>
      <c r="P3" t="n">
        <v>14</v>
      </c>
      <c r="Q3" t="n">
        <v>15</v>
      </c>
      <c r="R3" t="n">
        <v>16</v>
      </c>
      <c r="S3" t="n">
        <v>17</v>
      </c>
      <c r="T3" t="n">
        <v>18</v>
      </c>
      <c r="U3" t="n">
        <v>19</v>
      </c>
      <c r="V3" t="n">
        <v>20</v>
      </c>
      <c r="W3" t="n">
        <v>21</v>
      </c>
      <c r="X3" t="n">
        <v>22</v>
      </c>
      <c r="Y3" t="n">
        <v>23</v>
      </c>
      <c r="Z3" t="n">
        <v>24</v>
      </c>
      <c r="AA3" t="n">
        <v>25</v>
      </c>
      <c r="AB3" t="n">
        <v>26</v>
      </c>
      <c r="AC3" t="n">
        <v>27</v>
      </c>
      <c r="AD3" t="n">
        <v>28</v>
      </c>
      <c r="AE3" t="n">
        <v>29</v>
      </c>
      <c r="AF3" t="n">
        <v>30</v>
      </c>
      <c r="AG3" t="n">
        <v>31</v>
      </c>
      <c r="AH3" t="n">
        <v>32</v>
      </c>
      <c r="AI3" t="n">
        <v>33</v>
      </c>
      <c r="AJ3" t="n">
        <v>34</v>
      </c>
      <c r="AK3" t="n">
        <v>35</v>
      </c>
      <c r="AL3" t="n">
        <v>36</v>
      </c>
      <c r="AM3" t="n">
        <v>37</v>
      </c>
      <c r="AN3" t="n">
        <v>38</v>
      </c>
      <c r="AO3" t="n">
        <v>39</v>
      </c>
      <c r="AP3" t="n">
        <v>40</v>
      </c>
      <c r="AQ3" t="n">
        <v>41</v>
      </c>
      <c r="AR3" t="n">
        <v>42</v>
      </c>
      <c r="AS3" t="n">
        <v>43</v>
      </c>
      <c r="AT3" t="n">
        <v>44</v>
      </c>
      <c r="AU3" t="n">
        <v>45</v>
      </c>
      <c r="AV3" t="n">
        <v>46</v>
      </c>
      <c r="AW3" t="n">
        <v>47</v>
      </c>
      <c r="AX3" t="n">
        <v>48</v>
      </c>
      <c r="AY3" t="n">
        <v>49</v>
      </c>
      <c r="AZ3" t="n">
        <v>50</v>
      </c>
      <c r="BA3" t="n">
        <v>51</v>
      </c>
      <c r="BB3" t="n">
        <v>52</v>
      </c>
      <c r="BC3" t="n">
        <v>53</v>
      </c>
      <c r="BD3" t="n">
        <v>54</v>
      </c>
      <c r="BE3" t="n">
        <v>55</v>
      </c>
      <c r="BF3" t="n">
        <v>56</v>
      </c>
      <c r="BG3" t="n">
        <v>57</v>
      </c>
      <c r="BH3" t="n">
        <v>58</v>
      </c>
      <c r="BI3" t="n">
        <v>59</v>
      </c>
      <c r="BJ3" t="n">
        <v>60</v>
      </c>
      <c r="BK3" t="n">
        <v>61</v>
      </c>
      <c r="BL3" t="n">
        <v>62</v>
      </c>
      <c r="BM3" t="n">
        <v>63</v>
      </c>
      <c r="BN3" t="n">
        <v>64</v>
      </c>
      <c r="BO3" t="n">
        <v>65</v>
      </c>
      <c r="BP3" t="n">
        <v>66</v>
      </c>
      <c r="BQ3" t="n">
        <v>67</v>
      </c>
      <c r="BR3" t="n">
        <v>68</v>
      </c>
      <c r="BS3" t="n">
        <v>69</v>
      </c>
      <c r="BT3" t="n">
        <v>70</v>
      </c>
      <c r="BU3" t="n">
        <v>71</v>
      </c>
      <c r="BV3" t="n">
        <v>72</v>
      </c>
      <c r="BW3" t="n">
        <v>73</v>
      </c>
      <c r="BX3" t="n">
        <v>74</v>
      </c>
      <c r="BY3" t="n">
        <v>75</v>
      </c>
      <c r="BZ3" t="n">
        <v>76</v>
      </c>
      <c r="CA3" t="n">
        <v>77</v>
      </c>
      <c r="CB3" t="n">
        <v>78</v>
      </c>
      <c r="CC3" t="n">
        <v>79</v>
      </c>
      <c r="CD3" t="n">
        <v>80</v>
      </c>
    </row>
    <row r="5">
      <c r="A5" t="inlineStr">
        <is>
          <t>Revenue ($)</t>
        </is>
      </c>
      <c r="C5" s="55">
        <f>Calc_Revenue_Opex!C10</f>
        <v/>
      </c>
      <c r="D5" s="55">
        <f>Calc_Revenue_Opex!D10</f>
        <v/>
      </c>
      <c r="E5" s="55">
        <f>Calc_Revenue_Opex!E10</f>
        <v/>
      </c>
      <c r="F5" s="55">
        <f>Calc_Revenue_Opex!F10</f>
        <v/>
      </c>
      <c r="G5" s="55">
        <f>Calc_Revenue_Opex!G10</f>
        <v/>
      </c>
      <c r="H5" s="55">
        <f>Calc_Revenue_Opex!H10</f>
        <v/>
      </c>
      <c r="I5" s="55">
        <f>Calc_Revenue_Opex!I10</f>
        <v/>
      </c>
      <c r="J5" s="55">
        <f>Calc_Revenue_Opex!J10</f>
        <v/>
      </c>
      <c r="K5" s="55">
        <f>Calc_Revenue_Opex!K10</f>
        <v/>
      </c>
      <c r="L5" s="55">
        <f>Calc_Revenue_Opex!L10</f>
        <v/>
      </c>
      <c r="M5" s="55">
        <f>Calc_Revenue_Opex!M10</f>
        <v/>
      </c>
      <c r="N5" s="55">
        <f>Calc_Revenue_Opex!N10</f>
        <v/>
      </c>
      <c r="O5" s="55">
        <f>Calc_Revenue_Opex!O10</f>
        <v/>
      </c>
      <c r="P5" s="55">
        <f>Calc_Revenue_Opex!P10</f>
        <v/>
      </c>
      <c r="Q5" s="55">
        <f>Calc_Revenue_Opex!Q10</f>
        <v/>
      </c>
      <c r="R5" s="55">
        <f>Calc_Revenue_Opex!R10</f>
        <v/>
      </c>
      <c r="S5" s="55">
        <f>Calc_Revenue_Opex!S10</f>
        <v/>
      </c>
      <c r="T5" s="55">
        <f>Calc_Revenue_Opex!T10</f>
        <v/>
      </c>
      <c r="U5" s="55">
        <f>Calc_Revenue_Opex!U10</f>
        <v/>
      </c>
      <c r="V5" s="55">
        <f>Calc_Revenue_Opex!V10</f>
        <v/>
      </c>
      <c r="W5" s="55">
        <f>Calc_Revenue_Opex!W10</f>
        <v/>
      </c>
      <c r="X5" s="55">
        <f>Calc_Revenue_Opex!X10</f>
        <v/>
      </c>
      <c r="Y5" s="55">
        <f>Calc_Revenue_Opex!Y10</f>
        <v/>
      </c>
      <c r="Z5" s="55">
        <f>Calc_Revenue_Opex!Z10</f>
        <v/>
      </c>
      <c r="AA5" s="55">
        <f>Calc_Revenue_Opex!AA10</f>
        <v/>
      </c>
      <c r="AB5" s="55">
        <f>Calc_Revenue_Opex!AB10</f>
        <v/>
      </c>
      <c r="AC5" s="55">
        <f>Calc_Revenue_Opex!AC10</f>
        <v/>
      </c>
      <c r="AD5" s="55">
        <f>Calc_Revenue_Opex!AD10</f>
        <v/>
      </c>
      <c r="AE5" s="55">
        <f>Calc_Revenue_Opex!AE10</f>
        <v/>
      </c>
      <c r="AF5" s="55">
        <f>Calc_Revenue_Opex!AF10</f>
        <v/>
      </c>
      <c r="AG5" s="55">
        <f>Calc_Revenue_Opex!AG10</f>
        <v/>
      </c>
      <c r="AH5" s="55">
        <f>Calc_Revenue_Opex!AH10</f>
        <v/>
      </c>
      <c r="AI5" s="55">
        <f>Calc_Revenue_Opex!AI10</f>
        <v/>
      </c>
      <c r="AJ5" s="55">
        <f>Calc_Revenue_Opex!AJ10</f>
        <v/>
      </c>
      <c r="AK5" s="55">
        <f>Calc_Revenue_Opex!AK10</f>
        <v/>
      </c>
      <c r="AL5" s="55">
        <f>Calc_Revenue_Opex!AL10</f>
        <v/>
      </c>
      <c r="AM5" s="55">
        <f>Calc_Revenue_Opex!AM10</f>
        <v/>
      </c>
      <c r="AN5" s="55">
        <f>Calc_Revenue_Opex!AN10</f>
        <v/>
      </c>
      <c r="AO5" s="55">
        <f>Calc_Revenue_Opex!AO10</f>
        <v/>
      </c>
      <c r="AP5" s="55">
        <f>Calc_Revenue_Opex!AP10</f>
        <v/>
      </c>
      <c r="AQ5" s="55">
        <f>Calc_Revenue_Opex!AQ10</f>
        <v/>
      </c>
      <c r="AR5" s="55">
        <f>Calc_Revenue_Opex!AR10</f>
        <v/>
      </c>
      <c r="AS5" s="55">
        <f>Calc_Revenue_Opex!AS10</f>
        <v/>
      </c>
      <c r="AT5" s="55">
        <f>Calc_Revenue_Opex!AT10</f>
        <v/>
      </c>
      <c r="AU5" s="55">
        <f>Calc_Revenue_Opex!AU10</f>
        <v/>
      </c>
      <c r="AV5" s="55">
        <f>Calc_Revenue_Opex!AV10</f>
        <v/>
      </c>
      <c r="AW5" s="55">
        <f>Calc_Revenue_Opex!AW10</f>
        <v/>
      </c>
      <c r="AX5" s="55">
        <f>Calc_Revenue_Opex!AX10</f>
        <v/>
      </c>
      <c r="AY5" s="55">
        <f>Calc_Revenue_Opex!AY10</f>
        <v/>
      </c>
      <c r="AZ5" s="55">
        <f>Calc_Revenue_Opex!AZ10</f>
        <v/>
      </c>
      <c r="BA5" s="55">
        <f>Calc_Revenue_Opex!BA10</f>
        <v/>
      </c>
      <c r="BB5" s="55">
        <f>Calc_Revenue_Opex!BB10</f>
        <v/>
      </c>
      <c r="BC5" s="55">
        <f>Calc_Revenue_Opex!BC10</f>
        <v/>
      </c>
      <c r="BD5" s="55">
        <f>Calc_Revenue_Opex!BD10</f>
        <v/>
      </c>
      <c r="BE5" s="55">
        <f>Calc_Revenue_Opex!BE10</f>
        <v/>
      </c>
      <c r="BF5" s="55">
        <f>Calc_Revenue_Opex!BF10</f>
        <v/>
      </c>
      <c r="BG5" s="55">
        <f>Calc_Revenue_Opex!BG10</f>
        <v/>
      </c>
      <c r="BH5" s="55">
        <f>Calc_Revenue_Opex!BH10</f>
        <v/>
      </c>
      <c r="BI5" s="55">
        <f>Calc_Revenue_Opex!BI10</f>
        <v/>
      </c>
      <c r="BJ5" s="55">
        <f>Calc_Revenue_Opex!BJ10</f>
        <v/>
      </c>
      <c r="BK5" s="55">
        <f>Calc_Revenue_Opex!BK10</f>
        <v/>
      </c>
      <c r="BL5" s="55">
        <f>Calc_Revenue_Opex!BL10</f>
        <v/>
      </c>
      <c r="BM5" s="55">
        <f>Calc_Revenue_Opex!BM10</f>
        <v/>
      </c>
      <c r="BN5" s="55">
        <f>Calc_Revenue_Opex!BN10</f>
        <v/>
      </c>
      <c r="BO5" s="55">
        <f>Calc_Revenue_Opex!BO10</f>
        <v/>
      </c>
      <c r="BP5" s="55">
        <f>Calc_Revenue_Opex!BP10</f>
        <v/>
      </c>
      <c r="BQ5" s="55">
        <f>Calc_Revenue_Opex!BQ10</f>
        <v/>
      </c>
      <c r="BR5" s="55">
        <f>Calc_Revenue_Opex!BR10</f>
        <v/>
      </c>
      <c r="BS5" s="55">
        <f>Calc_Revenue_Opex!BS10</f>
        <v/>
      </c>
      <c r="BT5" s="55">
        <f>Calc_Revenue_Opex!BT10</f>
        <v/>
      </c>
      <c r="BU5" s="55">
        <f>Calc_Revenue_Opex!BU10</f>
        <v/>
      </c>
      <c r="BV5" s="55">
        <f>Calc_Revenue_Opex!BV10</f>
        <v/>
      </c>
      <c r="BW5" s="55">
        <f>Calc_Revenue_Opex!BW10</f>
        <v/>
      </c>
      <c r="BX5" s="55">
        <f>Calc_Revenue_Opex!BX10</f>
        <v/>
      </c>
      <c r="BY5" s="55">
        <f>Calc_Revenue_Opex!BY10</f>
        <v/>
      </c>
      <c r="BZ5" s="55">
        <f>Calc_Revenue_Opex!BZ10</f>
        <v/>
      </c>
      <c r="CA5" s="55">
        <f>Calc_Revenue_Opex!CA10</f>
        <v/>
      </c>
      <c r="CB5" s="55">
        <f>Calc_Revenue_Opex!CB10</f>
        <v/>
      </c>
      <c r="CC5" s="55">
        <f>Calc_Revenue_Opex!CC10</f>
        <v/>
      </c>
      <c r="CD5" s="55">
        <f>Calc_Revenue_Opex!CD10</f>
        <v/>
      </c>
    </row>
    <row r="6">
      <c r="A6" t="inlineStr">
        <is>
          <t>Opex ($)</t>
        </is>
      </c>
      <c r="C6" s="55">
        <f>Calc_Revenue_Opex!C11</f>
        <v/>
      </c>
      <c r="D6" s="55">
        <f>Calc_Revenue_Opex!D11</f>
        <v/>
      </c>
      <c r="E6" s="55">
        <f>Calc_Revenue_Opex!E11</f>
        <v/>
      </c>
      <c r="F6" s="55">
        <f>Calc_Revenue_Opex!F11</f>
        <v/>
      </c>
      <c r="G6" s="55">
        <f>Calc_Revenue_Opex!G11</f>
        <v/>
      </c>
      <c r="H6" s="55">
        <f>Calc_Revenue_Opex!H11</f>
        <v/>
      </c>
      <c r="I6" s="55">
        <f>Calc_Revenue_Opex!I11</f>
        <v/>
      </c>
      <c r="J6" s="55">
        <f>Calc_Revenue_Opex!J11</f>
        <v/>
      </c>
      <c r="K6" s="55">
        <f>Calc_Revenue_Opex!K11</f>
        <v/>
      </c>
      <c r="L6" s="55">
        <f>Calc_Revenue_Opex!L11</f>
        <v/>
      </c>
      <c r="M6" s="55">
        <f>Calc_Revenue_Opex!M11</f>
        <v/>
      </c>
      <c r="N6" s="55">
        <f>Calc_Revenue_Opex!N11</f>
        <v/>
      </c>
      <c r="O6" s="55">
        <f>Calc_Revenue_Opex!O11</f>
        <v/>
      </c>
      <c r="P6" s="55">
        <f>Calc_Revenue_Opex!P11</f>
        <v/>
      </c>
      <c r="Q6" s="55">
        <f>Calc_Revenue_Opex!Q11</f>
        <v/>
      </c>
      <c r="R6" s="55">
        <f>Calc_Revenue_Opex!R11</f>
        <v/>
      </c>
      <c r="S6" s="55">
        <f>Calc_Revenue_Opex!S11</f>
        <v/>
      </c>
      <c r="T6" s="55">
        <f>Calc_Revenue_Opex!T11</f>
        <v/>
      </c>
      <c r="U6" s="55">
        <f>Calc_Revenue_Opex!U11</f>
        <v/>
      </c>
      <c r="V6" s="55">
        <f>Calc_Revenue_Opex!V11</f>
        <v/>
      </c>
      <c r="W6" s="55">
        <f>Calc_Revenue_Opex!W11</f>
        <v/>
      </c>
      <c r="X6" s="55">
        <f>Calc_Revenue_Opex!X11</f>
        <v/>
      </c>
      <c r="Y6" s="55">
        <f>Calc_Revenue_Opex!Y11</f>
        <v/>
      </c>
      <c r="Z6" s="55">
        <f>Calc_Revenue_Opex!Z11</f>
        <v/>
      </c>
      <c r="AA6" s="55">
        <f>Calc_Revenue_Opex!AA11</f>
        <v/>
      </c>
      <c r="AB6" s="55">
        <f>Calc_Revenue_Opex!AB11</f>
        <v/>
      </c>
      <c r="AC6" s="55">
        <f>Calc_Revenue_Opex!AC11</f>
        <v/>
      </c>
      <c r="AD6" s="55">
        <f>Calc_Revenue_Opex!AD11</f>
        <v/>
      </c>
      <c r="AE6" s="55">
        <f>Calc_Revenue_Opex!AE11</f>
        <v/>
      </c>
      <c r="AF6" s="55">
        <f>Calc_Revenue_Opex!AF11</f>
        <v/>
      </c>
      <c r="AG6" s="55">
        <f>Calc_Revenue_Opex!AG11</f>
        <v/>
      </c>
      <c r="AH6" s="55">
        <f>Calc_Revenue_Opex!AH11</f>
        <v/>
      </c>
      <c r="AI6" s="55">
        <f>Calc_Revenue_Opex!AI11</f>
        <v/>
      </c>
      <c r="AJ6" s="55">
        <f>Calc_Revenue_Opex!AJ11</f>
        <v/>
      </c>
      <c r="AK6" s="55">
        <f>Calc_Revenue_Opex!AK11</f>
        <v/>
      </c>
      <c r="AL6" s="55">
        <f>Calc_Revenue_Opex!AL11</f>
        <v/>
      </c>
      <c r="AM6" s="55">
        <f>Calc_Revenue_Opex!AM11</f>
        <v/>
      </c>
      <c r="AN6" s="55">
        <f>Calc_Revenue_Opex!AN11</f>
        <v/>
      </c>
      <c r="AO6" s="55">
        <f>Calc_Revenue_Opex!AO11</f>
        <v/>
      </c>
      <c r="AP6" s="55">
        <f>Calc_Revenue_Opex!AP11</f>
        <v/>
      </c>
      <c r="AQ6" s="55">
        <f>Calc_Revenue_Opex!AQ11</f>
        <v/>
      </c>
      <c r="AR6" s="55">
        <f>Calc_Revenue_Opex!AR11</f>
        <v/>
      </c>
      <c r="AS6" s="55">
        <f>Calc_Revenue_Opex!AS11</f>
        <v/>
      </c>
      <c r="AT6" s="55">
        <f>Calc_Revenue_Opex!AT11</f>
        <v/>
      </c>
      <c r="AU6" s="55">
        <f>Calc_Revenue_Opex!AU11</f>
        <v/>
      </c>
      <c r="AV6" s="55">
        <f>Calc_Revenue_Opex!AV11</f>
        <v/>
      </c>
      <c r="AW6" s="55">
        <f>Calc_Revenue_Opex!AW11</f>
        <v/>
      </c>
      <c r="AX6" s="55">
        <f>Calc_Revenue_Opex!AX11</f>
        <v/>
      </c>
      <c r="AY6" s="55">
        <f>Calc_Revenue_Opex!AY11</f>
        <v/>
      </c>
      <c r="AZ6" s="55">
        <f>Calc_Revenue_Opex!AZ11</f>
        <v/>
      </c>
      <c r="BA6" s="55">
        <f>Calc_Revenue_Opex!BA11</f>
        <v/>
      </c>
      <c r="BB6" s="55">
        <f>Calc_Revenue_Opex!BB11</f>
        <v/>
      </c>
      <c r="BC6" s="55">
        <f>Calc_Revenue_Opex!BC11</f>
        <v/>
      </c>
      <c r="BD6" s="55">
        <f>Calc_Revenue_Opex!BD11</f>
        <v/>
      </c>
      <c r="BE6" s="55">
        <f>Calc_Revenue_Opex!BE11</f>
        <v/>
      </c>
      <c r="BF6" s="55">
        <f>Calc_Revenue_Opex!BF11</f>
        <v/>
      </c>
      <c r="BG6" s="55">
        <f>Calc_Revenue_Opex!BG11</f>
        <v/>
      </c>
      <c r="BH6" s="55">
        <f>Calc_Revenue_Opex!BH11</f>
        <v/>
      </c>
      <c r="BI6" s="55">
        <f>Calc_Revenue_Opex!BI11</f>
        <v/>
      </c>
      <c r="BJ6" s="55">
        <f>Calc_Revenue_Opex!BJ11</f>
        <v/>
      </c>
      <c r="BK6" s="55">
        <f>Calc_Revenue_Opex!BK11</f>
        <v/>
      </c>
      <c r="BL6" s="55">
        <f>Calc_Revenue_Opex!BL11</f>
        <v/>
      </c>
      <c r="BM6" s="55">
        <f>Calc_Revenue_Opex!BM11</f>
        <v/>
      </c>
      <c r="BN6" s="55">
        <f>Calc_Revenue_Opex!BN11</f>
        <v/>
      </c>
      <c r="BO6" s="55">
        <f>Calc_Revenue_Opex!BO11</f>
        <v/>
      </c>
      <c r="BP6" s="55">
        <f>Calc_Revenue_Opex!BP11</f>
        <v/>
      </c>
      <c r="BQ6" s="55">
        <f>Calc_Revenue_Opex!BQ11</f>
        <v/>
      </c>
      <c r="BR6" s="55">
        <f>Calc_Revenue_Opex!BR11</f>
        <v/>
      </c>
      <c r="BS6" s="55">
        <f>Calc_Revenue_Opex!BS11</f>
        <v/>
      </c>
      <c r="BT6" s="55">
        <f>Calc_Revenue_Opex!BT11</f>
        <v/>
      </c>
      <c r="BU6" s="55">
        <f>Calc_Revenue_Opex!BU11</f>
        <v/>
      </c>
      <c r="BV6" s="55">
        <f>Calc_Revenue_Opex!BV11</f>
        <v/>
      </c>
      <c r="BW6" s="55">
        <f>Calc_Revenue_Opex!BW11</f>
        <v/>
      </c>
      <c r="BX6" s="55">
        <f>Calc_Revenue_Opex!BX11</f>
        <v/>
      </c>
      <c r="BY6" s="55">
        <f>Calc_Revenue_Opex!BY11</f>
        <v/>
      </c>
      <c r="BZ6" s="55">
        <f>Calc_Revenue_Opex!BZ11</f>
        <v/>
      </c>
      <c r="CA6" s="55">
        <f>Calc_Revenue_Opex!CA11</f>
        <v/>
      </c>
      <c r="CB6" s="55">
        <f>Calc_Revenue_Opex!CB11</f>
        <v/>
      </c>
      <c r="CC6" s="55">
        <f>Calc_Revenue_Opex!CC11</f>
        <v/>
      </c>
      <c r="CD6" s="55">
        <f>Calc_Revenue_Opex!CD11</f>
        <v/>
      </c>
    </row>
    <row r="7">
      <c r="A7" t="inlineStr">
        <is>
          <t>EBITDA ($)</t>
        </is>
      </c>
      <c r="C7" s="55">
        <f>Calc_Revenue_Opex!C12</f>
        <v/>
      </c>
      <c r="D7" s="55">
        <f>Calc_Revenue_Opex!D12</f>
        <v/>
      </c>
      <c r="E7" s="55">
        <f>Calc_Revenue_Opex!E12</f>
        <v/>
      </c>
      <c r="F7" s="55">
        <f>Calc_Revenue_Opex!F12</f>
        <v/>
      </c>
      <c r="G7" s="55">
        <f>Calc_Revenue_Opex!G12</f>
        <v/>
      </c>
      <c r="H7" s="55">
        <f>Calc_Revenue_Opex!H12</f>
        <v/>
      </c>
      <c r="I7" s="55">
        <f>Calc_Revenue_Opex!I12</f>
        <v/>
      </c>
      <c r="J7" s="55">
        <f>Calc_Revenue_Opex!J12</f>
        <v/>
      </c>
      <c r="K7" s="55">
        <f>Calc_Revenue_Opex!K12</f>
        <v/>
      </c>
      <c r="L7" s="55">
        <f>Calc_Revenue_Opex!L12</f>
        <v/>
      </c>
      <c r="M7" s="55">
        <f>Calc_Revenue_Opex!M12</f>
        <v/>
      </c>
      <c r="N7" s="55">
        <f>Calc_Revenue_Opex!N12</f>
        <v/>
      </c>
      <c r="O7" s="55">
        <f>Calc_Revenue_Opex!O12</f>
        <v/>
      </c>
      <c r="P7" s="55">
        <f>Calc_Revenue_Opex!P12</f>
        <v/>
      </c>
      <c r="Q7" s="55">
        <f>Calc_Revenue_Opex!Q12</f>
        <v/>
      </c>
      <c r="R7" s="55">
        <f>Calc_Revenue_Opex!R12</f>
        <v/>
      </c>
      <c r="S7" s="55">
        <f>Calc_Revenue_Opex!S12</f>
        <v/>
      </c>
      <c r="T7" s="55">
        <f>Calc_Revenue_Opex!T12</f>
        <v/>
      </c>
      <c r="U7" s="55">
        <f>Calc_Revenue_Opex!U12</f>
        <v/>
      </c>
      <c r="V7" s="55">
        <f>Calc_Revenue_Opex!V12</f>
        <v/>
      </c>
      <c r="W7" s="55">
        <f>Calc_Revenue_Opex!W12</f>
        <v/>
      </c>
      <c r="X7" s="55">
        <f>Calc_Revenue_Opex!X12</f>
        <v/>
      </c>
      <c r="Y7" s="55">
        <f>Calc_Revenue_Opex!Y12</f>
        <v/>
      </c>
      <c r="Z7" s="55">
        <f>Calc_Revenue_Opex!Z12</f>
        <v/>
      </c>
      <c r="AA7" s="55">
        <f>Calc_Revenue_Opex!AA12</f>
        <v/>
      </c>
      <c r="AB7" s="55">
        <f>Calc_Revenue_Opex!AB12</f>
        <v/>
      </c>
      <c r="AC7" s="55">
        <f>Calc_Revenue_Opex!AC12</f>
        <v/>
      </c>
      <c r="AD7" s="55">
        <f>Calc_Revenue_Opex!AD12</f>
        <v/>
      </c>
      <c r="AE7" s="55">
        <f>Calc_Revenue_Opex!AE12</f>
        <v/>
      </c>
      <c r="AF7" s="55">
        <f>Calc_Revenue_Opex!AF12</f>
        <v/>
      </c>
      <c r="AG7" s="55">
        <f>Calc_Revenue_Opex!AG12</f>
        <v/>
      </c>
      <c r="AH7" s="55">
        <f>Calc_Revenue_Opex!AH12</f>
        <v/>
      </c>
      <c r="AI7" s="55">
        <f>Calc_Revenue_Opex!AI12</f>
        <v/>
      </c>
      <c r="AJ7" s="55">
        <f>Calc_Revenue_Opex!AJ12</f>
        <v/>
      </c>
      <c r="AK7" s="55">
        <f>Calc_Revenue_Opex!AK12</f>
        <v/>
      </c>
      <c r="AL7" s="55">
        <f>Calc_Revenue_Opex!AL12</f>
        <v/>
      </c>
      <c r="AM7" s="55">
        <f>Calc_Revenue_Opex!AM12</f>
        <v/>
      </c>
      <c r="AN7" s="55">
        <f>Calc_Revenue_Opex!AN12</f>
        <v/>
      </c>
      <c r="AO7" s="55">
        <f>Calc_Revenue_Opex!AO12</f>
        <v/>
      </c>
      <c r="AP7" s="55">
        <f>Calc_Revenue_Opex!AP12</f>
        <v/>
      </c>
      <c r="AQ7" s="55">
        <f>Calc_Revenue_Opex!AQ12</f>
        <v/>
      </c>
      <c r="AR7" s="55">
        <f>Calc_Revenue_Opex!AR12</f>
        <v/>
      </c>
      <c r="AS7" s="55">
        <f>Calc_Revenue_Opex!AS12</f>
        <v/>
      </c>
      <c r="AT7" s="55">
        <f>Calc_Revenue_Opex!AT12</f>
        <v/>
      </c>
      <c r="AU7" s="55">
        <f>Calc_Revenue_Opex!AU12</f>
        <v/>
      </c>
      <c r="AV7" s="55">
        <f>Calc_Revenue_Opex!AV12</f>
        <v/>
      </c>
      <c r="AW7" s="55">
        <f>Calc_Revenue_Opex!AW12</f>
        <v/>
      </c>
      <c r="AX7" s="55">
        <f>Calc_Revenue_Opex!AX12</f>
        <v/>
      </c>
      <c r="AY7" s="55">
        <f>Calc_Revenue_Opex!AY12</f>
        <v/>
      </c>
      <c r="AZ7" s="55">
        <f>Calc_Revenue_Opex!AZ12</f>
        <v/>
      </c>
      <c r="BA7" s="55">
        <f>Calc_Revenue_Opex!BA12</f>
        <v/>
      </c>
      <c r="BB7" s="55">
        <f>Calc_Revenue_Opex!BB12</f>
        <v/>
      </c>
      <c r="BC7" s="55">
        <f>Calc_Revenue_Opex!BC12</f>
        <v/>
      </c>
      <c r="BD7" s="55">
        <f>Calc_Revenue_Opex!BD12</f>
        <v/>
      </c>
      <c r="BE7" s="55">
        <f>Calc_Revenue_Opex!BE12</f>
        <v/>
      </c>
      <c r="BF7" s="55">
        <f>Calc_Revenue_Opex!BF12</f>
        <v/>
      </c>
      <c r="BG7" s="55">
        <f>Calc_Revenue_Opex!BG12</f>
        <v/>
      </c>
      <c r="BH7" s="55">
        <f>Calc_Revenue_Opex!BH12</f>
        <v/>
      </c>
      <c r="BI7" s="55">
        <f>Calc_Revenue_Opex!BI12</f>
        <v/>
      </c>
      <c r="BJ7" s="55">
        <f>Calc_Revenue_Opex!BJ12</f>
        <v/>
      </c>
      <c r="BK7" s="55">
        <f>Calc_Revenue_Opex!BK12</f>
        <v/>
      </c>
      <c r="BL7" s="55">
        <f>Calc_Revenue_Opex!BL12</f>
        <v/>
      </c>
      <c r="BM7" s="55">
        <f>Calc_Revenue_Opex!BM12</f>
        <v/>
      </c>
      <c r="BN7" s="55">
        <f>Calc_Revenue_Opex!BN12</f>
        <v/>
      </c>
      <c r="BO7" s="55">
        <f>Calc_Revenue_Opex!BO12</f>
        <v/>
      </c>
      <c r="BP7" s="55">
        <f>Calc_Revenue_Opex!BP12</f>
        <v/>
      </c>
      <c r="BQ7" s="55">
        <f>Calc_Revenue_Opex!BQ12</f>
        <v/>
      </c>
      <c r="BR7" s="55">
        <f>Calc_Revenue_Opex!BR12</f>
        <v/>
      </c>
      <c r="BS7" s="55">
        <f>Calc_Revenue_Opex!BS12</f>
        <v/>
      </c>
      <c r="BT7" s="55">
        <f>Calc_Revenue_Opex!BT12</f>
        <v/>
      </c>
      <c r="BU7" s="55">
        <f>Calc_Revenue_Opex!BU12</f>
        <v/>
      </c>
      <c r="BV7" s="55">
        <f>Calc_Revenue_Opex!BV12</f>
        <v/>
      </c>
      <c r="BW7" s="55">
        <f>Calc_Revenue_Opex!BW12</f>
        <v/>
      </c>
      <c r="BX7" s="55">
        <f>Calc_Revenue_Opex!BX12</f>
        <v/>
      </c>
      <c r="BY7" s="55">
        <f>Calc_Revenue_Opex!BY12</f>
        <v/>
      </c>
      <c r="BZ7" s="55">
        <f>Calc_Revenue_Opex!BZ12</f>
        <v/>
      </c>
      <c r="CA7" s="55">
        <f>Calc_Revenue_Opex!CA12</f>
        <v/>
      </c>
      <c r="CB7" s="55">
        <f>Calc_Revenue_Opex!CB12</f>
        <v/>
      </c>
      <c r="CC7" s="55">
        <f>Calc_Revenue_Opex!CC12</f>
        <v/>
      </c>
      <c r="CD7" s="55">
        <f>Calc_Revenue_Opex!CD12</f>
        <v/>
      </c>
    </row>
    <row r="8">
      <c r="A8" t="inlineStr">
        <is>
          <t>Depreciation ($) — base vintage + maintenance vintages</t>
        </is>
      </c>
      <c r="C8" s="55">
        <f>Calc_Tax!C14</f>
        <v/>
      </c>
      <c r="D8" s="55">
        <f>Calc_Tax!D14</f>
        <v/>
      </c>
      <c r="E8" s="55">
        <f>Calc_Tax!E14</f>
        <v/>
      </c>
      <c r="F8" s="55">
        <f>Calc_Tax!F14</f>
        <v/>
      </c>
      <c r="G8" s="55">
        <f>Calc_Tax!G14</f>
        <v/>
      </c>
      <c r="H8" s="55">
        <f>Calc_Tax!H14</f>
        <v/>
      </c>
      <c r="I8" s="55">
        <f>Calc_Tax!I14</f>
        <v/>
      </c>
      <c r="J8" s="55">
        <f>Calc_Tax!J14</f>
        <v/>
      </c>
      <c r="K8" s="55">
        <f>Calc_Tax!K14</f>
        <v/>
      </c>
      <c r="L8" s="55">
        <f>Calc_Tax!L14</f>
        <v/>
      </c>
      <c r="M8" s="55">
        <f>Calc_Tax!M14</f>
        <v/>
      </c>
      <c r="N8" s="55">
        <f>Calc_Tax!N14</f>
        <v/>
      </c>
      <c r="O8" s="55">
        <f>Calc_Tax!O14</f>
        <v/>
      </c>
      <c r="P8" s="55">
        <f>Calc_Tax!P14</f>
        <v/>
      </c>
      <c r="Q8" s="55">
        <f>Calc_Tax!Q14</f>
        <v/>
      </c>
      <c r="R8" s="55">
        <f>Calc_Tax!R14</f>
        <v/>
      </c>
      <c r="S8" s="55">
        <f>Calc_Tax!S14</f>
        <v/>
      </c>
      <c r="T8" s="55">
        <f>Calc_Tax!T14</f>
        <v/>
      </c>
      <c r="U8" s="55">
        <f>Calc_Tax!U14</f>
        <v/>
      </c>
      <c r="V8" s="55">
        <f>Calc_Tax!V14</f>
        <v/>
      </c>
      <c r="W8" s="55">
        <f>Calc_Tax!W14</f>
        <v/>
      </c>
      <c r="X8" s="55">
        <f>Calc_Tax!X14</f>
        <v/>
      </c>
      <c r="Y8" s="55">
        <f>Calc_Tax!Y14</f>
        <v/>
      </c>
      <c r="Z8" s="55">
        <f>Calc_Tax!Z14</f>
        <v/>
      </c>
      <c r="AA8" s="55">
        <f>Calc_Tax!AA14</f>
        <v/>
      </c>
      <c r="AB8" s="55">
        <f>Calc_Tax!AB14</f>
        <v/>
      </c>
      <c r="AC8" s="55">
        <f>Calc_Tax!AC14</f>
        <v/>
      </c>
      <c r="AD8" s="55">
        <f>Calc_Tax!AD14</f>
        <v/>
      </c>
      <c r="AE8" s="55">
        <f>Calc_Tax!AE14</f>
        <v/>
      </c>
      <c r="AF8" s="55">
        <f>Calc_Tax!AF14</f>
        <v/>
      </c>
      <c r="AG8" s="55">
        <f>Calc_Tax!AG14</f>
        <v/>
      </c>
      <c r="AH8" s="55">
        <f>Calc_Tax!AH14</f>
        <v/>
      </c>
      <c r="AI8" s="55">
        <f>Calc_Tax!AI14</f>
        <v/>
      </c>
      <c r="AJ8" s="55">
        <f>Calc_Tax!AJ14</f>
        <v/>
      </c>
      <c r="AK8" s="55">
        <f>Calc_Tax!AK14</f>
        <v/>
      </c>
      <c r="AL8" s="55">
        <f>Calc_Tax!AL14</f>
        <v/>
      </c>
      <c r="AM8" s="55">
        <f>Calc_Tax!AM14</f>
        <v/>
      </c>
      <c r="AN8" s="55">
        <f>Calc_Tax!AN14</f>
        <v/>
      </c>
      <c r="AO8" s="55">
        <f>Calc_Tax!AO14</f>
        <v/>
      </c>
      <c r="AP8" s="55">
        <f>Calc_Tax!AP14</f>
        <v/>
      </c>
      <c r="AQ8" s="55">
        <f>Calc_Tax!AQ14</f>
        <v/>
      </c>
      <c r="AR8" s="55">
        <f>Calc_Tax!AR14</f>
        <v/>
      </c>
      <c r="AS8" s="55">
        <f>Calc_Tax!AS14</f>
        <v/>
      </c>
      <c r="AT8" s="55">
        <f>Calc_Tax!AT14</f>
        <v/>
      </c>
      <c r="AU8" s="55">
        <f>Calc_Tax!AU14</f>
        <v/>
      </c>
      <c r="AV8" s="55">
        <f>Calc_Tax!AV14</f>
        <v/>
      </c>
      <c r="AW8" s="55">
        <f>Calc_Tax!AW14</f>
        <v/>
      </c>
      <c r="AX8" s="55">
        <f>Calc_Tax!AX14</f>
        <v/>
      </c>
      <c r="AY8" s="55">
        <f>Calc_Tax!AY14</f>
        <v/>
      </c>
      <c r="AZ8" s="55">
        <f>Calc_Tax!AZ14</f>
        <v/>
      </c>
      <c r="BA8" s="55">
        <f>Calc_Tax!BA14</f>
        <v/>
      </c>
      <c r="BB8" s="55">
        <f>Calc_Tax!BB14</f>
        <v/>
      </c>
      <c r="BC8" s="55">
        <f>Calc_Tax!BC14</f>
        <v/>
      </c>
      <c r="BD8" s="55">
        <f>Calc_Tax!BD14</f>
        <v/>
      </c>
      <c r="BE8" s="55">
        <f>Calc_Tax!BE14</f>
        <v/>
      </c>
      <c r="BF8" s="55">
        <f>Calc_Tax!BF14</f>
        <v/>
      </c>
      <c r="BG8" s="55">
        <f>Calc_Tax!BG14</f>
        <v/>
      </c>
      <c r="BH8" s="55">
        <f>Calc_Tax!BH14</f>
        <v/>
      </c>
      <c r="BI8" s="55">
        <f>Calc_Tax!BI14</f>
        <v/>
      </c>
      <c r="BJ8" s="55">
        <f>Calc_Tax!BJ14</f>
        <v/>
      </c>
      <c r="BK8" s="55">
        <f>Calc_Tax!BK14</f>
        <v/>
      </c>
      <c r="BL8" s="55">
        <f>Calc_Tax!BL14</f>
        <v/>
      </c>
      <c r="BM8" s="55">
        <f>Calc_Tax!BM14</f>
        <v/>
      </c>
      <c r="BN8" s="55">
        <f>Calc_Tax!BN14</f>
        <v/>
      </c>
      <c r="BO8" s="55">
        <f>Calc_Tax!BO14</f>
        <v/>
      </c>
      <c r="BP8" s="55">
        <f>Calc_Tax!BP14</f>
        <v/>
      </c>
      <c r="BQ8" s="55">
        <f>Calc_Tax!BQ14</f>
        <v/>
      </c>
      <c r="BR8" s="55">
        <f>Calc_Tax!BR14</f>
        <v/>
      </c>
      <c r="BS8" s="55">
        <f>Calc_Tax!BS14</f>
        <v/>
      </c>
      <c r="BT8" s="55">
        <f>Calc_Tax!BT14</f>
        <v/>
      </c>
      <c r="BU8" s="55">
        <f>Calc_Tax!BU14</f>
        <v/>
      </c>
      <c r="BV8" s="55">
        <f>Calc_Tax!BV14</f>
        <v/>
      </c>
      <c r="BW8" s="55">
        <f>Calc_Tax!BW14</f>
        <v/>
      </c>
      <c r="BX8" s="55">
        <f>Calc_Tax!BX14</f>
        <v/>
      </c>
      <c r="BY8" s="55">
        <f>Calc_Tax!BY14</f>
        <v/>
      </c>
      <c r="BZ8" s="55">
        <f>Calc_Tax!BZ14</f>
        <v/>
      </c>
      <c r="CA8" s="55">
        <f>Calc_Tax!CA14</f>
        <v/>
      </c>
      <c r="CB8" s="55">
        <f>Calc_Tax!CB14</f>
        <v/>
      </c>
      <c r="CC8" s="55">
        <f>Calc_Tax!CC14</f>
        <v/>
      </c>
      <c r="CD8" s="55">
        <f>Calc_Tax!CD14</f>
        <v/>
      </c>
    </row>
    <row r="9">
      <c r="A9" t="inlineStr">
        <is>
          <t>EBIT ($)</t>
        </is>
      </c>
      <c r="C9" s="64">
        <f>C7-C8</f>
        <v/>
      </c>
      <c r="D9" s="64">
        <f>D7-D8</f>
        <v/>
      </c>
      <c r="E9" s="64">
        <f>E7-E8</f>
        <v/>
      </c>
      <c r="F9" s="64">
        <f>F7-F8</f>
        <v/>
      </c>
      <c r="G9" s="64">
        <f>G7-G8</f>
        <v/>
      </c>
      <c r="H9" s="64">
        <f>H7-H8</f>
        <v/>
      </c>
      <c r="I9" s="64">
        <f>I7-I8</f>
        <v/>
      </c>
      <c r="J9" s="64">
        <f>J7-J8</f>
        <v/>
      </c>
      <c r="K9" s="64">
        <f>K7-K8</f>
        <v/>
      </c>
      <c r="L9" s="64">
        <f>L7-L8</f>
        <v/>
      </c>
      <c r="M9" s="64">
        <f>M7-M8</f>
        <v/>
      </c>
      <c r="N9" s="64">
        <f>N7-N8</f>
        <v/>
      </c>
      <c r="O9" s="64">
        <f>O7-O8</f>
        <v/>
      </c>
      <c r="P9" s="64">
        <f>P7-P8</f>
        <v/>
      </c>
      <c r="Q9" s="64">
        <f>Q7-Q8</f>
        <v/>
      </c>
      <c r="R9" s="64">
        <f>R7-R8</f>
        <v/>
      </c>
      <c r="S9" s="64">
        <f>S7-S8</f>
        <v/>
      </c>
      <c r="T9" s="64">
        <f>T7-T8</f>
        <v/>
      </c>
      <c r="U9" s="64">
        <f>U7-U8</f>
        <v/>
      </c>
      <c r="V9" s="64">
        <f>V7-V8</f>
        <v/>
      </c>
      <c r="W9" s="64">
        <f>W7-W8</f>
        <v/>
      </c>
      <c r="X9" s="64">
        <f>X7-X8</f>
        <v/>
      </c>
      <c r="Y9" s="64">
        <f>Y7-Y8</f>
        <v/>
      </c>
      <c r="Z9" s="64">
        <f>Z7-Z8</f>
        <v/>
      </c>
      <c r="AA9" s="64">
        <f>AA7-AA8</f>
        <v/>
      </c>
      <c r="AB9" s="64">
        <f>AB7-AB8</f>
        <v/>
      </c>
      <c r="AC9" s="64">
        <f>AC7-AC8</f>
        <v/>
      </c>
      <c r="AD9" s="64">
        <f>AD7-AD8</f>
        <v/>
      </c>
      <c r="AE9" s="64">
        <f>AE7-AE8</f>
        <v/>
      </c>
      <c r="AF9" s="64">
        <f>AF7-AF8</f>
        <v/>
      </c>
      <c r="AG9" s="64">
        <f>AG7-AG8</f>
        <v/>
      </c>
      <c r="AH9" s="64">
        <f>AH7-AH8</f>
        <v/>
      </c>
      <c r="AI9" s="64">
        <f>AI7-AI8</f>
        <v/>
      </c>
      <c r="AJ9" s="64">
        <f>AJ7-AJ8</f>
        <v/>
      </c>
      <c r="AK9" s="64">
        <f>AK7-AK8</f>
        <v/>
      </c>
      <c r="AL9" s="64">
        <f>AL7-AL8</f>
        <v/>
      </c>
      <c r="AM9" s="64">
        <f>AM7-AM8</f>
        <v/>
      </c>
      <c r="AN9" s="64">
        <f>AN7-AN8</f>
        <v/>
      </c>
      <c r="AO9" s="64">
        <f>AO7-AO8</f>
        <v/>
      </c>
      <c r="AP9" s="64">
        <f>AP7-AP8</f>
        <v/>
      </c>
      <c r="AQ9" s="64">
        <f>AQ7-AQ8</f>
        <v/>
      </c>
      <c r="AR9" s="64">
        <f>AR7-AR8</f>
        <v/>
      </c>
      <c r="AS9" s="64">
        <f>AS7-AS8</f>
        <v/>
      </c>
      <c r="AT9" s="64">
        <f>AT7-AT8</f>
        <v/>
      </c>
      <c r="AU9" s="64">
        <f>AU7-AU8</f>
        <v/>
      </c>
      <c r="AV9" s="64">
        <f>AV7-AV8</f>
        <v/>
      </c>
      <c r="AW9" s="64">
        <f>AW7-AW8</f>
        <v/>
      </c>
      <c r="AX9" s="64">
        <f>AX7-AX8</f>
        <v/>
      </c>
      <c r="AY9" s="64">
        <f>AY7-AY8</f>
        <v/>
      </c>
      <c r="AZ9" s="64">
        <f>AZ7-AZ8</f>
        <v/>
      </c>
      <c r="BA9" s="64">
        <f>BA7-BA8</f>
        <v/>
      </c>
      <c r="BB9" s="64">
        <f>BB7-BB8</f>
        <v/>
      </c>
      <c r="BC9" s="64">
        <f>BC7-BC8</f>
        <v/>
      </c>
      <c r="BD9" s="64">
        <f>BD7-BD8</f>
        <v/>
      </c>
      <c r="BE9" s="64">
        <f>BE7-BE8</f>
        <v/>
      </c>
      <c r="BF9" s="64">
        <f>BF7-BF8</f>
        <v/>
      </c>
      <c r="BG9" s="64">
        <f>BG7-BG8</f>
        <v/>
      </c>
      <c r="BH9" s="64">
        <f>BH7-BH8</f>
        <v/>
      </c>
      <c r="BI9" s="64">
        <f>BI7-BI8</f>
        <v/>
      </c>
      <c r="BJ9" s="64">
        <f>BJ7-BJ8</f>
        <v/>
      </c>
      <c r="BK9" s="64">
        <f>BK7-BK8</f>
        <v/>
      </c>
      <c r="BL9" s="64">
        <f>BL7-BL8</f>
        <v/>
      </c>
      <c r="BM9" s="64">
        <f>BM7-BM8</f>
        <v/>
      </c>
      <c r="BN9" s="64">
        <f>BN7-BN8</f>
        <v/>
      </c>
      <c r="BO9" s="64">
        <f>BO7-BO8</f>
        <v/>
      </c>
      <c r="BP9" s="64">
        <f>BP7-BP8</f>
        <v/>
      </c>
      <c r="BQ9" s="64">
        <f>BQ7-BQ8</f>
        <v/>
      </c>
      <c r="BR9" s="64">
        <f>BR7-BR8</f>
        <v/>
      </c>
      <c r="BS9" s="64">
        <f>BS7-BS8</f>
        <v/>
      </c>
      <c r="BT9" s="64">
        <f>BT7-BT8</f>
        <v/>
      </c>
      <c r="BU9" s="64">
        <f>BU7-BU8</f>
        <v/>
      </c>
      <c r="BV9" s="64">
        <f>BV7-BV8</f>
        <v/>
      </c>
      <c r="BW9" s="64">
        <f>BW7-BW8</f>
        <v/>
      </c>
      <c r="BX9" s="64">
        <f>BX7-BX8</f>
        <v/>
      </c>
      <c r="BY9" s="64">
        <f>BY7-BY8</f>
        <v/>
      </c>
      <c r="BZ9" s="64">
        <f>BZ7-BZ8</f>
        <v/>
      </c>
      <c r="CA9" s="64">
        <f>CA7-CA8</f>
        <v/>
      </c>
      <c r="CB9" s="64">
        <f>CB7-CB8</f>
        <v/>
      </c>
      <c r="CC9" s="64">
        <f>CC7-CC8</f>
        <v/>
      </c>
      <c r="CD9" s="64">
        <f>CD7-CD8</f>
        <v/>
      </c>
    </row>
    <row r="10">
      <c r="A10" t="inlineStr">
        <is>
          <t>Interest Expense ($)</t>
        </is>
      </c>
      <c r="C10" s="55">
        <f>Calc_Financing_Ops!C19</f>
        <v/>
      </c>
      <c r="D10" s="55">
        <f>Calc_Financing_Ops!D19</f>
        <v/>
      </c>
      <c r="E10" s="55">
        <f>Calc_Financing_Ops!E19</f>
        <v/>
      </c>
      <c r="F10" s="55">
        <f>Calc_Financing_Ops!F19</f>
        <v/>
      </c>
      <c r="G10" s="55">
        <f>Calc_Financing_Ops!G19</f>
        <v/>
      </c>
      <c r="H10" s="55">
        <f>Calc_Financing_Ops!H19</f>
        <v/>
      </c>
      <c r="I10" s="55">
        <f>Calc_Financing_Ops!I19</f>
        <v/>
      </c>
      <c r="J10" s="55">
        <f>Calc_Financing_Ops!J19</f>
        <v/>
      </c>
      <c r="K10" s="55">
        <f>Calc_Financing_Ops!K19</f>
        <v/>
      </c>
      <c r="L10" s="55">
        <f>Calc_Financing_Ops!L19</f>
        <v/>
      </c>
      <c r="M10" s="55">
        <f>Calc_Financing_Ops!M19</f>
        <v/>
      </c>
      <c r="N10" s="55">
        <f>Calc_Financing_Ops!N19</f>
        <v/>
      </c>
      <c r="O10" s="55">
        <f>Calc_Financing_Ops!O19</f>
        <v/>
      </c>
      <c r="P10" s="55">
        <f>Calc_Financing_Ops!P19</f>
        <v/>
      </c>
      <c r="Q10" s="55">
        <f>Calc_Financing_Ops!Q19</f>
        <v/>
      </c>
      <c r="R10" s="55">
        <f>Calc_Financing_Ops!R19</f>
        <v/>
      </c>
      <c r="S10" s="55">
        <f>Calc_Financing_Ops!S19</f>
        <v/>
      </c>
      <c r="T10" s="55">
        <f>Calc_Financing_Ops!T19</f>
        <v/>
      </c>
      <c r="U10" s="55">
        <f>Calc_Financing_Ops!U19</f>
        <v/>
      </c>
      <c r="V10" s="55">
        <f>Calc_Financing_Ops!V19</f>
        <v/>
      </c>
      <c r="W10" s="55">
        <f>Calc_Financing_Ops!W19</f>
        <v/>
      </c>
      <c r="X10" s="55">
        <f>Calc_Financing_Ops!X19</f>
        <v/>
      </c>
      <c r="Y10" s="55">
        <f>Calc_Financing_Ops!Y19</f>
        <v/>
      </c>
      <c r="Z10" s="55">
        <f>Calc_Financing_Ops!Z19</f>
        <v/>
      </c>
      <c r="AA10" s="55">
        <f>Calc_Financing_Ops!AA19</f>
        <v/>
      </c>
      <c r="AB10" s="55">
        <f>Calc_Financing_Ops!AB19</f>
        <v/>
      </c>
      <c r="AC10" s="55">
        <f>Calc_Financing_Ops!AC19</f>
        <v/>
      </c>
      <c r="AD10" s="55">
        <f>Calc_Financing_Ops!AD19</f>
        <v/>
      </c>
      <c r="AE10" s="55">
        <f>Calc_Financing_Ops!AE19</f>
        <v/>
      </c>
      <c r="AF10" s="55">
        <f>Calc_Financing_Ops!AF19</f>
        <v/>
      </c>
      <c r="AG10" s="55">
        <f>Calc_Financing_Ops!AG19</f>
        <v/>
      </c>
      <c r="AH10" s="55">
        <f>Calc_Financing_Ops!AH19</f>
        <v/>
      </c>
      <c r="AI10" s="55">
        <f>Calc_Financing_Ops!AI19</f>
        <v/>
      </c>
      <c r="AJ10" s="55">
        <f>Calc_Financing_Ops!AJ19</f>
        <v/>
      </c>
      <c r="AK10" s="55">
        <f>Calc_Financing_Ops!AK19</f>
        <v/>
      </c>
      <c r="AL10" s="55">
        <f>Calc_Financing_Ops!AL19</f>
        <v/>
      </c>
      <c r="AM10" s="55">
        <f>Calc_Financing_Ops!AM19</f>
        <v/>
      </c>
      <c r="AN10" s="55">
        <f>Calc_Financing_Ops!AN19</f>
        <v/>
      </c>
      <c r="AO10" s="55">
        <f>Calc_Financing_Ops!AO19</f>
        <v/>
      </c>
      <c r="AP10" s="55">
        <f>Calc_Financing_Ops!AP19</f>
        <v/>
      </c>
      <c r="AQ10" s="55">
        <f>Calc_Financing_Ops!AQ19</f>
        <v/>
      </c>
      <c r="AR10" s="55">
        <f>Calc_Financing_Ops!AR19</f>
        <v/>
      </c>
      <c r="AS10" s="55">
        <f>Calc_Financing_Ops!AS19</f>
        <v/>
      </c>
      <c r="AT10" s="55">
        <f>Calc_Financing_Ops!AT19</f>
        <v/>
      </c>
      <c r="AU10" s="55">
        <f>Calc_Financing_Ops!AU19</f>
        <v/>
      </c>
      <c r="AV10" s="55">
        <f>Calc_Financing_Ops!AV19</f>
        <v/>
      </c>
      <c r="AW10" s="55">
        <f>Calc_Financing_Ops!AW19</f>
        <v/>
      </c>
      <c r="AX10" s="55">
        <f>Calc_Financing_Ops!AX19</f>
        <v/>
      </c>
      <c r="AY10" s="55">
        <f>Calc_Financing_Ops!AY19</f>
        <v/>
      </c>
      <c r="AZ10" s="55">
        <f>Calc_Financing_Ops!AZ19</f>
        <v/>
      </c>
      <c r="BA10" s="55">
        <f>Calc_Financing_Ops!BA19</f>
        <v/>
      </c>
      <c r="BB10" s="55">
        <f>Calc_Financing_Ops!BB19</f>
        <v/>
      </c>
      <c r="BC10" s="55">
        <f>Calc_Financing_Ops!BC19</f>
        <v/>
      </c>
      <c r="BD10" s="55">
        <f>Calc_Financing_Ops!BD19</f>
        <v/>
      </c>
      <c r="BE10" s="55">
        <f>Calc_Financing_Ops!BE19</f>
        <v/>
      </c>
      <c r="BF10" s="55">
        <f>Calc_Financing_Ops!BF19</f>
        <v/>
      </c>
      <c r="BG10" s="55">
        <f>Calc_Financing_Ops!BG19</f>
        <v/>
      </c>
      <c r="BH10" s="55">
        <f>Calc_Financing_Ops!BH19</f>
        <v/>
      </c>
      <c r="BI10" s="55">
        <f>Calc_Financing_Ops!BI19</f>
        <v/>
      </c>
      <c r="BJ10" s="55">
        <f>Calc_Financing_Ops!BJ19</f>
        <v/>
      </c>
      <c r="BK10" s="55">
        <f>Calc_Financing_Ops!BK19</f>
        <v/>
      </c>
      <c r="BL10" s="55">
        <f>Calc_Financing_Ops!BL19</f>
        <v/>
      </c>
      <c r="BM10" s="55">
        <f>Calc_Financing_Ops!BM19</f>
        <v/>
      </c>
      <c r="BN10" s="55">
        <f>Calc_Financing_Ops!BN19</f>
        <v/>
      </c>
      <c r="BO10" s="55">
        <f>Calc_Financing_Ops!BO19</f>
        <v/>
      </c>
      <c r="BP10" s="55">
        <f>Calc_Financing_Ops!BP19</f>
        <v/>
      </c>
      <c r="BQ10" s="55">
        <f>Calc_Financing_Ops!BQ19</f>
        <v/>
      </c>
      <c r="BR10" s="55">
        <f>Calc_Financing_Ops!BR19</f>
        <v/>
      </c>
      <c r="BS10" s="55">
        <f>Calc_Financing_Ops!BS19</f>
        <v/>
      </c>
      <c r="BT10" s="55">
        <f>Calc_Financing_Ops!BT19</f>
        <v/>
      </c>
      <c r="BU10" s="55">
        <f>Calc_Financing_Ops!BU19</f>
        <v/>
      </c>
      <c r="BV10" s="55">
        <f>Calc_Financing_Ops!BV19</f>
        <v/>
      </c>
      <c r="BW10" s="55">
        <f>Calc_Financing_Ops!BW19</f>
        <v/>
      </c>
      <c r="BX10" s="55">
        <f>Calc_Financing_Ops!BX19</f>
        <v/>
      </c>
      <c r="BY10" s="55">
        <f>Calc_Financing_Ops!BY19</f>
        <v/>
      </c>
      <c r="BZ10" s="55">
        <f>Calc_Financing_Ops!BZ19</f>
        <v/>
      </c>
      <c r="CA10" s="55">
        <f>Calc_Financing_Ops!CA19</f>
        <v/>
      </c>
      <c r="CB10" s="55">
        <f>Calc_Financing_Ops!CB19</f>
        <v/>
      </c>
      <c r="CC10" s="55">
        <f>Calc_Financing_Ops!CC19</f>
        <v/>
      </c>
      <c r="CD10" s="55">
        <f>Calc_Financing_Ops!CD19</f>
        <v/>
      </c>
    </row>
    <row r="11">
      <c r="A11" t="inlineStr">
        <is>
          <t>EBT ($)</t>
        </is>
      </c>
      <c r="C11" s="64">
        <f>C9-C10</f>
        <v/>
      </c>
      <c r="D11" s="64">
        <f>D9-D10</f>
        <v/>
      </c>
      <c r="E11" s="64">
        <f>E9-E10</f>
        <v/>
      </c>
      <c r="F11" s="64">
        <f>F9-F10</f>
        <v/>
      </c>
      <c r="G11" s="64">
        <f>G9-G10</f>
        <v/>
      </c>
      <c r="H11" s="64">
        <f>H9-H10</f>
        <v/>
      </c>
      <c r="I11" s="64">
        <f>I9-I10</f>
        <v/>
      </c>
      <c r="J11" s="64">
        <f>J9-J10</f>
        <v/>
      </c>
      <c r="K11" s="64">
        <f>K9-K10</f>
        <v/>
      </c>
      <c r="L11" s="64">
        <f>L9-L10</f>
        <v/>
      </c>
      <c r="M11" s="64">
        <f>M9-M10</f>
        <v/>
      </c>
      <c r="N11" s="64">
        <f>N9-N10</f>
        <v/>
      </c>
      <c r="O11" s="64">
        <f>O9-O10</f>
        <v/>
      </c>
      <c r="P11" s="64">
        <f>P9-P10</f>
        <v/>
      </c>
      <c r="Q11" s="64">
        <f>Q9-Q10</f>
        <v/>
      </c>
      <c r="R11" s="64">
        <f>R9-R10</f>
        <v/>
      </c>
      <c r="S11" s="64">
        <f>S9-S10</f>
        <v/>
      </c>
      <c r="T11" s="64">
        <f>T9-T10</f>
        <v/>
      </c>
      <c r="U11" s="64">
        <f>U9-U10</f>
        <v/>
      </c>
      <c r="V11" s="64">
        <f>V9-V10</f>
        <v/>
      </c>
      <c r="W11" s="64">
        <f>W9-W10</f>
        <v/>
      </c>
      <c r="X11" s="64">
        <f>X9-X10</f>
        <v/>
      </c>
      <c r="Y11" s="64">
        <f>Y9-Y10</f>
        <v/>
      </c>
      <c r="Z11" s="64">
        <f>Z9-Z10</f>
        <v/>
      </c>
      <c r="AA11" s="64">
        <f>AA9-AA10</f>
        <v/>
      </c>
      <c r="AB11" s="64">
        <f>AB9-AB10</f>
        <v/>
      </c>
      <c r="AC11" s="64">
        <f>AC9-AC10</f>
        <v/>
      </c>
      <c r="AD11" s="64">
        <f>AD9-AD10</f>
        <v/>
      </c>
      <c r="AE11" s="64">
        <f>AE9-AE10</f>
        <v/>
      </c>
      <c r="AF11" s="64">
        <f>AF9-AF10</f>
        <v/>
      </c>
      <c r="AG11" s="64">
        <f>AG9-AG10</f>
        <v/>
      </c>
      <c r="AH11" s="64">
        <f>AH9-AH10</f>
        <v/>
      </c>
      <c r="AI11" s="64">
        <f>AI9-AI10</f>
        <v/>
      </c>
      <c r="AJ11" s="64">
        <f>AJ9-AJ10</f>
        <v/>
      </c>
      <c r="AK11" s="64">
        <f>AK9-AK10</f>
        <v/>
      </c>
      <c r="AL11" s="64">
        <f>AL9-AL10</f>
        <v/>
      </c>
      <c r="AM11" s="64">
        <f>AM9-AM10</f>
        <v/>
      </c>
      <c r="AN11" s="64">
        <f>AN9-AN10</f>
        <v/>
      </c>
      <c r="AO11" s="64">
        <f>AO9-AO10</f>
        <v/>
      </c>
      <c r="AP11" s="64">
        <f>AP9-AP10</f>
        <v/>
      </c>
      <c r="AQ11" s="64">
        <f>AQ9-AQ10</f>
        <v/>
      </c>
      <c r="AR11" s="64">
        <f>AR9-AR10</f>
        <v/>
      </c>
      <c r="AS11" s="64">
        <f>AS9-AS10</f>
        <v/>
      </c>
      <c r="AT11" s="64">
        <f>AT9-AT10</f>
        <v/>
      </c>
      <c r="AU11" s="64">
        <f>AU9-AU10</f>
        <v/>
      </c>
      <c r="AV11" s="64">
        <f>AV9-AV10</f>
        <v/>
      </c>
      <c r="AW11" s="64">
        <f>AW9-AW10</f>
        <v/>
      </c>
      <c r="AX11" s="64">
        <f>AX9-AX10</f>
        <v/>
      </c>
      <c r="AY11" s="64">
        <f>AY9-AY10</f>
        <v/>
      </c>
      <c r="AZ11" s="64">
        <f>AZ9-AZ10</f>
        <v/>
      </c>
      <c r="BA11" s="64">
        <f>BA9-BA10</f>
        <v/>
      </c>
      <c r="BB11" s="64">
        <f>BB9-BB10</f>
        <v/>
      </c>
      <c r="BC11" s="64">
        <f>BC9-BC10</f>
        <v/>
      </c>
      <c r="BD11" s="64">
        <f>BD9-BD10</f>
        <v/>
      </c>
      <c r="BE11" s="64">
        <f>BE9-BE10</f>
        <v/>
      </c>
      <c r="BF11" s="64">
        <f>BF9-BF10</f>
        <v/>
      </c>
      <c r="BG11" s="64">
        <f>BG9-BG10</f>
        <v/>
      </c>
      <c r="BH11" s="64">
        <f>BH9-BH10</f>
        <v/>
      </c>
      <c r="BI11" s="64">
        <f>BI9-BI10</f>
        <v/>
      </c>
      <c r="BJ11" s="64">
        <f>BJ9-BJ10</f>
        <v/>
      </c>
      <c r="BK11" s="64">
        <f>BK9-BK10</f>
        <v/>
      </c>
      <c r="BL11" s="64">
        <f>BL9-BL10</f>
        <v/>
      </c>
      <c r="BM11" s="64">
        <f>BM9-BM10</f>
        <v/>
      </c>
      <c r="BN11" s="64">
        <f>BN9-BN10</f>
        <v/>
      </c>
      <c r="BO11" s="64">
        <f>BO9-BO10</f>
        <v/>
      </c>
      <c r="BP11" s="64">
        <f>BP9-BP10</f>
        <v/>
      </c>
      <c r="BQ11" s="64">
        <f>BQ9-BQ10</f>
        <v/>
      </c>
      <c r="BR11" s="64">
        <f>BR9-BR10</f>
        <v/>
      </c>
      <c r="BS11" s="64">
        <f>BS9-BS10</f>
        <v/>
      </c>
      <c r="BT11" s="64">
        <f>BT9-BT10</f>
        <v/>
      </c>
      <c r="BU11" s="64">
        <f>BU9-BU10</f>
        <v/>
      </c>
      <c r="BV11" s="64">
        <f>BV9-BV10</f>
        <v/>
      </c>
      <c r="BW11" s="64">
        <f>BW9-BW10</f>
        <v/>
      </c>
      <c r="BX11" s="64">
        <f>BX9-BX10</f>
        <v/>
      </c>
      <c r="BY11" s="64">
        <f>BY9-BY10</f>
        <v/>
      </c>
      <c r="BZ11" s="64">
        <f>BZ9-BZ10</f>
        <v/>
      </c>
      <c r="CA11" s="64">
        <f>CA9-CA10</f>
        <v/>
      </c>
      <c r="CB11" s="64">
        <f>CB9-CB10</f>
        <v/>
      </c>
      <c r="CC11" s="64">
        <f>CC9-CC10</f>
        <v/>
      </c>
      <c r="CD11" s="64">
        <f>CD9-CD10</f>
        <v/>
      </c>
    </row>
    <row r="12">
      <c r="A12" t="inlineStr">
        <is>
          <t>Tax ($) — linked from Calc_Tax</t>
        </is>
      </c>
      <c r="C12" s="55">
        <f>Calc_Tax!C17</f>
        <v/>
      </c>
      <c r="D12" s="55">
        <f>Calc_Tax!D17</f>
        <v/>
      </c>
      <c r="E12" s="55">
        <f>Calc_Tax!E17</f>
        <v/>
      </c>
      <c r="F12" s="55">
        <f>Calc_Tax!F17</f>
        <v/>
      </c>
      <c r="G12" s="55">
        <f>Calc_Tax!G17</f>
        <v/>
      </c>
      <c r="H12" s="55">
        <f>Calc_Tax!H17</f>
        <v/>
      </c>
      <c r="I12" s="55">
        <f>Calc_Tax!I17</f>
        <v/>
      </c>
      <c r="J12" s="55">
        <f>Calc_Tax!J17</f>
        <v/>
      </c>
      <c r="K12" s="55">
        <f>Calc_Tax!K17</f>
        <v/>
      </c>
      <c r="L12" s="55">
        <f>Calc_Tax!L17</f>
        <v/>
      </c>
      <c r="M12" s="55">
        <f>Calc_Tax!M17</f>
        <v/>
      </c>
      <c r="N12" s="55">
        <f>Calc_Tax!N17</f>
        <v/>
      </c>
      <c r="O12" s="55">
        <f>Calc_Tax!O17</f>
        <v/>
      </c>
      <c r="P12" s="55">
        <f>Calc_Tax!P17</f>
        <v/>
      </c>
      <c r="Q12" s="55">
        <f>Calc_Tax!Q17</f>
        <v/>
      </c>
      <c r="R12" s="55">
        <f>Calc_Tax!R17</f>
        <v/>
      </c>
      <c r="S12" s="55">
        <f>Calc_Tax!S17</f>
        <v/>
      </c>
      <c r="T12" s="55">
        <f>Calc_Tax!T17</f>
        <v/>
      </c>
      <c r="U12" s="55">
        <f>Calc_Tax!U17</f>
        <v/>
      </c>
      <c r="V12" s="55">
        <f>Calc_Tax!V17</f>
        <v/>
      </c>
      <c r="W12" s="55">
        <f>Calc_Tax!W17</f>
        <v/>
      </c>
      <c r="X12" s="55">
        <f>Calc_Tax!X17</f>
        <v/>
      </c>
      <c r="Y12" s="55">
        <f>Calc_Tax!Y17</f>
        <v/>
      </c>
      <c r="Z12" s="55">
        <f>Calc_Tax!Z17</f>
        <v/>
      </c>
      <c r="AA12" s="55">
        <f>Calc_Tax!AA17</f>
        <v/>
      </c>
      <c r="AB12" s="55">
        <f>Calc_Tax!AB17</f>
        <v/>
      </c>
      <c r="AC12" s="55">
        <f>Calc_Tax!AC17</f>
        <v/>
      </c>
      <c r="AD12" s="55">
        <f>Calc_Tax!AD17</f>
        <v/>
      </c>
      <c r="AE12" s="55">
        <f>Calc_Tax!AE17</f>
        <v/>
      </c>
      <c r="AF12" s="55">
        <f>Calc_Tax!AF17</f>
        <v/>
      </c>
      <c r="AG12" s="55">
        <f>Calc_Tax!AG17</f>
        <v/>
      </c>
      <c r="AH12" s="55">
        <f>Calc_Tax!AH17</f>
        <v/>
      </c>
      <c r="AI12" s="55">
        <f>Calc_Tax!AI17</f>
        <v/>
      </c>
      <c r="AJ12" s="55">
        <f>Calc_Tax!AJ17</f>
        <v/>
      </c>
      <c r="AK12" s="55">
        <f>Calc_Tax!AK17</f>
        <v/>
      </c>
      <c r="AL12" s="55">
        <f>Calc_Tax!AL17</f>
        <v/>
      </c>
      <c r="AM12" s="55">
        <f>Calc_Tax!AM17</f>
        <v/>
      </c>
      <c r="AN12" s="55">
        <f>Calc_Tax!AN17</f>
        <v/>
      </c>
      <c r="AO12" s="55">
        <f>Calc_Tax!AO17</f>
        <v/>
      </c>
      <c r="AP12" s="55">
        <f>Calc_Tax!AP17</f>
        <v/>
      </c>
      <c r="AQ12" s="55">
        <f>Calc_Tax!AQ17</f>
        <v/>
      </c>
      <c r="AR12" s="55">
        <f>Calc_Tax!AR17</f>
        <v/>
      </c>
      <c r="AS12" s="55">
        <f>Calc_Tax!AS17</f>
        <v/>
      </c>
      <c r="AT12" s="55">
        <f>Calc_Tax!AT17</f>
        <v/>
      </c>
      <c r="AU12" s="55">
        <f>Calc_Tax!AU17</f>
        <v/>
      </c>
      <c r="AV12" s="55">
        <f>Calc_Tax!AV17</f>
        <v/>
      </c>
      <c r="AW12" s="55">
        <f>Calc_Tax!AW17</f>
        <v/>
      </c>
      <c r="AX12" s="55">
        <f>Calc_Tax!AX17</f>
        <v/>
      </c>
      <c r="AY12" s="55">
        <f>Calc_Tax!AY17</f>
        <v/>
      </c>
      <c r="AZ12" s="55">
        <f>Calc_Tax!AZ17</f>
        <v/>
      </c>
      <c r="BA12" s="55">
        <f>Calc_Tax!BA17</f>
        <v/>
      </c>
      <c r="BB12" s="55">
        <f>Calc_Tax!BB17</f>
        <v/>
      </c>
      <c r="BC12" s="55">
        <f>Calc_Tax!BC17</f>
        <v/>
      </c>
      <c r="BD12" s="55">
        <f>Calc_Tax!BD17</f>
        <v/>
      </c>
      <c r="BE12" s="55">
        <f>Calc_Tax!BE17</f>
        <v/>
      </c>
      <c r="BF12" s="55">
        <f>Calc_Tax!BF17</f>
        <v/>
      </c>
      <c r="BG12" s="55">
        <f>Calc_Tax!BG17</f>
        <v/>
      </c>
      <c r="BH12" s="55">
        <f>Calc_Tax!BH17</f>
        <v/>
      </c>
      <c r="BI12" s="55">
        <f>Calc_Tax!BI17</f>
        <v/>
      </c>
      <c r="BJ12" s="55">
        <f>Calc_Tax!BJ17</f>
        <v/>
      </c>
      <c r="BK12" s="55">
        <f>Calc_Tax!BK17</f>
        <v/>
      </c>
      <c r="BL12" s="55">
        <f>Calc_Tax!BL17</f>
        <v/>
      </c>
      <c r="BM12" s="55">
        <f>Calc_Tax!BM17</f>
        <v/>
      </c>
      <c r="BN12" s="55">
        <f>Calc_Tax!BN17</f>
        <v/>
      </c>
      <c r="BO12" s="55">
        <f>Calc_Tax!BO17</f>
        <v/>
      </c>
      <c r="BP12" s="55">
        <f>Calc_Tax!BP17</f>
        <v/>
      </c>
      <c r="BQ12" s="55">
        <f>Calc_Tax!BQ17</f>
        <v/>
      </c>
      <c r="BR12" s="55">
        <f>Calc_Tax!BR17</f>
        <v/>
      </c>
      <c r="BS12" s="55">
        <f>Calc_Tax!BS17</f>
        <v/>
      </c>
      <c r="BT12" s="55">
        <f>Calc_Tax!BT17</f>
        <v/>
      </c>
      <c r="BU12" s="55">
        <f>Calc_Tax!BU17</f>
        <v/>
      </c>
      <c r="BV12" s="55">
        <f>Calc_Tax!BV17</f>
        <v/>
      </c>
      <c r="BW12" s="55">
        <f>Calc_Tax!BW17</f>
        <v/>
      </c>
      <c r="BX12" s="55">
        <f>Calc_Tax!BX17</f>
        <v/>
      </c>
      <c r="BY12" s="55">
        <f>Calc_Tax!BY17</f>
        <v/>
      </c>
      <c r="BZ12" s="55">
        <f>Calc_Tax!BZ17</f>
        <v/>
      </c>
      <c r="CA12" s="55">
        <f>Calc_Tax!CA17</f>
        <v/>
      </c>
      <c r="CB12" s="55">
        <f>Calc_Tax!CB17</f>
        <v/>
      </c>
      <c r="CC12" s="55">
        <f>Calc_Tax!CC17</f>
        <v/>
      </c>
      <c r="CD12" s="55">
        <f>Calc_Tax!CD17</f>
        <v/>
      </c>
    </row>
    <row r="13">
      <c r="A13" t="inlineStr">
        <is>
          <t>DSRA LC Fee ($) — non-deductible; zero when the DSRA is cash-funded</t>
        </is>
      </c>
      <c r="C13" s="55">
        <f>Calc_Financing_Ops!C29</f>
        <v/>
      </c>
      <c r="D13" s="55">
        <f>Calc_Financing_Ops!D29</f>
        <v/>
      </c>
      <c r="E13" s="55">
        <f>Calc_Financing_Ops!E29</f>
        <v/>
      </c>
      <c r="F13" s="55">
        <f>Calc_Financing_Ops!F29</f>
        <v/>
      </c>
      <c r="G13" s="55">
        <f>Calc_Financing_Ops!G29</f>
        <v/>
      </c>
      <c r="H13" s="55">
        <f>Calc_Financing_Ops!H29</f>
        <v/>
      </c>
      <c r="I13" s="55">
        <f>Calc_Financing_Ops!I29</f>
        <v/>
      </c>
      <c r="J13" s="55">
        <f>Calc_Financing_Ops!J29</f>
        <v/>
      </c>
      <c r="K13" s="55">
        <f>Calc_Financing_Ops!K29</f>
        <v/>
      </c>
      <c r="L13" s="55">
        <f>Calc_Financing_Ops!L29</f>
        <v/>
      </c>
      <c r="M13" s="55">
        <f>Calc_Financing_Ops!M29</f>
        <v/>
      </c>
      <c r="N13" s="55">
        <f>Calc_Financing_Ops!N29</f>
        <v/>
      </c>
      <c r="O13" s="55">
        <f>Calc_Financing_Ops!O29</f>
        <v/>
      </c>
      <c r="P13" s="55">
        <f>Calc_Financing_Ops!P29</f>
        <v/>
      </c>
      <c r="Q13" s="55">
        <f>Calc_Financing_Ops!Q29</f>
        <v/>
      </c>
      <c r="R13" s="55">
        <f>Calc_Financing_Ops!R29</f>
        <v/>
      </c>
      <c r="S13" s="55">
        <f>Calc_Financing_Ops!S29</f>
        <v/>
      </c>
      <c r="T13" s="55">
        <f>Calc_Financing_Ops!T29</f>
        <v/>
      </c>
      <c r="U13" s="55">
        <f>Calc_Financing_Ops!U29</f>
        <v/>
      </c>
      <c r="V13" s="55">
        <f>Calc_Financing_Ops!V29</f>
        <v/>
      </c>
      <c r="W13" s="55">
        <f>Calc_Financing_Ops!W29</f>
        <v/>
      </c>
      <c r="X13" s="55">
        <f>Calc_Financing_Ops!X29</f>
        <v/>
      </c>
      <c r="Y13" s="55">
        <f>Calc_Financing_Ops!Y29</f>
        <v/>
      </c>
      <c r="Z13" s="55">
        <f>Calc_Financing_Ops!Z29</f>
        <v/>
      </c>
      <c r="AA13" s="55">
        <f>Calc_Financing_Ops!AA29</f>
        <v/>
      </c>
      <c r="AB13" s="55">
        <f>Calc_Financing_Ops!AB29</f>
        <v/>
      </c>
      <c r="AC13" s="55">
        <f>Calc_Financing_Ops!AC29</f>
        <v/>
      </c>
      <c r="AD13" s="55">
        <f>Calc_Financing_Ops!AD29</f>
        <v/>
      </c>
      <c r="AE13" s="55">
        <f>Calc_Financing_Ops!AE29</f>
        <v/>
      </c>
      <c r="AF13" s="55">
        <f>Calc_Financing_Ops!AF29</f>
        <v/>
      </c>
      <c r="AG13" s="55">
        <f>Calc_Financing_Ops!AG29</f>
        <v/>
      </c>
      <c r="AH13" s="55">
        <f>Calc_Financing_Ops!AH29</f>
        <v/>
      </c>
      <c r="AI13" s="55">
        <f>Calc_Financing_Ops!AI29</f>
        <v/>
      </c>
      <c r="AJ13" s="55">
        <f>Calc_Financing_Ops!AJ29</f>
        <v/>
      </c>
      <c r="AK13" s="55">
        <f>Calc_Financing_Ops!AK29</f>
        <v/>
      </c>
      <c r="AL13" s="55">
        <f>Calc_Financing_Ops!AL29</f>
        <v/>
      </c>
      <c r="AM13" s="55">
        <f>Calc_Financing_Ops!AM29</f>
        <v/>
      </c>
      <c r="AN13" s="55">
        <f>Calc_Financing_Ops!AN29</f>
        <v/>
      </c>
      <c r="AO13" s="55">
        <f>Calc_Financing_Ops!AO29</f>
        <v/>
      </c>
      <c r="AP13" s="55">
        <f>Calc_Financing_Ops!AP29</f>
        <v/>
      </c>
      <c r="AQ13" s="55">
        <f>Calc_Financing_Ops!AQ29</f>
        <v/>
      </c>
      <c r="AR13" s="55">
        <f>Calc_Financing_Ops!AR29</f>
        <v/>
      </c>
      <c r="AS13" s="55">
        <f>Calc_Financing_Ops!AS29</f>
        <v/>
      </c>
      <c r="AT13" s="55">
        <f>Calc_Financing_Ops!AT29</f>
        <v/>
      </c>
      <c r="AU13" s="55">
        <f>Calc_Financing_Ops!AU29</f>
        <v/>
      </c>
      <c r="AV13" s="55">
        <f>Calc_Financing_Ops!AV29</f>
        <v/>
      </c>
      <c r="AW13" s="55">
        <f>Calc_Financing_Ops!AW29</f>
        <v/>
      </c>
      <c r="AX13" s="55">
        <f>Calc_Financing_Ops!AX29</f>
        <v/>
      </c>
      <c r="AY13" s="55">
        <f>Calc_Financing_Ops!AY29</f>
        <v/>
      </c>
      <c r="AZ13" s="55">
        <f>Calc_Financing_Ops!AZ29</f>
        <v/>
      </c>
      <c r="BA13" s="55">
        <f>Calc_Financing_Ops!BA29</f>
        <v/>
      </c>
      <c r="BB13" s="55">
        <f>Calc_Financing_Ops!BB29</f>
        <v/>
      </c>
      <c r="BC13" s="55">
        <f>Calc_Financing_Ops!BC29</f>
        <v/>
      </c>
      <c r="BD13" s="55">
        <f>Calc_Financing_Ops!BD29</f>
        <v/>
      </c>
      <c r="BE13" s="55">
        <f>Calc_Financing_Ops!BE29</f>
        <v/>
      </c>
      <c r="BF13" s="55">
        <f>Calc_Financing_Ops!BF29</f>
        <v/>
      </c>
      <c r="BG13" s="55">
        <f>Calc_Financing_Ops!BG29</f>
        <v/>
      </c>
      <c r="BH13" s="55">
        <f>Calc_Financing_Ops!BH29</f>
        <v/>
      </c>
      <c r="BI13" s="55">
        <f>Calc_Financing_Ops!BI29</f>
        <v/>
      </c>
      <c r="BJ13" s="55">
        <f>Calc_Financing_Ops!BJ29</f>
        <v/>
      </c>
      <c r="BK13" s="55">
        <f>Calc_Financing_Ops!BK29</f>
        <v/>
      </c>
      <c r="BL13" s="55">
        <f>Calc_Financing_Ops!BL29</f>
        <v/>
      </c>
      <c r="BM13" s="55">
        <f>Calc_Financing_Ops!BM29</f>
        <v/>
      </c>
      <c r="BN13" s="55">
        <f>Calc_Financing_Ops!BN29</f>
        <v/>
      </c>
      <c r="BO13" s="55">
        <f>Calc_Financing_Ops!BO29</f>
        <v/>
      </c>
      <c r="BP13" s="55">
        <f>Calc_Financing_Ops!BP29</f>
        <v/>
      </c>
      <c r="BQ13" s="55">
        <f>Calc_Financing_Ops!BQ29</f>
        <v/>
      </c>
      <c r="BR13" s="55">
        <f>Calc_Financing_Ops!BR29</f>
        <v/>
      </c>
      <c r="BS13" s="55">
        <f>Calc_Financing_Ops!BS29</f>
        <v/>
      </c>
      <c r="BT13" s="55">
        <f>Calc_Financing_Ops!BT29</f>
        <v/>
      </c>
      <c r="BU13" s="55">
        <f>Calc_Financing_Ops!BU29</f>
        <v/>
      </c>
      <c r="BV13" s="55">
        <f>Calc_Financing_Ops!BV29</f>
        <v/>
      </c>
      <c r="BW13" s="55">
        <f>Calc_Financing_Ops!BW29</f>
        <v/>
      </c>
      <c r="BX13" s="55">
        <f>Calc_Financing_Ops!BX29</f>
        <v/>
      </c>
      <c r="BY13" s="55">
        <f>Calc_Financing_Ops!BY29</f>
        <v/>
      </c>
      <c r="BZ13" s="55">
        <f>Calc_Financing_Ops!BZ29</f>
        <v/>
      </c>
      <c r="CA13" s="55">
        <f>Calc_Financing_Ops!CA29</f>
        <v/>
      </c>
      <c r="CB13" s="55">
        <f>Calc_Financing_Ops!CB29</f>
        <v/>
      </c>
      <c r="CC13" s="55">
        <f>Calc_Financing_Ops!CC29</f>
        <v/>
      </c>
      <c r="CD13" s="55">
        <f>Calc_Financing_Ops!CD29</f>
        <v/>
      </c>
    </row>
    <row r="14">
      <c r="A14" t="inlineStr">
        <is>
          <t>Net Income ($)</t>
        </is>
      </c>
      <c r="C14" s="64">
        <f>C11-C12-C13</f>
        <v/>
      </c>
      <c r="D14" s="64">
        <f>D11-D12-D13</f>
        <v/>
      </c>
      <c r="E14" s="64">
        <f>E11-E12-E13</f>
        <v/>
      </c>
      <c r="F14" s="64">
        <f>F11-F12-F13</f>
        <v/>
      </c>
      <c r="G14" s="64">
        <f>G11-G12-G13</f>
        <v/>
      </c>
      <c r="H14" s="64">
        <f>H11-H12-H13</f>
        <v/>
      </c>
      <c r="I14" s="64">
        <f>I11-I12-I13</f>
        <v/>
      </c>
      <c r="J14" s="64">
        <f>J11-J12-J13</f>
        <v/>
      </c>
      <c r="K14" s="64">
        <f>K11-K12-K13</f>
        <v/>
      </c>
      <c r="L14" s="64">
        <f>L11-L12-L13</f>
        <v/>
      </c>
      <c r="M14" s="64">
        <f>M11-M12-M13</f>
        <v/>
      </c>
      <c r="N14" s="64">
        <f>N11-N12-N13</f>
        <v/>
      </c>
      <c r="O14" s="64">
        <f>O11-O12-O13</f>
        <v/>
      </c>
      <c r="P14" s="64">
        <f>P11-P12-P13</f>
        <v/>
      </c>
      <c r="Q14" s="64">
        <f>Q11-Q12-Q13</f>
        <v/>
      </c>
      <c r="R14" s="64">
        <f>R11-R12-R13</f>
        <v/>
      </c>
      <c r="S14" s="64">
        <f>S11-S12-S13</f>
        <v/>
      </c>
      <c r="T14" s="64">
        <f>T11-T12-T13</f>
        <v/>
      </c>
      <c r="U14" s="64">
        <f>U11-U12-U13</f>
        <v/>
      </c>
      <c r="V14" s="64">
        <f>V11-V12-V13</f>
        <v/>
      </c>
      <c r="W14" s="64">
        <f>W11-W12-W13</f>
        <v/>
      </c>
      <c r="X14" s="64">
        <f>X11-X12-X13</f>
        <v/>
      </c>
      <c r="Y14" s="64">
        <f>Y11-Y12-Y13</f>
        <v/>
      </c>
      <c r="Z14" s="64">
        <f>Z11-Z12-Z13</f>
        <v/>
      </c>
      <c r="AA14" s="64">
        <f>AA11-AA12-AA13</f>
        <v/>
      </c>
      <c r="AB14" s="64">
        <f>AB11-AB12-AB13</f>
        <v/>
      </c>
      <c r="AC14" s="64">
        <f>AC11-AC12-AC13</f>
        <v/>
      </c>
      <c r="AD14" s="64">
        <f>AD11-AD12-AD13</f>
        <v/>
      </c>
      <c r="AE14" s="64">
        <f>AE11-AE12-AE13</f>
        <v/>
      </c>
      <c r="AF14" s="64">
        <f>AF11-AF12-AF13</f>
        <v/>
      </c>
      <c r="AG14" s="64">
        <f>AG11-AG12-AG13</f>
        <v/>
      </c>
      <c r="AH14" s="64">
        <f>AH11-AH12-AH13</f>
        <v/>
      </c>
      <c r="AI14" s="64">
        <f>AI11-AI12-AI13</f>
        <v/>
      </c>
      <c r="AJ14" s="64">
        <f>AJ11-AJ12-AJ13</f>
        <v/>
      </c>
      <c r="AK14" s="64">
        <f>AK11-AK12-AK13</f>
        <v/>
      </c>
      <c r="AL14" s="64">
        <f>AL11-AL12-AL13</f>
        <v/>
      </c>
      <c r="AM14" s="64">
        <f>AM11-AM12-AM13</f>
        <v/>
      </c>
      <c r="AN14" s="64">
        <f>AN11-AN12-AN13</f>
        <v/>
      </c>
      <c r="AO14" s="64">
        <f>AO11-AO12-AO13</f>
        <v/>
      </c>
      <c r="AP14" s="64">
        <f>AP11-AP12-AP13</f>
        <v/>
      </c>
      <c r="AQ14" s="64">
        <f>AQ11-AQ12-AQ13</f>
        <v/>
      </c>
      <c r="AR14" s="64">
        <f>AR11-AR12-AR13</f>
        <v/>
      </c>
      <c r="AS14" s="64">
        <f>AS11-AS12-AS13</f>
        <v/>
      </c>
      <c r="AT14" s="64">
        <f>AT11-AT12-AT13</f>
        <v/>
      </c>
      <c r="AU14" s="64">
        <f>AU11-AU12-AU13</f>
        <v/>
      </c>
      <c r="AV14" s="64">
        <f>AV11-AV12-AV13</f>
        <v/>
      </c>
      <c r="AW14" s="64">
        <f>AW11-AW12-AW13</f>
        <v/>
      </c>
      <c r="AX14" s="64">
        <f>AX11-AX12-AX13</f>
        <v/>
      </c>
      <c r="AY14" s="64">
        <f>AY11-AY12-AY13</f>
        <v/>
      </c>
      <c r="AZ14" s="64">
        <f>AZ11-AZ12-AZ13</f>
        <v/>
      </c>
      <c r="BA14" s="64">
        <f>BA11-BA12-BA13</f>
        <v/>
      </c>
      <c r="BB14" s="64">
        <f>BB11-BB12-BB13</f>
        <v/>
      </c>
      <c r="BC14" s="64">
        <f>BC11-BC12-BC13</f>
        <v/>
      </c>
      <c r="BD14" s="64">
        <f>BD11-BD12-BD13</f>
        <v/>
      </c>
      <c r="BE14" s="64">
        <f>BE11-BE12-BE13</f>
        <v/>
      </c>
      <c r="BF14" s="64">
        <f>BF11-BF12-BF13</f>
        <v/>
      </c>
      <c r="BG14" s="64">
        <f>BG11-BG12-BG13</f>
        <v/>
      </c>
      <c r="BH14" s="64">
        <f>BH11-BH12-BH13</f>
        <v/>
      </c>
      <c r="BI14" s="64">
        <f>BI11-BI12-BI13</f>
        <v/>
      </c>
      <c r="BJ14" s="64">
        <f>BJ11-BJ12-BJ13</f>
        <v/>
      </c>
      <c r="BK14" s="64">
        <f>BK11-BK12-BK13</f>
        <v/>
      </c>
      <c r="BL14" s="64">
        <f>BL11-BL12-BL13</f>
        <v/>
      </c>
      <c r="BM14" s="64">
        <f>BM11-BM12-BM13</f>
        <v/>
      </c>
      <c r="BN14" s="64">
        <f>BN11-BN12-BN13</f>
        <v/>
      </c>
      <c r="BO14" s="64">
        <f>BO11-BO12-BO13</f>
        <v/>
      </c>
      <c r="BP14" s="64">
        <f>BP11-BP12-BP13</f>
        <v/>
      </c>
      <c r="BQ14" s="64">
        <f>BQ11-BQ12-BQ13</f>
        <v/>
      </c>
      <c r="BR14" s="64">
        <f>BR11-BR12-BR13</f>
        <v/>
      </c>
      <c r="BS14" s="64">
        <f>BS11-BS12-BS13</f>
        <v/>
      </c>
      <c r="BT14" s="64">
        <f>BT11-BT12-BT13</f>
        <v/>
      </c>
      <c r="BU14" s="64">
        <f>BU11-BU12-BU13</f>
        <v/>
      </c>
      <c r="BV14" s="64">
        <f>BV11-BV12-BV13</f>
        <v/>
      </c>
      <c r="BW14" s="64">
        <f>BW11-BW12-BW13</f>
        <v/>
      </c>
      <c r="BX14" s="64">
        <f>BX11-BX12-BX13</f>
        <v/>
      </c>
      <c r="BY14" s="64">
        <f>BY11-BY12-BY13</f>
        <v/>
      </c>
      <c r="BZ14" s="64">
        <f>BZ11-BZ12-BZ13</f>
        <v/>
      </c>
      <c r="CA14" s="64">
        <f>CA11-CA12-CA13</f>
        <v/>
      </c>
      <c r="CB14" s="64">
        <f>CB11-CB12-CB13</f>
        <v/>
      </c>
      <c r="CC14" s="64">
        <f>CC11-CC12-CC13</f>
        <v/>
      </c>
      <c r="CD14" s="64">
        <f>CD11-CD12-CD13</f>
        <v/>
      </c>
    </row>
    <row r="16">
      <c r="A16" t="inlineStr">
        <is>
          <t>Net Income ($)</t>
        </is>
      </c>
      <c r="C16" s="64">
        <f>C14</f>
        <v/>
      </c>
      <c r="D16" s="64">
        <f>D14</f>
        <v/>
      </c>
      <c r="E16" s="64">
        <f>E14</f>
        <v/>
      </c>
      <c r="F16" s="64">
        <f>F14</f>
        <v/>
      </c>
      <c r="G16" s="64">
        <f>G14</f>
        <v/>
      </c>
      <c r="H16" s="64">
        <f>H14</f>
        <v/>
      </c>
      <c r="I16" s="64">
        <f>I14</f>
        <v/>
      </c>
      <c r="J16" s="64">
        <f>J14</f>
        <v/>
      </c>
      <c r="K16" s="64">
        <f>K14</f>
        <v/>
      </c>
      <c r="L16" s="64">
        <f>L14</f>
        <v/>
      </c>
      <c r="M16" s="64">
        <f>M14</f>
        <v/>
      </c>
      <c r="N16" s="64">
        <f>N14</f>
        <v/>
      </c>
      <c r="O16" s="64">
        <f>O14</f>
        <v/>
      </c>
      <c r="P16" s="64">
        <f>P14</f>
        <v/>
      </c>
      <c r="Q16" s="64">
        <f>Q14</f>
        <v/>
      </c>
      <c r="R16" s="64">
        <f>R14</f>
        <v/>
      </c>
      <c r="S16" s="64">
        <f>S14</f>
        <v/>
      </c>
      <c r="T16" s="64">
        <f>T14</f>
        <v/>
      </c>
      <c r="U16" s="64">
        <f>U14</f>
        <v/>
      </c>
      <c r="V16" s="64">
        <f>V14</f>
        <v/>
      </c>
      <c r="W16" s="64">
        <f>W14</f>
        <v/>
      </c>
      <c r="X16" s="64">
        <f>X14</f>
        <v/>
      </c>
      <c r="Y16" s="64">
        <f>Y14</f>
        <v/>
      </c>
      <c r="Z16" s="64">
        <f>Z14</f>
        <v/>
      </c>
      <c r="AA16" s="64">
        <f>AA14</f>
        <v/>
      </c>
      <c r="AB16" s="64">
        <f>AB14</f>
        <v/>
      </c>
      <c r="AC16" s="64">
        <f>AC14</f>
        <v/>
      </c>
      <c r="AD16" s="64">
        <f>AD14</f>
        <v/>
      </c>
      <c r="AE16" s="64">
        <f>AE14</f>
        <v/>
      </c>
      <c r="AF16" s="64">
        <f>AF14</f>
        <v/>
      </c>
      <c r="AG16" s="64">
        <f>AG14</f>
        <v/>
      </c>
      <c r="AH16" s="64">
        <f>AH14</f>
        <v/>
      </c>
      <c r="AI16" s="64">
        <f>AI14</f>
        <v/>
      </c>
      <c r="AJ16" s="64">
        <f>AJ14</f>
        <v/>
      </c>
      <c r="AK16" s="64">
        <f>AK14</f>
        <v/>
      </c>
      <c r="AL16" s="64">
        <f>AL14</f>
        <v/>
      </c>
      <c r="AM16" s="64">
        <f>AM14</f>
        <v/>
      </c>
      <c r="AN16" s="64">
        <f>AN14</f>
        <v/>
      </c>
      <c r="AO16" s="64">
        <f>AO14</f>
        <v/>
      </c>
      <c r="AP16" s="64">
        <f>AP14</f>
        <v/>
      </c>
      <c r="AQ16" s="64">
        <f>AQ14</f>
        <v/>
      </c>
      <c r="AR16" s="64">
        <f>AR14</f>
        <v/>
      </c>
      <c r="AS16" s="64">
        <f>AS14</f>
        <v/>
      </c>
      <c r="AT16" s="64">
        <f>AT14</f>
        <v/>
      </c>
      <c r="AU16" s="64">
        <f>AU14</f>
        <v/>
      </c>
      <c r="AV16" s="64">
        <f>AV14</f>
        <v/>
      </c>
      <c r="AW16" s="64">
        <f>AW14</f>
        <v/>
      </c>
      <c r="AX16" s="64">
        <f>AX14</f>
        <v/>
      </c>
      <c r="AY16" s="64">
        <f>AY14</f>
        <v/>
      </c>
      <c r="AZ16" s="64">
        <f>AZ14</f>
        <v/>
      </c>
      <c r="BA16" s="64">
        <f>BA14</f>
        <v/>
      </c>
      <c r="BB16" s="64">
        <f>BB14</f>
        <v/>
      </c>
      <c r="BC16" s="64">
        <f>BC14</f>
        <v/>
      </c>
      <c r="BD16" s="64">
        <f>BD14</f>
        <v/>
      </c>
      <c r="BE16" s="64">
        <f>BE14</f>
        <v/>
      </c>
      <c r="BF16" s="64">
        <f>BF14</f>
        <v/>
      </c>
      <c r="BG16" s="64">
        <f>BG14</f>
        <v/>
      </c>
      <c r="BH16" s="64">
        <f>BH14</f>
        <v/>
      </c>
      <c r="BI16" s="64">
        <f>BI14</f>
        <v/>
      </c>
      <c r="BJ16" s="64">
        <f>BJ14</f>
        <v/>
      </c>
      <c r="BK16" s="64">
        <f>BK14</f>
        <v/>
      </c>
      <c r="BL16" s="64">
        <f>BL14</f>
        <v/>
      </c>
      <c r="BM16" s="64">
        <f>BM14</f>
        <v/>
      </c>
      <c r="BN16" s="64">
        <f>BN14</f>
        <v/>
      </c>
      <c r="BO16" s="64">
        <f>BO14</f>
        <v/>
      </c>
      <c r="BP16" s="64">
        <f>BP14</f>
        <v/>
      </c>
      <c r="BQ16" s="64">
        <f>BQ14</f>
        <v/>
      </c>
      <c r="BR16" s="64">
        <f>BR14</f>
        <v/>
      </c>
      <c r="BS16" s="64">
        <f>BS14</f>
        <v/>
      </c>
      <c r="BT16" s="64">
        <f>BT14</f>
        <v/>
      </c>
      <c r="BU16" s="64">
        <f>BU14</f>
        <v/>
      </c>
      <c r="BV16" s="64">
        <f>BV14</f>
        <v/>
      </c>
      <c r="BW16" s="64">
        <f>BW14</f>
        <v/>
      </c>
      <c r="BX16" s="64">
        <f>BX14</f>
        <v/>
      </c>
      <c r="BY16" s="64">
        <f>BY14</f>
        <v/>
      </c>
      <c r="BZ16" s="64">
        <f>BZ14</f>
        <v/>
      </c>
      <c r="CA16" s="64">
        <f>CA14</f>
        <v/>
      </c>
      <c r="CB16" s="64">
        <f>CB14</f>
        <v/>
      </c>
      <c r="CC16" s="64">
        <f>CC14</f>
        <v/>
      </c>
      <c r="CD16" s="64">
        <f>CD14</f>
        <v/>
      </c>
    </row>
    <row r="17">
      <c r="A17" t="inlineStr">
        <is>
          <t>Add back: Depreciation ($)</t>
        </is>
      </c>
      <c r="C17" s="64">
        <f>C8</f>
        <v/>
      </c>
      <c r="D17" s="64">
        <f>D8</f>
        <v/>
      </c>
      <c r="E17" s="64">
        <f>E8</f>
        <v/>
      </c>
      <c r="F17" s="64">
        <f>F8</f>
        <v/>
      </c>
      <c r="G17" s="64">
        <f>G8</f>
        <v/>
      </c>
      <c r="H17" s="64">
        <f>H8</f>
        <v/>
      </c>
      <c r="I17" s="64">
        <f>I8</f>
        <v/>
      </c>
      <c r="J17" s="64">
        <f>J8</f>
        <v/>
      </c>
      <c r="K17" s="64">
        <f>K8</f>
        <v/>
      </c>
      <c r="L17" s="64">
        <f>L8</f>
        <v/>
      </c>
      <c r="M17" s="64">
        <f>M8</f>
        <v/>
      </c>
      <c r="N17" s="64">
        <f>N8</f>
        <v/>
      </c>
      <c r="O17" s="64">
        <f>O8</f>
        <v/>
      </c>
      <c r="P17" s="64">
        <f>P8</f>
        <v/>
      </c>
      <c r="Q17" s="64">
        <f>Q8</f>
        <v/>
      </c>
      <c r="R17" s="64">
        <f>R8</f>
        <v/>
      </c>
      <c r="S17" s="64">
        <f>S8</f>
        <v/>
      </c>
      <c r="T17" s="64">
        <f>T8</f>
        <v/>
      </c>
      <c r="U17" s="64">
        <f>U8</f>
        <v/>
      </c>
      <c r="V17" s="64">
        <f>V8</f>
        <v/>
      </c>
      <c r="W17" s="64">
        <f>W8</f>
        <v/>
      </c>
      <c r="X17" s="64">
        <f>X8</f>
        <v/>
      </c>
      <c r="Y17" s="64">
        <f>Y8</f>
        <v/>
      </c>
      <c r="Z17" s="64">
        <f>Z8</f>
        <v/>
      </c>
      <c r="AA17" s="64">
        <f>AA8</f>
        <v/>
      </c>
      <c r="AB17" s="64">
        <f>AB8</f>
        <v/>
      </c>
      <c r="AC17" s="64">
        <f>AC8</f>
        <v/>
      </c>
      <c r="AD17" s="64">
        <f>AD8</f>
        <v/>
      </c>
      <c r="AE17" s="64">
        <f>AE8</f>
        <v/>
      </c>
      <c r="AF17" s="64">
        <f>AF8</f>
        <v/>
      </c>
      <c r="AG17" s="64">
        <f>AG8</f>
        <v/>
      </c>
      <c r="AH17" s="64">
        <f>AH8</f>
        <v/>
      </c>
      <c r="AI17" s="64">
        <f>AI8</f>
        <v/>
      </c>
      <c r="AJ17" s="64">
        <f>AJ8</f>
        <v/>
      </c>
      <c r="AK17" s="64">
        <f>AK8</f>
        <v/>
      </c>
      <c r="AL17" s="64">
        <f>AL8</f>
        <v/>
      </c>
      <c r="AM17" s="64">
        <f>AM8</f>
        <v/>
      </c>
      <c r="AN17" s="64">
        <f>AN8</f>
        <v/>
      </c>
      <c r="AO17" s="64">
        <f>AO8</f>
        <v/>
      </c>
      <c r="AP17" s="64">
        <f>AP8</f>
        <v/>
      </c>
      <c r="AQ17" s="64">
        <f>AQ8</f>
        <v/>
      </c>
      <c r="AR17" s="64">
        <f>AR8</f>
        <v/>
      </c>
      <c r="AS17" s="64">
        <f>AS8</f>
        <v/>
      </c>
      <c r="AT17" s="64">
        <f>AT8</f>
        <v/>
      </c>
      <c r="AU17" s="64">
        <f>AU8</f>
        <v/>
      </c>
      <c r="AV17" s="64">
        <f>AV8</f>
        <v/>
      </c>
      <c r="AW17" s="64">
        <f>AW8</f>
        <v/>
      </c>
      <c r="AX17" s="64">
        <f>AX8</f>
        <v/>
      </c>
      <c r="AY17" s="64">
        <f>AY8</f>
        <v/>
      </c>
      <c r="AZ17" s="64">
        <f>AZ8</f>
        <v/>
      </c>
      <c r="BA17" s="64">
        <f>BA8</f>
        <v/>
      </c>
      <c r="BB17" s="64">
        <f>BB8</f>
        <v/>
      </c>
      <c r="BC17" s="64">
        <f>BC8</f>
        <v/>
      </c>
      <c r="BD17" s="64">
        <f>BD8</f>
        <v/>
      </c>
      <c r="BE17" s="64">
        <f>BE8</f>
        <v/>
      </c>
      <c r="BF17" s="64">
        <f>BF8</f>
        <v/>
      </c>
      <c r="BG17" s="64">
        <f>BG8</f>
        <v/>
      </c>
      <c r="BH17" s="64">
        <f>BH8</f>
        <v/>
      </c>
      <c r="BI17" s="64">
        <f>BI8</f>
        <v/>
      </c>
      <c r="BJ17" s="64">
        <f>BJ8</f>
        <v/>
      </c>
      <c r="BK17" s="64">
        <f>BK8</f>
        <v/>
      </c>
      <c r="BL17" s="64">
        <f>BL8</f>
        <v/>
      </c>
      <c r="BM17" s="64">
        <f>BM8</f>
        <v/>
      </c>
      <c r="BN17" s="64">
        <f>BN8</f>
        <v/>
      </c>
      <c r="BO17" s="64">
        <f>BO8</f>
        <v/>
      </c>
      <c r="BP17" s="64">
        <f>BP8</f>
        <v/>
      </c>
      <c r="BQ17" s="64">
        <f>BQ8</f>
        <v/>
      </c>
      <c r="BR17" s="64">
        <f>BR8</f>
        <v/>
      </c>
      <c r="BS17" s="64">
        <f>BS8</f>
        <v/>
      </c>
      <c r="BT17" s="64">
        <f>BT8</f>
        <v/>
      </c>
      <c r="BU17" s="64">
        <f>BU8</f>
        <v/>
      </c>
      <c r="BV17" s="64">
        <f>BV8</f>
        <v/>
      </c>
      <c r="BW17" s="64">
        <f>BW8</f>
        <v/>
      </c>
      <c r="BX17" s="64">
        <f>BX8</f>
        <v/>
      </c>
      <c r="BY17" s="64">
        <f>BY8</f>
        <v/>
      </c>
      <c r="BZ17" s="64">
        <f>BZ8</f>
        <v/>
      </c>
      <c r="CA17" s="64">
        <f>CA8</f>
        <v/>
      </c>
      <c r="CB17" s="64">
        <f>CB8</f>
        <v/>
      </c>
      <c r="CC17" s="64">
        <f>CC8</f>
        <v/>
      </c>
      <c r="CD17" s="64">
        <f>CD8</f>
        <v/>
      </c>
    </row>
    <row r="18">
      <c r="A18" t="inlineStr">
        <is>
          <t>Cash Flow from Operations ($)</t>
        </is>
      </c>
      <c r="C18" s="64">
        <f>C16+C17</f>
        <v/>
      </c>
      <c r="D18" s="64">
        <f>D16+D17</f>
        <v/>
      </c>
      <c r="E18" s="64">
        <f>E16+E17</f>
        <v/>
      </c>
      <c r="F18" s="64">
        <f>F16+F17</f>
        <v/>
      </c>
      <c r="G18" s="64">
        <f>G16+G17</f>
        <v/>
      </c>
      <c r="H18" s="64">
        <f>H16+H17</f>
        <v/>
      </c>
      <c r="I18" s="64">
        <f>I16+I17</f>
        <v/>
      </c>
      <c r="J18" s="64">
        <f>J16+J17</f>
        <v/>
      </c>
      <c r="K18" s="64">
        <f>K16+K17</f>
        <v/>
      </c>
      <c r="L18" s="64">
        <f>L16+L17</f>
        <v/>
      </c>
      <c r="M18" s="64">
        <f>M16+M17</f>
        <v/>
      </c>
      <c r="N18" s="64">
        <f>N16+N17</f>
        <v/>
      </c>
      <c r="O18" s="64">
        <f>O16+O17</f>
        <v/>
      </c>
      <c r="P18" s="64">
        <f>P16+P17</f>
        <v/>
      </c>
      <c r="Q18" s="64">
        <f>Q16+Q17</f>
        <v/>
      </c>
      <c r="R18" s="64">
        <f>R16+R17</f>
        <v/>
      </c>
      <c r="S18" s="64">
        <f>S16+S17</f>
        <v/>
      </c>
      <c r="T18" s="64">
        <f>T16+T17</f>
        <v/>
      </c>
      <c r="U18" s="64">
        <f>U16+U17</f>
        <v/>
      </c>
      <c r="V18" s="64">
        <f>V16+V17</f>
        <v/>
      </c>
      <c r="W18" s="64">
        <f>W16+W17</f>
        <v/>
      </c>
      <c r="X18" s="64">
        <f>X16+X17</f>
        <v/>
      </c>
      <c r="Y18" s="64">
        <f>Y16+Y17</f>
        <v/>
      </c>
      <c r="Z18" s="64">
        <f>Z16+Z17</f>
        <v/>
      </c>
      <c r="AA18" s="64">
        <f>AA16+AA17</f>
        <v/>
      </c>
      <c r="AB18" s="64">
        <f>AB16+AB17</f>
        <v/>
      </c>
      <c r="AC18" s="64">
        <f>AC16+AC17</f>
        <v/>
      </c>
      <c r="AD18" s="64">
        <f>AD16+AD17</f>
        <v/>
      </c>
      <c r="AE18" s="64">
        <f>AE16+AE17</f>
        <v/>
      </c>
      <c r="AF18" s="64">
        <f>AF16+AF17</f>
        <v/>
      </c>
      <c r="AG18" s="64">
        <f>AG16+AG17</f>
        <v/>
      </c>
      <c r="AH18" s="64">
        <f>AH16+AH17</f>
        <v/>
      </c>
      <c r="AI18" s="64">
        <f>AI16+AI17</f>
        <v/>
      </c>
      <c r="AJ18" s="64">
        <f>AJ16+AJ17</f>
        <v/>
      </c>
      <c r="AK18" s="64">
        <f>AK16+AK17</f>
        <v/>
      </c>
      <c r="AL18" s="64">
        <f>AL16+AL17</f>
        <v/>
      </c>
      <c r="AM18" s="64">
        <f>AM16+AM17</f>
        <v/>
      </c>
      <c r="AN18" s="64">
        <f>AN16+AN17</f>
        <v/>
      </c>
      <c r="AO18" s="64">
        <f>AO16+AO17</f>
        <v/>
      </c>
      <c r="AP18" s="64">
        <f>AP16+AP17</f>
        <v/>
      </c>
      <c r="AQ18" s="64">
        <f>AQ16+AQ17</f>
        <v/>
      </c>
      <c r="AR18" s="64">
        <f>AR16+AR17</f>
        <v/>
      </c>
      <c r="AS18" s="64">
        <f>AS16+AS17</f>
        <v/>
      </c>
      <c r="AT18" s="64">
        <f>AT16+AT17</f>
        <v/>
      </c>
      <c r="AU18" s="64">
        <f>AU16+AU17</f>
        <v/>
      </c>
      <c r="AV18" s="64">
        <f>AV16+AV17</f>
        <v/>
      </c>
      <c r="AW18" s="64">
        <f>AW16+AW17</f>
        <v/>
      </c>
      <c r="AX18" s="64">
        <f>AX16+AX17</f>
        <v/>
      </c>
      <c r="AY18" s="64">
        <f>AY16+AY17</f>
        <v/>
      </c>
      <c r="AZ18" s="64">
        <f>AZ16+AZ17</f>
        <v/>
      </c>
      <c r="BA18" s="64">
        <f>BA16+BA17</f>
        <v/>
      </c>
      <c r="BB18" s="64">
        <f>BB16+BB17</f>
        <v/>
      </c>
      <c r="BC18" s="64">
        <f>BC16+BC17</f>
        <v/>
      </c>
      <c r="BD18" s="64">
        <f>BD16+BD17</f>
        <v/>
      </c>
      <c r="BE18" s="64">
        <f>BE16+BE17</f>
        <v/>
      </c>
      <c r="BF18" s="64">
        <f>BF16+BF17</f>
        <v/>
      </c>
      <c r="BG18" s="64">
        <f>BG16+BG17</f>
        <v/>
      </c>
      <c r="BH18" s="64">
        <f>BH16+BH17</f>
        <v/>
      </c>
      <c r="BI18" s="64">
        <f>BI16+BI17</f>
        <v/>
      </c>
      <c r="BJ18" s="64">
        <f>BJ16+BJ17</f>
        <v/>
      </c>
      <c r="BK18" s="64">
        <f>BK16+BK17</f>
        <v/>
      </c>
      <c r="BL18" s="64">
        <f>BL16+BL17</f>
        <v/>
      </c>
      <c r="BM18" s="64">
        <f>BM16+BM17</f>
        <v/>
      </c>
      <c r="BN18" s="64">
        <f>BN16+BN17</f>
        <v/>
      </c>
      <c r="BO18" s="64">
        <f>BO16+BO17</f>
        <v/>
      </c>
      <c r="BP18" s="64">
        <f>BP16+BP17</f>
        <v/>
      </c>
      <c r="BQ18" s="64">
        <f>BQ16+BQ17</f>
        <v/>
      </c>
      <c r="BR18" s="64">
        <f>BR16+BR17</f>
        <v/>
      </c>
      <c r="BS18" s="64">
        <f>BS16+BS17</f>
        <v/>
      </c>
      <c r="BT18" s="64">
        <f>BT16+BT17</f>
        <v/>
      </c>
      <c r="BU18" s="64">
        <f>BU16+BU17</f>
        <v/>
      </c>
      <c r="BV18" s="64">
        <f>BV16+BV17</f>
        <v/>
      </c>
      <c r="BW18" s="64">
        <f>BW16+BW17</f>
        <v/>
      </c>
      <c r="BX18" s="64">
        <f>BX16+BX17</f>
        <v/>
      </c>
      <c r="BY18" s="64">
        <f>BY16+BY17</f>
        <v/>
      </c>
      <c r="BZ18" s="64">
        <f>BZ16+BZ17</f>
        <v/>
      </c>
      <c r="CA18" s="64">
        <f>CA16+CA17</f>
        <v/>
      </c>
      <c r="CB18" s="64">
        <f>CB16+CB17</f>
        <v/>
      </c>
      <c r="CC18" s="64">
        <f>CC16+CC17</f>
        <v/>
      </c>
      <c r="CD18" s="64">
        <f>CD16+CD17</f>
        <v/>
      </c>
    </row>
    <row r="19">
      <c r="A19" t="inlineStr">
        <is>
          <t>Cash Flow from Investing ($) — maintenance capex</t>
        </is>
      </c>
      <c r="C19" s="64">
        <f>-Calc_CFADS!C11</f>
        <v/>
      </c>
      <c r="D19" s="64">
        <f>-Calc_CFADS!D11</f>
        <v/>
      </c>
      <c r="E19" s="64">
        <f>-Calc_CFADS!E11</f>
        <v/>
      </c>
      <c r="F19" s="64">
        <f>-Calc_CFADS!F11</f>
        <v/>
      </c>
      <c r="G19" s="64">
        <f>-Calc_CFADS!G11</f>
        <v/>
      </c>
      <c r="H19" s="64">
        <f>-Calc_CFADS!H11</f>
        <v/>
      </c>
      <c r="I19" s="64">
        <f>-Calc_CFADS!I11</f>
        <v/>
      </c>
      <c r="J19" s="64">
        <f>-Calc_CFADS!J11</f>
        <v/>
      </c>
      <c r="K19" s="64">
        <f>-Calc_CFADS!K11</f>
        <v/>
      </c>
      <c r="L19" s="64">
        <f>-Calc_CFADS!L11</f>
        <v/>
      </c>
      <c r="M19" s="64">
        <f>-Calc_CFADS!M11</f>
        <v/>
      </c>
      <c r="N19" s="64">
        <f>-Calc_CFADS!N11</f>
        <v/>
      </c>
      <c r="O19" s="64">
        <f>-Calc_CFADS!O11</f>
        <v/>
      </c>
      <c r="P19" s="64">
        <f>-Calc_CFADS!P11</f>
        <v/>
      </c>
      <c r="Q19" s="64">
        <f>-Calc_CFADS!Q11</f>
        <v/>
      </c>
      <c r="R19" s="64">
        <f>-Calc_CFADS!R11</f>
        <v/>
      </c>
      <c r="S19" s="64">
        <f>-Calc_CFADS!S11</f>
        <v/>
      </c>
      <c r="T19" s="64">
        <f>-Calc_CFADS!T11</f>
        <v/>
      </c>
      <c r="U19" s="64">
        <f>-Calc_CFADS!U11</f>
        <v/>
      </c>
      <c r="V19" s="64">
        <f>-Calc_CFADS!V11</f>
        <v/>
      </c>
      <c r="W19" s="64">
        <f>-Calc_CFADS!W11</f>
        <v/>
      </c>
      <c r="X19" s="64">
        <f>-Calc_CFADS!X11</f>
        <v/>
      </c>
      <c r="Y19" s="64">
        <f>-Calc_CFADS!Y11</f>
        <v/>
      </c>
      <c r="Z19" s="64">
        <f>-Calc_CFADS!Z11</f>
        <v/>
      </c>
      <c r="AA19" s="64">
        <f>-Calc_CFADS!AA11</f>
        <v/>
      </c>
      <c r="AB19" s="64">
        <f>-Calc_CFADS!AB11</f>
        <v/>
      </c>
      <c r="AC19" s="64">
        <f>-Calc_CFADS!AC11</f>
        <v/>
      </c>
      <c r="AD19" s="64">
        <f>-Calc_CFADS!AD11</f>
        <v/>
      </c>
      <c r="AE19" s="64">
        <f>-Calc_CFADS!AE11</f>
        <v/>
      </c>
      <c r="AF19" s="64">
        <f>-Calc_CFADS!AF11</f>
        <v/>
      </c>
      <c r="AG19" s="64">
        <f>-Calc_CFADS!AG11</f>
        <v/>
      </c>
      <c r="AH19" s="64">
        <f>-Calc_CFADS!AH11</f>
        <v/>
      </c>
      <c r="AI19" s="64">
        <f>-Calc_CFADS!AI11</f>
        <v/>
      </c>
      <c r="AJ19" s="64">
        <f>-Calc_CFADS!AJ11</f>
        <v/>
      </c>
      <c r="AK19" s="64">
        <f>-Calc_CFADS!AK11</f>
        <v/>
      </c>
      <c r="AL19" s="64">
        <f>-Calc_CFADS!AL11</f>
        <v/>
      </c>
      <c r="AM19" s="64">
        <f>-Calc_CFADS!AM11</f>
        <v/>
      </c>
      <c r="AN19" s="64">
        <f>-Calc_CFADS!AN11</f>
        <v/>
      </c>
      <c r="AO19" s="64">
        <f>-Calc_CFADS!AO11</f>
        <v/>
      </c>
      <c r="AP19" s="64">
        <f>-Calc_CFADS!AP11</f>
        <v/>
      </c>
      <c r="AQ19" s="64">
        <f>-Calc_CFADS!AQ11</f>
        <v/>
      </c>
      <c r="AR19" s="64">
        <f>-Calc_CFADS!AR11</f>
        <v/>
      </c>
      <c r="AS19" s="64">
        <f>-Calc_CFADS!AS11</f>
        <v/>
      </c>
      <c r="AT19" s="64">
        <f>-Calc_CFADS!AT11</f>
        <v/>
      </c>
      <c r="AU19" s="64">
        <f>-Calc_CFADS!AU11</f>
        <v/>
      </c>
      <c r="AV19" s="64">
        <f>-Calc_CFADS!AV11</f>
        <v/>
      </c>
      <c r="AW19" s="64">
        <f>-Calc_CFADS!AW11</f>
        <v/>
      </c>
      <c r="AX19" s="64">
        <f>-Calc_CFADS!AX11</f>
        <v/>
      </c>
      <c r="AY19" s="64">
        <f>-Calc_CFADS!AY11</f>
        <v/>
      </c>
      <c r="AZ19" s="64">
        <f>-Calc_CFADS!AZ11</f>
        <v/>
      </c>
      <c r="BA19" s="64">
        <f>-Calc_CFADS!BA11</f>
        <v/>
      </c>
      <c r="BB19" s="64">
        <f>-Calc_CFADS!BB11</f>
        <v/>
      </c>
      <c r="BC19" s="64">
        <f>-Calc_CFADS!BC11</f>
        <v/>
      </c>
      <c r="BD19" s="64">
        <f>-Calc_CFADS!BD11</f>
        <v/>
      </c>
      <c r="BE19" s="64">
        <f>-Calc_CFADS!BE11</f>
        <v/>
      </c>
      <c r="BF19" s="64">
        <f>-Calc_CFADS!BF11</f>
        <v/>
      </c>
      <c r="BG19" s="64">
        <f>-Calc_CFADS!BG11</f>
        <v/>
      </c>
      <c r="BH19" s="64">
        <f>-Calc_CFADS!BH11</f>
        <v/>
      </c>
      <c r="BI19" s="64">
        <f>-Calc_CFADS!BI11</f>
        <v/>
      </c>
      <c r="BJ19" s="64">
        <f>-Calc_CFADS!BJ11</f>
        <v/>
      </c>
      <c r="BK19" s="64">
        <f>-Calc_CFADS!BK11</f>
        <v/>
      </c>
      <c r="BL19" s="64">
        <f>-Calc_CFADS!BL11</f>
        <v/>
      </c>
      <c r="BM19" s="64">
        <f>-Calc_CFADS!BM11</f>
        <v/>
      </c>
      <c r="BN19" s="64">
        <f>-Calc_CFADS!BN11</f>
        <v/>
      </c>
      <c r="BO19" s="64">
        <f>-Calc_CFADS!BO11</f>
        <v/>
      </c>
      <c r="BP19" s="64">
        <f>-Calc_CFADS!BP11</f>
        <v/>
      </c>
      <c r="BQ19" s="64">
        <f>-Calc_CFADS!BQ11</f>
        <v/>
      </c>
      <c r="BR19" s="64">
        <f>-Calc_CFADS!BR11</f>
        <v/>
      </c>
      <c r="BS19" s="64">
        <f>-Calc_CFADS!BS11</f>
        <v/>
      </c>
      <c r="BT19" s="64">
        <f>-Calc_CFADS!BT11</f>
        <v/>
      </c>
      <c r="BU19" s="64">
        <f>-Calc_CFADS!BU11</f>
        <v/>
      </c>
      <c r="BV19" s="64">
        <f>-Calc_CFADS!BV11</f>
        <v/>
      </c>
      <c r="BW19" s="64">
        <f>-Calc_CFADS!BW11</f>
        <v/>
      </c>
      <c r="BX19" s="64">
        <f>-Calc_CFADS!BX11</f>
        <v/>
      </c>
      <c r="BY19" s="64">
        <f>-Calc_CFADS!BY11</f>
        <v/>
      </c>
      <c r="BZ19" s="64">
        <f>-Calc_CFADS!BZ11</f>
        <v/>
      </c>
      <c r="CA19" s="64">
        <f>-Calc_CFADS!CA11</f>
        <v/>
      </c>
      <c r="CB19" s="64">
        <f>-Calc_CFADS!CB11</f>
        <v/>
      </c>
      <c r="CC19" s="64">
        <f>-Calc_CFADS!CC11</f>
        <v/>
      </c>
      <c r="CD19" s="64">
        <f>-Calc_CFADS!CD11</f>
        <v/>
      </c>
    </row>
    <row r="20">
      <c r="A20" t="inlineStr">
        <is>
          <t>Debt Principal Repayment ($)</t>
        </is>
      </c>
      <c r="C20" s="55">
        <f>Calc_Financing_Ops!C22</f>
        <v/>
      </c>
      <c r="D20" s="55">
        <f>Calc_Financing_Ops!D22</f>
        <v/>
      </c>
      <c r="E20" s="55">
        <f>Calc_Financing_Ops!E22</f>
        <v/>
      </c>
      <c r="F20" s="55">
        <f>Calc_Financing_Ops!F22</f>
        <v/>
      </c>
      <c r="G20" s="55">
        <f>Calc_Financing_Ops!G22</f>
        <v/>
      </c>
      <c r="H20" s="55">
        <f>Calc_Financing_Ops!H22</f>
        <v/>
      </c>
      <c r="I20" s="55">
        <f>Calc_Financing_Ops!I22</f>
        <v/>
      </c>
      <c r="J20" s="55">
        <f>Calc_Financing_Ops!J22</f>
        <v/>
      </c>
      <c r="K20" s="55">
        <f>Calc_Financing_Ops!K22</f>
        <v/>
      </c>
      <c r="L20" s="55">
        <f>Calc_Financing_Ops!L22</f>
        <v/>
      </c>
      <c r="M20" s="55">
        <f>Calc_Financing_Ops!M22</f>
        <v/>
      </c>
      <c r="N20" s="55">
        <f>Calc_Financing_Ops!N22</f>
        <v/>
      </c>
      <c r="O20" s="55">
        <f>Calc_Financing_Ops!O22</f>
        <v/>
      </c>
      <c r="P20" s="55">
        <f>Calc_Financing_Ops!P22</f>
        <v/>
      </c>
      <c r="Q20" s="55">
        <f>Calc_Financing_Ops!Q22</f>
        <v/>
      </c>
      <c r="R20" s="55">
        <f>Calc_Financing_Ops!R22</f>
        <v/>
      </c>
      <c r="S20" s="55">
        <f>Calc_Financing_Ops!S22</f>
        <v/>
      </c>
      <c r="T20" s="55">
        <f>Calc_Financing_Ops!T22</f>
        <v/>
      </c>
      <c r="U20" s="55">
        <f>Calc_Financing_Ops!U22</f>
        <v/>
      </c>
      <c r="V20" s="55">
        <f>Calc_Financing_Ops!V22</f>
        <v/>
      </c>
      <c r="W20" s="55">
        <f>Calc_Financing_Ops!W22</f>
        <v/>
      </c>
      <c r="X20" s="55">
        <f>Calc_Financing_Ops!X22</f>
        <v/>
      </c>
      <c r="Y20" s="55">
        <f>Calc_Financing_Ops!Y22</f>
        <v/>
      </c>
      <c r="Z20" s="55">
        <f>Calc_Financing_Ops!Z22</f>
        <v/>
      </c>
      <c r="AA20" s="55">
        <f>Calc_Financing_Ops!AA22</f>
        <v/>
      </c>
      <c r="AB20" s="55">
        <f>Calc_Financing_Ops!AB22</f>
        <v/>
      </c>
      <c r="AC20" s="55">
        <f>Calc_Financing_Ops!AC22</f>
        <v/>
      </c>
      <c r="AD20" s="55">
        <f>Calc_Financing_Ops!AD22</f>
        <v/>
      </c>
      <c r="AE20" s="55">
        <f>Calc_Financing_Ops!AE22</f>
        <v/>
      </c>
      <c r="AF20" s="55">
        <f>Calc_Financing_Ops!AF22</f>
        <v/>
      </c>
      <c r="AG20" s="55">
        <f>Calc_Financing_Ops!AG22</f>
        <v/>
      </c>
      <c r="AH20" s="55">
        <f>Calc_Financing_Ops!AH22</f>
        <v/>
      </c>
      <c r="AI20" s="55">
        <f>Calc_Financing_Ops!AI22</f>
        <v/>
      </c>
      <c r="AJ20" s="55">
        <f>Calc_Financing_Ops!AJ22</f>
        <v/>
      </c>
      <c r="AK20" s="55">
        <f>Calc_Financing_Ops!AK22</f>
        <v/>
      </c>
      <c r="AL20" s="55">
        <f>Calc_Financing_Ops!AL22</f>
        <v/>
      </c>
      <c r="AM20" s="55">
        <f>Calc_Financing_Ops!AM22</f>
        <v/>
      </c>
      <c r="AN20" s="55">
        <f>Calc_Financing_Ops!AN22</f>
        <v/>
      </c>
      <c r="AO20" s="55">
        <f>Calc_Financing_Ops!AO22</f>
        <v/>
      </c>
      <c r="AP20" s="55">
        <f>Calc_Financing_Ops!AP22</f>
        <v/>
      </c>
      <c r="AQ20" s="55">
        <f>Calc_Financing_Ops!AQ22</f>
        <v/>
      </c>
      <c r="AR20" s="55">
        <f>Calc_Financing_Ops!AR22</f>
        <v/>
      </c>
      <c r="AS20" s="55">
        <f>Calc_Financing_Ops!AS22</f>
        <v/>
      </c>
      <c r="AT20" s="55">
        <f>Calc_Financing_Ops!AT22</f>
        <v/>
      </c>
      <c r="AU20" s="55">
        <f>Calc_Financing_Ops!AU22</f>
        <v/>
      </c>
      <c r="AV20" s="55">
        <f>Calc_Financing_Ops!AV22</f>
        <v/>
      </c>
      <c r="AW20" s="55">
        <f>Calc_Financing_Ops!AW22</f>
        <v/>
      </c>
      <c r="AX20" s="55">
        <f>Calc_Financing_Ops!AX22</f>
        <v/>
      </c>
      <c r="AY20" s="55">
        <f>Calc_Financing_Ops!AY22</f>
        <v/>
      </c>
      <c r="AZ20" s="55">
        <f>Calc_Financing_Ops!AZ22</f>
        <v/>
      </c>
      <c r="BA20" s="55">
        <f>Calc_Financing_Ops!BA22</f>
        <v/>
      </c>
      <c r="BB20" s="55">
        <f>Calc_Financing_Ops!BB22</f>
        <v/>
      </c>
      <c r="BC20" s="55">
        <f>Calc_Financing_Ops!BC22</f>
        <v/>
      </c>
      <c r="BD20" s="55">
        <f>Calc_Financing_Ops!BD22</f>
        <v/>
      </c>
      <c r="BE20" s="55">
        <f>Calc_Financing_Ops!BE22</f>
        <v/>
      </c>
      <c r="BF20" s="55">
        <f>Calc_Financing_Ops!BF22</f>
        <v/>
      </c>
      <c r="BG20" s="55">
        <f>Calc_Financing_Ops!BG22</f>
        <v/>
      </c>
      <c r="BH20" s="55">
        <f>Calc_Financing_Ops!BH22</f>
        <v/>
      </c>
      <c r="BI20" s="55">
        <f>Calc_Financing_Ops!BI22</f>
        <v/>
      </c>
      <c r="BJ20" s="55">
        <f>Calc_Financing_Ops!BJ22</f>
        <v/>
      </c>
      <c r="BK20" s="55">
        <f>Calc_Financing_Ops!BK22</f>
        <v/>
      </c>
      <c r="BL20" s="55">
        <f>Calc_Financing_Ops!BL22</f>
        <v/>
      </c>
      <c r="BM20" s="55">
        <f>Calc_Financing_Ops!BM22</f>
        <v/>
      </c>
      <c r="BN20" s="55">
        <f>Calc_Financing_Ops!BN22</f>
        <v/>
      </c>
      <c r="BO20" s="55">
        <f>Calc_Financing_Ops!BO22</f>
        <v/>
      </c>
      <c r="BP20" s="55">
        <f>Calc_Financing_Ops!BP22</f>
        <v/>
      </c>
      <c r="BQ20" s="55">
        <f>Calc_Financing_Ops!BQ22</f>
        <v/>
      </c>
      <c r="BR20" s="55">
        <f>Calc_Financing_Ops!BR22</f>
        <v/>
      </c>
      <c r="BS20" s="55">
        <f>Calc_Financing_Ops!BS22</f>
        <v/>
      </c>
      <c r="BT20" s="55">
        <f>Calc_Financing_Ops!BT22</f>
        <v/>
      </c>
      <c r="BU20" s="55">
        <f>Calc_Financing_Ops!BU22</f>
        <v/>
      </c>
      <c r="BV20" s="55">
        <f>Calc_Financing_Ops!BV22</f>
        <v/>
      </c>
      <c r="BW20" s="55">
        <f>Calc_Financing_Ops!BW22</f>
        <v/>
      </c>
      <c r="BX20" s="55">
        <f>Calc_Financing_Ops!BX22</f>
        <v/>
      </c>
      <c r="BY20" s="55">
        <f>Calc_Financing_Ops!BY22</f>
        <v/>
      </c>
      <c r="BZ20" s="55">
        <f>Calc_Financing_Ops!BZ22</f>
        <v/>
      </c>
      <c r="CA20" s="55">
        <f>Calc_Financing_Ops!CA22</f>
        <v/>
      </c>
      <c r="CB20" s="55">
        <f>Calc_Financing_Ops!CB22</f>
        <v/>
      </c>
      <c r="CC20" s="55">
        <f>Calc_Financing_Ops!CC22</f>
        <v/>
      </c>
      <c r="CD20" s="55">
        <f>Calc_Financing_Ops!CD22</f>
        <v/>
      </c>
    </row>
    <row r="21">
      <c r="A21" t="inlineStr">
        <is>
          <t>DSRA Funding/(Release) ($) — the LC fee sits in the P&amp;L above</t>
        </is>
      </c>
      <c r="C21" s="55">
        <f>Calc_Financing_Ops!C28</f>
        <v/>
      </c>
      <c r="D21" s="55">
        <f>Calc_Financing_Ops!D28</f>
        <v/>
      </c>
      <c r="E21" s="55">
        <f>Calc_Financing_Ops!E28</f>
        <v/>
      </c>
      <c r="F21" s="55">
        <f>Calc_Financing_Ops!F28</f>
        <v/>
      </c>
      <c r="G21" s="55">
        <f>Calc_Financing_Ops!G28</f>
        <v/>
      </c>
      <c r="H21" s="55">
        <f>Calc_Financing_Ops!H28</f>
        <v/>
      </c>
      <c r="I21" s="55">
        <f>Calc_Financing_Ops!I28</f>
        <v/>
      </c>
      <c r="J21" s="55">
        <f>Calc_Financing_Ops!J28</f>
        <v/>
      </c>
      <c r="K21" s="55">
        <f>Calc_Financing_Ops!K28</f>
        <v/>
      </c>
      <c r="L21" s="55">
        <f>Calc_Financing_Ops!L28</f>
        <v/>
      </c>
      <c r="M21" s="55">
        <f>Calc_Financing_Ops!M28</f>
        <v/>
      </c>
      <c r="N21" s="55">
        <f>Calc_Financing_Ops!N28</f>
        <v/>
      </c>
      <c r="O21" s="55">
        <f>Calc_Financing_Ops!O28</f>
        <v/>
      </c>
      <c r="P21" s="55">
        <f>Calc_Financing_Ops!P28</f>
        <v/>
      </c>
      <c r="Q21" s="55">
        <f>Calc_Financing_Ops!Q28</f>
        <v/>
      </c>
      <c r="R21" s="55">
        <f>Calc_Financing_Ops!R28</f>
        <v/>
      </c>
      <c r="S21" s="55">
        <f>Calc_Financing_Ops!S28</f>
        <v/>
      </c>
      <c r="T21" s="55">
        <f>Calc_Financing_Ops!T28</f>
        <v/>
      </c>
      <c r="U21" s="55">
        <f>Calc_Financing_Ops!U28</f>
        <v/>
      </c>
      <c r="V21" s="55">
        <f>Calc_Financing_Ops!V28</f>
        <v/>
      </c>
      <c r="W21" s="55">
        <f>Calc_Financing_Ops!W28</f>
        <v/>
      </c>
      <c r="X21" s="55">
        <f>Calc_Financing_Ops!X28</f>
        <v/>
      </c>
      <c r="Y21" s="55">
        <f>Calc_Financing_Ops!Y28</f>
        <v/>
      </c>
      <c r="Z21" s="55">
        <f>Calc_Financing_Ops!Z28</f>
        <v/>
      </c>
      <c r="AA21" s="55">
        <f>Calc_Financing_Ops!AA28</f>
        <v/>
      </c>
      <c r="AB21" s="55">
        <f>Calc_Financing_Ops!AB28</f>
        <v/>
      </c>
      <c r="AC21" s="55">
        <f>Calc_Financing_Ops!AC28</f>
        <v/>
      </c>
      <c r="AD21" s="55">
        <f>Calc_Financing_Ops!AD28</f>
        <v/>
      </c>
      <c r="AE21" s="55">
        <f>Calc_Financing_Ops!AE28</f>
        <v/>
      </c>
      <c r="AF21" s="55">
        <f>Calc_Financing_Ops!AF28</f>
        <v/>
      </c>
      <c r="AG21" s="55">
        <f>Calc_Financing_Ops!AG28</f>
        <v/>
      </c>
      <c r="AH21" s="55">
        <f>Calc_Financing_Ops!AH28</f>
        <v/>
      </c>
      <c r="AI21" s="55">
        <f>Calc_Financing_Ops!AI28</f>
        <v/>
      </c>
      <c r="AJ21" s="55">
        <f>Calc_Financing_Ops!AJ28</f>
        <v/>
      </c>
      <c r="AK21" s="55">
        <f>Calc_Financing_Ops!AK28</f>
        <v/>
      </c>
      <c r="AL21" s="55">
        <f>Calc_Financing_Ops!AL28</f>
        <v/>
      </c>
      <c r="AM21" s="55">
        <f>Calc_Financing_Ops!AM28</f>
        <v/>
      </c>
      <c r="AN21" s="55">
        <f>Calc_Financing_Ops!AN28</f>
        <v/>
      </c>
      <c r="AO21" s="55">
        <f>Calc_Financing_Ops!AO28</f>
        <v/>
      </c>
      <c r="AP21" s="55">
        <f>Calc_Financing_Ops!AP28</f>
        <v/>
      </c>
      <c r="AQ21" s="55">
        <f>Calc_Financing_Ops!AQ28</f>
        <v/>
      </c>
      <c r="AR21" s="55">
        <f>Calc_Financing_Ops!AR28</f>
        <v/>
      </c>
      <c r="AS21" s="55">
        <f>Calc_Financing_Ops!AS28</f>
        <v/>
      </c>
      <c r="AT21" s="55">
        <f>Calc_Financing_Ops!AT28</f>
        <v/>
      </c>
      <c r="AU21" s="55">
        <f>Calc_Financing_Ops!AU28</f>
        <v/>
      </c>
      <c r="AV21" s="55">
        <f>Calc_Financing_Ops!AV28</f>
        <v/>
      </c>
      <c r="AW21" s="55">
        <f>Calc_Financing_Ops!AW28</f>
        <v/>
      </c>
      <c r="AX21" s="55">
        <f>Calc_Financing_Ops!AX28</f>
        <v/>
      </c>
      <c r="AY21" s="55">
        <f>Calc_Financing_Ops!AY28</f>
        <v/>
      </c>
      <c r="AZ21" s="55">
        <f>Calc_Financing_Ops!AZ28</f>
        <v/>
      </c>
      <c r="BA21" s="55">
        <f>Calc_Financing_Ops!BA28</f>
        <v/>
      </c>
      <c r="BB21" s="55">
        <f>Calc_Financing_Ops!BB28</f>
        <v/>
      </c>
      <c r="BC21" s="55">
        <f>Calc_Financing_Ops!BC28</f>
        <v/>
      </c>
      <c r="BD21" s="55">
        <f>Calc_Financing_Ops!BD28</f>
        <v/>
      </c>
      <c r="BE21" s="55">
        <f>Calc_Financing_Ops!BE28</f>
        <v/>
      </c>
      <c r="BF21" s="55">
        <f>Calc_Financing_Ops!BF28</f>
        <v/>
      </c>
      <c r="BG21" s="55">
        <f>Calc_Financing_Ops!BG28</f>
        <v/>
      </c>
      <c r="BH21" s="55">
        <f>Calc_Financing_Ops!BH28</f>
        <v/>
      </c>
      <c r="BI21" s="55">
        <f>Calc_Financing_Ops!BI28</f>
        <v/>
      </c>
      <c r="BJ21" s="55">
        <f>Calc_Financing_Ops!BJ28</f>
        <v/>
      </c>
      <c r="BK21" s="55">
        <f>Calc_Financing_Ops!BK28</f>
        <v/>
      </c>
      <c r="BL21" s="55">
        <f>Calc_Financing_Ops!BL28</f>
        <v/>
      </c>
      <c r="BM21" s="55">
        <f>Calc_Financing_Ops!BM28</f>
        <v/>
      </c>
      <c r="BN21" s="55">
        <f>Calc_Financing_Ops!BN28</f>
        <v/>
      </c>
      <c r="BO21" s="55">
        <f>Calc_Financing_Ops!BO28</f>
        <v/>
      </c>
      <c r="BP21" s="55">
        <f>Calc_Financing_Ops!BP28</f>
        <v/>
      </c>
      <c r="BQ21" s="55">
        <f>Calc_Financing_Ops!BQ28</f>
        <v/>
      </c>
      <c r="BR21" s="55">
        <f>Calc_Financing_Ops!BR28</f>
        <v/>
      </c>
      <c r="BS21" s="55">
        <f>Calc_Financing_Ops!BS28</f>
        <v/>
      </c>
      <c r="BT21" s="55">
        <f>Calc_Financing_Ops!BT28</f>
        <v/>
      </c>
      <c r="BU21" s="55">
        <f>Calc_Financing_Ops!BU28</f>
        <v/>
      </c>
      <c r="BV21" s="55">
        <f>Calc_Financing_Ops!BV28</f>
        <v/>
      </c>
      <c r="BW21" s="55">
        <f>Calc_Financing_Ops!BW28</f>
        <v/>
      </c>
      <c r="BX21" s="55">
        <f>Calc_Financing_Ops!BX28</f>
        <v/>
      </c>
      <c r="BY21" s="55">
        <f>Calc_Financing_Ops!BY28</f>
        <v/>
      </c>
      <c r="BZ21" s="55">
        <f>Calc_Financing_Ops!BZ28</f>
        <v/>
      </c>
      <c r="CA21" s="55">
        <f>Calc_Financing_Ops!CA28</f>
        <v/>
      </c>
      <c r="CB21" s="55">
        <f>Calc_Financing_Ops!CB28</f>
        <v/>
      </c>
      <c r="CC21" s="55">
        <f>Calc_Financing_Ops!CC28</f>
        <v/>
      </c>
      <c r="CD21" s="55">
        <f>Calc_Financing_Ops!CD28</f>
        <v/>
      </c>
    </row>
    <row r="22">
      <c r="A22" t="inlineStr">
        <is>
          <t>MRA Funding/(Release) ($)</t>
        </is>
      </c>
      <c r="C22" s="55">
        <f>Calc_CFADS!C14</f>
        <v/>
      </c>
      <c r="D22" s="55">
        <f>Calc_CFADS!D14</f>
        <v/>
      </c>
      <c r="E22" s="55">
        <f>Calc_CFADS!E14</f>
        <v/>
      </c>
      <c r="F22" s="55">
        <f>Calc_CFADS!F14</f>
        <v/>
      </c>
      <c r="G22" s="55">
        <f>Calc_CFADS!G14</f>
        <v/>
      </c>
      <c r="H22" s="55">
        <f>Calc_CFADS!H14</f>
        <v/>
      </c>
      <c r="I22" s="55">
        <f>Calc_CFADS!I14</f>
        <v/>
      </c>
      <c r="J22" s="55">
        <f>Calc_CFADS!J14</f>
        <v/>
      </c>
      <c r="K22" s="55">
        <f>Calc_CFADS!K14</f>
        <v/>
      </c>
      <c r="L22" s="55">
        <f>Calc_CFADS!L14</f>
        <v/>
      </c>
      <c r="M22" s="55">
        <f>Calc_CFADS!M14</f>
        <v/>
      </c>
      <c r="N22" s="55">
        <f>Calc_CFADS!N14</f>
        <v/>
      </c>
      <c r="O22" s="55">
        <f>Calc_CFADS!O14</f>
        <v/>
      </c>
      <c r="P22" s="55">
        <f>Calc_CFADS!P14</f>
        <v/>
      </c>
      <c r="Q22" s="55">
        <f>Calc_CFADS!Q14</f>
        <v/>
      </c>
      <c r="R22" s="55">
        <f>Calc_CFADS!R14</f>
        <v/>
      </c>
      <c r="S22" s="55">
        <f>Calc_CFADS!S14</f>
        <v/>
      </c>
      <c r="T22" s="55">
        <f>Calc_CFADS!T14</f>
        <v/>
      </c>
      <c r="U22" s="55">
        <f>Calc_CFADS!U14</f>
        <v/>
      </c>
      <c r="V22" s="55">
        <f>Calc_CFADS!V14</f>
        <v/>
      </c>
      <c r="W22" s="55">
        <f>Calc_CFADS!W14</f>
        <v/>
      </c>
      <c r="X22" s="55">
        <f>Calc_CFADS!X14</f>
        <v/>
      </c>
      <c r="Y22" s="55">
        <f>Calc_CFADS!Y14</f>
        <v/>
      </c>
      <c r="Z22" s="55">
        <f>Calc_CFADS!Z14</f>
        <v/>
      </c>
      <c r="AA22" s="55">
        <f>Calc_CFADS!AA14</f>
        <v/>
      </c>
      <c r="AB22" s="55">
        <f>Calc_CFADS!AB14</f>
        <v/>
      </c>
      <c r="AC22" s="55">
        <f>Calc_CFADS!AC14</f>
        <v/>
      </c>
      <c r="AD22" s="55">
        <f>Calc_CFADS!AD14</f>
        <v/>
      </c>
      <c r="AE22" s="55">
        <f>Calc_CFADS!AE14</f>
        <v/>
      </c>
      <c r="AF22" s="55">
        <f>Calc_CFADS!AF14</f>
        <v/>
      </c>
      <c r="AG22" s="55">
        <f>Calc_CFADS!AG14</f>
        <v/>
      </c>
      <c r="AH22" s="55">
        <f>Calc_CFADS!AH14</f>
        <v/>
      </c>
      <c r="AI22" s="55">
        <f>Calc_CFADS!AI14</f>
        <v/>
      </c>
      <c r="AJ22" s="55">
        <f>Calc_CFADS!AJ14</f>
        <v/>
      </c>
      <c r="AK22" s="55">
        <f>Calc_CFADS!AK14</f>
        <v/>
      </c>
      <c r="AL22" s="55">
        <f>Calc_CFADS!AL14</f>
        <v/>
      </c>
      <c r="AM22" s="55">
        <f>Calc_CFADS!AM14</f>
        <v/>
      </c>
      <c r="AN22" s="55">
        <f>Calc_CFADS!AN14</f>
        <v/>
      </c>
      <c r="AO22" s="55">
        <f>Calc_CFADS!AO14</f>
        <v/>
      </c>
      <c r="AP22" s="55">
        <f>Calc_CFADS!AP14</f>
        <v/>
      </c>
      <c r="AQ22" s="55">
        <f>Calc_CFADS!AQ14</f>
        <v/>
      </c>
      <c r="AR22" s="55">
        <f>Calc_CFADS!AR14</f>
        <v/>
      </c>
      <c r="AS22" s="55">
        <f>Calc_CFADS!AS14</f>
        <v/>
      </c>
      <c r="AT22" s="55">
        <f>Calc_CFADS!AT14</f>
        <v/>
      </c>
      <c r="AU22" s="55">
        <f>Calc_CFADS!AU14</f>
        <v/>
      </c>
      <c r="AV22" s="55">
        <f>Calc_CFADS!AV14</f>
        <v/>
      </c>
      <c r="AW22" s="55">
        <f>Calc_CFADS!AW14</f>
        <v/>
      </c>
      <c r="AX22" s="55">
        <f>Calc_CFADS!AX14</f>
        <v/>
      </c>
      <c r="AY22" s="55">
        <f>Calc_CFADS!AY14</f>
        <v/>
      </c>
      <c r="AZ22" s="55">
        <f>Calc_CFADS!AZ14</f>
        <v/>
      </c>
      <c r="BA22" s="55">
        <f>Calc_CFADS!BA14</f>
        <v/>
      </c>
      <c r="BB22" s="55">
        <f>Calc_CFADS!BB14</f>
        <v/>
      </c>
      <c r="BC22" s="55">
        <f>Calc_CFADS!BC14</f>
        <v/>
      </c>
      <c r="BD22" s="55">
        <f>Calc_CFADS!BD14</f>
        <v/>
      </c>
      <c r="BE22" s="55">
        <f>Calc_CFADS!BE14</f>
        <v/>
      </c>
      <c r="BF22" s="55">
        <f>Calc_CFADS!BF14</f>
        <v/>
      </c>
      <c r="BG22" s="55">
        <f>Calc_CFADS!BG14</f>
        <v/>
      </c>
      <c r="BH22" s="55">
        <f>Calc_CFADS!BH14</f>
        <v/>
      </c>
      <c r="BI22" s="55">
        <f>Calc_CFADS!BI14</f>
        <v/>
      </c>
      <c r="BJ22" s="55">
        <f>Calc_CFADS!BJ14</f>
        <v/>
      </c>
      <c r="BK22" s="55">
        <f>Calc_CFADS!BK14</f>
        <v/>
      </c>
      <c r="BL22" s="55">
        <f>Calc_CFADS!BL14</f>
        <v/>
      </c>
      <c r="BM22" s="55">
        <f>Calc_CFADS!BM14</f>
        <v/>
      </c>
      <c r="BN22" s="55">
        <f>Calc_CFADS!BN14</f>
        <v/>
      </c>
      <c r="BO22" s="55">
        <f>Calc_CFADS!BO14</f>
        <v/>
      </c>
      <c r="BP22" s="55">
        <f>Calc_CFADS!BP14</f>
        <v/>
      </c>
      <c r="BQ22" s="55">
        <f>Calc_CFADS!BQ14</f>
        <v/>
      </c>
      <c r="BR22" s="55">
        <f>Calc_CFADS!BR14</f>
        <v/>
      </c>
      <c r="BS22" s="55">
        <f>Calc_CFADS!BS14</f>
        <v/>
      </c>
      <c r="BT22" s="55">
        <f>Calc_CFADS!BT14</f>
        <v/>
      </c>
      <c r="BU22" s="55">
        <f>Calc_CFADS!BU14</f>
        <v/>
      </c>
      <c r="BV22" s="55">
        <f>Calc_CFADS!BV14</f>
        <v/>
      </c>
      <c r="BW22" s="55">
        <f>Calc_CFADS!BW14</f>
        <v/>
      </c>
      <c r="BX22" s="55">
        <f>Calc_CFADS!BX14</f>
        <v/>
      </c>
      <c r="BY22" s="55">
        <f>Calc_CFADS!BY14</f>
        <v/>
      </c>
      <c r="BZ22" s="55">
        <f>Calc_CFADS!BZ14</f>
        <v/>
      </c>
      <c r="CA22" s="55">
        <f>Calc_CFADS!CA14</f>
        <v/>
      </c>
      <c r="CB22" s="55">
        <f>Calc_CFADS!CB14</f>
        <v/>
      </c>
      <c r="CC22" s="55">
        <f>Calc_CFADS!CC14</f>
        <v/>
      </c>
      <c r="CD22" s="55">
        <f>Calc_CFADS!CD14</f>
        <v/>
      </c>
    </row>
    <row r="23">
      <c r="A23" t="inlineStr">
        <is>
          <t>Dividends Paid ($) — 100% FCFE payout</t>
        </is>
      </c>
      <c r="C23" s="55">
        <f>Calc_CFADS!C16</f>
        <v/>
      </c>
      <c r="D23" s="55">
        <f>Calc_CFADS!D16</f>
        <v/>
      </c>
      <c r="E23" s="55">
        <f>Calc_CFADS!E16</f>
        <v/>
      </c>
      <c r="F23" s="55">
        <f>Calc_CFADS!F16</f>
        <v/>
      </c>
      <c r="G23" s="55">
        <f>Calc_CFADS!G16</f>
        <v/>
      </c>
      <c r="H23" s="55">
        <f>Calc_CFADS!H16</f>
        <v/>
      </c>
      <c r="I23" s="55">
        <f>Calc_CFADS!I16</f>
        <v/>
      </c>
      <c r="J23" s="55">
        <f>Calc_CFADS!J16</f>
        <v/>
      </c>
      <c r="K23" s="55">
        <f>Calc_CFADS!K16</f>
        <v/>
      </c>
      <c r="L23" s="55">
        <f>Calc_CFADS!L16</f>
        <v/>
      </c>
      <c r="M23" s="55">
        <f>Calc_CFADS!M16</f>
        <v/>
      </c>
      <c r="N23" s="55">
        <f>Calc_CFADS!N16</f>
        <v/>
      </c>
      <c r="O23" s="55">
        <f>Calc_CFADS!O16</f>
        <v/>
      </c>
      <c r="P23" s="55">
        <f>Calc_CFADS!P16</f>
        <v/>
      </c>
      <c r="Q23" s="55">
        <f>Calc_CFADS!Q16</f>
        <v/>
      </c>
      <c r="R23" s="55">
        <f>Calc_CFADS!R16</f>
        <v/>
      </c>
      <c r="S23" s="55">
        <f>Calc_CFADS!S16</f>
        <v/>
      </c>
      <c r="T23" s="55">
        <f>Calc_CFADS!T16</f>
        <v/>
      </c>
      <c r="U23" s="55">
        <f>Calc_CFADS!U16</f>
        <v/>
      </c>
      <c r="V23" s="55">
        <f>Calc_CFADS!V16</f>
        <v/>
      </c>
      <c r="W23" s="55">
        <f>Calc_CFADS!W16</f>
        <v/>
      </c>
      <c r="X23" s="55">
        <f>Calc_CFADS!X16</f>
        <v/>
      </c>
      <c r="Y23" s="55">
        <f>Calc_CFADS!Y16</f>
        <v/>
      </c>
      <c r="Z23" s="55">
        <f>Calc_CFADS!Z16</f>
        <v/>
      </c>
      <c r="AA23" s="55">
        <f>Calc_CFADS!AA16</f>
        <v/>
      </c>
      <c r="AB23" s="55">
        <f>Calc_CFADS!AB16</f>
        <v/>
      </c>
      <c r="AC23" s="55">
        <f>Calc_CFADS!AC16</f>
        <v/>
      </c>
      <c r="AD23" s="55">
        <f>Calc_CFADS!AD16</f>
        <v/>
      </c>
      <c r="AE23" s="55">
        <f>Calc_CFADS!AE16</f>
        <v/>
      </c>
      <c r="AF23" s="55">
        <f>Calc_CFADS!AF16</f>
        <v/>
      </c>
      <c r="AG23" s="55">
        <f>Calc_CFADS!AG16</f>
        <v/>
      </c>
      <c r="AH23" s="55">
        <f>Calc_CFADS!AH16</f>
        <v/>
      </c>
      <c r="AI23" s="55">
        <f>Calc_CFADS!AI16</f>
        <v/>
      </c>
      <c r="AJ23" s="55">
        <f>Calc_CFADS!AJ16</f>
        <v/>
      </c>
      <c r="AK23" s="55">
        <f>Calc_CFADS!AK16</f>
        <v/>
      </c>
      <c r="AL23" s="55">
        <f>Calc_CFADS!AL16</f>
        <v/>
      </c>
      <c r="AM23" s="55">
        <f>Calc_CFADS!AM16</f>
        <v/>
      </c>
      <c r="AN23" s="55">
        <f>Calc_CFADS!AN16</f>
        <v/>
      </c>
      <c r="AO23" s="55">
        <f>Calc_CFADS!AO16</f>
        <v/>
      </c>
      <c r="AP23" s="55">
        <f>Calc_CFADS!AP16</f>
        <v/>
      </c>
      <c r="AQ23" s="55">
        <f>Calc_CFADS!AQ16</f>
        <v/>
      </c>
      <c r="AR23" s="55">
        <f>Calc_CFADS!AR16</f>
        <v/>
      </c>
      <c r="AS23" s="55">
        <f>Calc_CFADS!AS16</f>
        <v/>
      </c>
      <c r="AT23" s="55">
        <f>Calc_CFADS!AT16</f>
        <v/>
      </c>
      <c r="AU23" s="55">
        <f>Calc_CFADS!AU16</f>
        <v/>
      </c>
      <c r="AV23" s="55">
        <f>Calc_CFADS!AV16</f>
        <v/>
      </c>
      <c r="AW23" s="55">
        <f>Calc_CFADS!AW16</f>
        <v/>
      </c>
      <c r="AX23" s="55">
        <f>Calc_CFADS!AX16</f>
        <v/>
      </c>
      <c r="AY23" s="55">
        <f>Calc_CFADS!AY16</f>
        <v/>
      </c>
      <c r="AZ23" s="55">
        <f>Calc_CFADS!AZ16</f>
        <v/>
      </c>
      <c r="BA23" s="55">
        <f>Calc_CFADS!BA16</f>
        <v/>
      </c>
      <c r="BB23" s="55">
        <f>Calc_CFADS!BB16</f>
        <v/>
      </c>
      <c r="BC23" s="55">
        <f>Calc_CFADS!BC16</f>
        <v/>
      </c>
      <c r="BD23" s="55">
        <f>Calc_CFADS!BD16</f>
        <v/>
      </c>
      <c r="BE23" s="55">
        <f>Calc_CFADS!BE16</f>
        <v/>
      </c>
      <c r="BF23" s="55">
        <f>Calc_CFADS!BF16</f>
        <v/>
      </c>
      <c r="BG23" s="55">
        <f>Calc_CFADS!BG16</f>
        <v/>
      </c>
      <c r="BH23" s="55">
        <f>Calc_CFADS!BH16</f>
        <v/>
      </c>
      <c r="BI23" s="55">
        <f>Calc_CFADS!BI16</f>
        <v/>
      </c>
      <c r="BJ23" s="55">
        <f>Calc_CFADS!BJ16</f>
        <v/>
      </c>
      <c r="BK23" s="55">
        <f>Calc_CFADS!BK16</f>
        <v/>
      </c>
      <c r="BL23" s="55">
        <f>Calc_CFADS!BL16</f>
        <v/>
      </c>
      <c r="BM23" s="55">
        <f>Calc_CFADS!BM16</f>
        <v/>
      </c>
      <c r="BN23" s="55">
        <f>Calc_CFADS!BN16</f>
        <v/>
      </c>
      <c r="BO23" s="55">
        <f>Calc_CFADS!BO16</f>
        <v/>
      </c>
      <c r="BP23" s="55">
        <f>Calc_CFADS!BP16</f>
        <v/>
      </c>
      <c r="BQ23" s="55">
        <f>Calc_CFADS!BQ16</f>
        <v/>
      </c>
      <c r="BR23" s="55">
        <f>Calc_CFADS!BR16</f>
        <v/>
      </c>
      <c r="BS23" s="55">
        <f>Calc_CFADS!BS16</f>
        <v/>
      </c>
      <c r="BT23" s="55">
        <f>Calc_CFADS!BT16</f>
        <v/>
      </c>
      <c r="BU23" s="55">
        <f>Calc_CFADS!BU16</f>
        <v/>
      </c>
      <c r="BV23" s="55">
        <f>Calc_CFADS!BV16</f>
        <v/>
      </c>
      <c r="BW23" s="55">
        <f>Calc_CFADS!BW16</f>
        <v/>
      </c>
      <c r="BX23" s="55">
        <f>Calc_CFADS!BX16</f>
        <v/>
      </c>
      <c r="BY23" s="55">
        <f>Calc_CFADS!BY16</f>
        <v/>
      </c>
      <c r="BZ23" s="55">
        <f>Calc_CFADS!BZ16</f>
        <v/>
      </c>
      <c r="CA23" s="55">
        <f>Calc_CFADS!CA16</f>
        <v/>
      </c>
      <c r="CB23" s="55">
        <f>Calc_CFADS!CB16</f>
        <v/>
      </c>
      <c r="CC23" s="55">
        <f>Calc_CFADS!CC16</f>
        <v/>
      </c>
      <c r="CD23" s="55">
        <f>Calc_CFADS!CD16</f>
        <v/>
      </c>
    </row>
    <row r="24">
      <c r="A24" t="inlineStr">
        <is>
          <t>Cash Flow from Financing ($)</t>
        </is>
      </c>
      <c r="C24" s="64">
        <f>-C20-C21-C22-C23</f>
        <v/>
      </c>
      <c r="D24" s="64">
        <f>-D20-D21-D22-D23</f>
        <v/>
      </c>
      <c r="E24" s="64">
        <f>-E20-E21-E22-E23</f>
        <v/>
      </c>
      <c r="F24" s="64">
        <f>-F20-F21-F22-F23</f>
        <v/>
      </c>
      <c r="G24" s="64">
        <f>-G20-G21-G22-G23</f>
        <v/>
      </c>
      <c r="H24" s="64">
        <f>-H20-H21-H22-H23</f>
        <v/>
      </c>
      <c r="I24" s="64">
        <f>-I20-I21-I22-I23</f>
        <v/>
      </c>
      <c r="J24" s="64">
        <f>-J20-J21-J22-J23</f>
        <v/>
      </c>
      <c r="K24" s="64">
        <f>-K20-K21-K22-K23</f>
        <v/>
      </c>
      <c r="L24" s="64">
        <f>-L20-L21-L22-L23</f>
        <v/>
      </c>
      <c r="M24" s="64">
        <f>-M20-M21-M22-M23</f>
        <v/>
      </c>
      <c r="N24" s="64">
        <f>-N20-N21-N22-N23</f>
        <v/>
      </c>
      <c r="O24" s="64">
        <f>-O20-O21-O22-O23</f>
        <v/>
      </c>
      <c r="P24" s="64">
        <f>-P20-P21-P22-P23</f>
        <v/>
      </c>
      <c r="Q24" s="64">
        <f>-Q20-Q21-Q22-Q23</f>
        <v/>
      </c>
      <c r="R24" s="64">
        <f>-R20-R21-R22-R23</f>
        <v/>
      </c>
      <c r="S24" s="64">
        <f>-S20-S21-S22-S23</f>
        <v/>
      </c>
      <c r="T24" s="64">
        <f>-T20-T21-T22-T23</f>
        <v/>
      </c>
      <c r="U24" s="64">
        <f>-U20-U21-U22-U23</f>
        <v/>
      </c>
      <c r="V24" s="64">
        <f>-V20-V21-V22-V23</f>
        <v/>
      </c>
      <c r="W24" s="64">
        <f>-W20-W21-W22-W23</f>
        <v/>
      </c>
      <c r="X24" s="64">
        <f>-X20-X21-X22-X23</f>
        <v/>
      </c>
      <c r="Y24" s="64">
        <f>-Y20-Y21-Y22-Y23</f>
        <v/>
      </c>
      <c r="Z24" s="64">
        <f>-Z20-Z21-Z22-Z23</f>
        <v/>
      </c>
      <c r="AA24" s="64">
        <f>-AA20-AA21-AA22-AA23</f>
        <v/>
      </c>
      <c r="AB24" s="64">
        <f>-AB20-AB21-AB22-AB23</f>
        <v/>
      </c>
      <c r="AC24" s="64">
        <f>-AC20-AC21-AC22-AC23</f>
        <v/>
      </c>
      <c r="AD24" s="64">
        <f>-AD20-AD21-AD22-AD23</f>
        <v/>
      </c>
      <c r="AE24" s="64">
        <f>-AE20-AE21-AE22-AE23</f>
        <v/>
      </c>
      <c r="AF24" s="64">
        <f>-AF20-AF21-AF22-AF23</f>
        <v/>
      </c>
      <c r="AG24" s="64">
        <f>-AG20-AG21-AG22-AG23</f>
        <v/>
      </c>
      <c r="AH24" s="64">
        <f>-AH20-AH21-AH22-AH23</f>
        <v/>
      </c>
      <c r="AI24" s="64">
        <f>-AI20-AI21-AI22-AI23</f>
        <v/>
      </c>
      <c r="AJ24" s="64">
        <f>-AJ20-AJ21-AJ22-AJ23</f>
        <v/>
      </c>
      <c r="AK24" s="64">
        <f>-AK20-AK21-AK22-AK23</f>
        <v/>
      </c>
      <c r="AL24" s="64">
        <f>-AL20-AL21-AL22-AL23</f>
        <v/>
      </c>
      <c r="AM24" s="64">
        <f>-AM20-AM21-AM22-AM23</f>
        <v/>
      </c>
      <c r="AN24" s="64">
        <f>-AN20-AN21-AN22-AN23</f>
        <v/>
      </c>
      <c r="AO24" s="64">
        <f>-AO20-AO21-AO22-AO23</f>
        <v/>
      </c>
      <c r="AP24" s="64">
        <f>-AP20-AP21-AP22-AP23</f>
        <v/>
      </c>
      <c r="AQ24" s="64">
        <f>-AQ20-AQ21-AQ22-AQ23</f>
        <v/>
      </c>
      <c r="AR24" s="64">
        <f>-AR20-AR21-AR22-AR23</f>
        <v/>
      </c>
      <c r="AS24" s="64">
        <f>-AS20-AS21-AS22-AS23</f>
        <v/>
      </c>
      <c r="AT24" s="64">
        <f>-AT20-AT21-AT22-AT23</f>
        <v/>
      </c>
      <c r="AU24" s="64">
        <f>-AU20-AU21-AU22-AU23</f>
        <v/>
      </c>
      <c r="AV24" s="64">
        <f>-AV20-AV21-AV22-AV23</f>
        <v/>
      </c>
      <c r="AW24" s="64">
        <f>-AW20-AW21-AW22-AW23</f>
        <v/>
      </c>
      <c r="AX24" s="64">
        <f>-AX20-AX21-AX22-AX23</f>
        <v/>
      </c>
      <c r="AY24" s="64">
        <f>-AY20-AY21-AY22-AY23</f>
        <v/>
      </c>
      <c r="AZ24" s="64">
        <f>-AZ20-AZ21-AZ22-AZ23</f>
        <v/>
      </c>
      <c r="BA24" s="64">
        <f>-BA20-BA21-BA22-BA23</f>
        <v/>
      </c>
      <c r="BB24" s="64">
        <f>-BB20-BB21-BB22-BB23</f>
        <v/>
      </c>
      <c r="BC24" s="64">
        <f>-BC20-BC21-BC22-BC23</f>
        <v/>
      </c>
      <c r="BD24" s="64">
        <f>-BD20-BD21-BD22-BD23</f>
        <v/>
      </c>
      <c r="BE24" s="64">
        <f>-BE20-BE21-BE22-BE23</f>
        <v/>
      </c>
      <c r="BF24" s="64">
        <f>-BF20-BF21-BF22-BF23</f>
        <v/>
      </c>
      <c r="BG24" s="64">
        <f>-BG20-BG21-BG22-BG23</f>
        <v/>
      </c>
      <c r="BH24" s="64">
        <f>-BH20-BH21-BH22-BH23</f>
        <v/>
      </c>
      <c r="BI24" s="64">
        <f>-BI20-BI21-BI22-BI23</f>
        <v/>
      </c>
      <c r="BJ24" s="64">
        <f>-BJ20-BJ21-BJ22-BJ23</f>
        <v/>
      </c>
      <c r="BK24" s="64">
        <f>-BK20-BK21-BK22-BK23</f>
        <v/>
      </c>
      <c r="BL24" s="64">
        <f>-BL20-BL21-BL22-BL23</f>
        <v/>
      </c>
      <c r="BM24" s="64">
        <f>-BM20-BM21-BM22-BM23</f>
        <v/>
      </c>
      <c r="BN24" s="64">
        <f>-BN20-BN21-BN22-BN23</f>
        <v/>
      </c>
      <c r="BO24" s="64">
        <f>-BO20-BO21-BO22-BO23</f>
        <v/>
      </c>
      <c r="BP24" s="64">
        <f>-BP20-BP21-BP22-BP23</f>
        <v/>
      </c>
      <c r="BQ24" s="64">
        <f>-BQ20-BQ21-BQ22-BQ23</f>
        <v/>
      </c>
      <c r="BR24" s="64">
        <f>-BR20-BR21-BR22-BR23</f>
        <v/>
      </c>
      <c r="BS24" s="64">
        <f>-BS20-BS21-BS22-BS23</f>
        <v/>
      </c>
      <c r="BT24" s="64">
        <f>-BT20-BT21-BT22-BT23</f>
        <v/>
      </c>
      <c r="BU24" s="64">
        <f>-BU20-BU21-BU22-BU23</f>
        <v/>
      </c>
      <c r="BV24" s="64">
        <f>-BV20-BV21-BV22-BV23</f>
        <v/>
      </c>
      <c r="BW24" s="64">
        <f>-BW20-BW21-BW22-BW23</f>
        <v/>
      </c>
      <c r="BX24" s="64">
        <f>-BX20-BX21-BX22-BX23</f>
        <v/>
      </c>
      <c r="BY24" s="64">
        <f>-BY20-BY21-BY22-BY23</f>
        <v/>
      </c>
      <c r="BZ24" s="64">
        <f>-BZ20-BZ21-BZ22-BZ23</f>
        <v/>
      </c>
      <c r="CA24" s="64">
        <f>-CA20-CA21-CA22-CA23</f>
        <v/>
      </c>
      <c r="CB24" s="64">
        <f>-CB20-CB21-CB22-CB23</f>
        <v/>
      </c>
      <c r="CC24" s="64">
        <f>-CC20-CC21-CC22-CC23</f>
        <v/>
      </c>
      <c r="CD24" s="64">
        <f>-CD20-CD21-CD22-CD23</f>
        <v/>
      </c>
    </row>
    <row r="25">
      <c r="A25" t="inlineStr">
        <is>
          <t>Net Change in Cash ($)</t>
        </is>
      </c>
      <c r="C25" s="64">
        <f>C18+C19+C24</f>
        <v/>
      </c>
      <c r="D25" s="64">
        <f>D18+D19+D24</f>
        <v/>
      </c>
      <c r="E25" s="64">
        <f>E18+E19+E24</f>
        <v/>
      </c>
      <c r="F25" s="64">
        <f>F18+F19+F24</f>
        <v/>
      </c>
      <c r="G25" s="64">
        <f>G18+G19+G24</f>
        <v/>
      </c>
      <c r="H25" s="64">
        <f>H18+H19+H24</f>
        <v/>
      </c>
      <c r="I25" s="64">
        <f>I18+I19+I24</f>
        <v/>
      </c>
      <c r="J25" s="64">
        <f>J18+J19+J24</f>
        <v/>
      </c>
      <c r="K25" s="64">
        <f>K18+K19+K24</f>
        <v/>
      </c>
      <c r="L25" s="64">
        <f>L18+L19+L24</f>
        <v/>
      </c>
      <c r="M25" s="64">
        <f>M18+M19+M24</f>
        <v/>
      </c>
      <c r="N25" s="64">
        <f>N18+N19+N24</f>
        <v/>
      </c>
      <c r="O25" s="64">
        <f>O18+O19+O24</f>
        <v/>
      </c>
      <c r="P25" s="64">
        <f>P18+P19+P24</f>
        <v/>
      </c>
      <c r="Q25" s="64">
        <f>Q18+Q19+Q24</f>
        <v/>
      </c>
      <c r="R25" s="64">
        <f>R18+R19+R24</f>
        <v/>
      </c>
      <c r="S25" s="64">
        <f>S18+S19+S24</f>
        <v/>
      </c>
      <c r="T25" s="64">
        <f>T18+T19+T24</f>
        <v/>
      </c>
      <c r="U25" s="64">
        <f>U18+U19+U24</f>
        <v/>
      </c>
      <c r="V25" s="64">
        <f>V18+V19+V24</f>
        <v/>
      </c>
      <c r="W25" s="64">
        <f>W18+W19+W24</f>
        <v/>
      </c>
      <c r="X25" s="64">
        <f>X18+X19+X24</f>
        <v/>
      </c>
      <c r="Y25" s="64">
        <f>Y18+Y19+Y24</f>
        <v/>
      </c>
      <c r="Z25" s="64">
        <f>Z18+Z19+Z24</f>
        <v/>
      </c>
      <c r="AA25" s="64">
        <f>AA18+AA19+AA24</f>
        <v/>
      </c>
      <c r="AB25" s="64">
        <f>AB18+AB19+AB24</f>
        <v/>
      </c>
      <c r="AC25" s="64">
        <f>AC18+AC19+AC24</f>
        <v/>
      </c>
      <c r="AD25" s="64">
        <f>AD18+AD19+AD24</f>
        <v/>
      </c>
      <c r="AE25" s="64">
        <f>AE18+AE19+AE24</f>
        <v/>
      </c>
      <c r="AF25" s="64">
        <f>AF18+AF19+AF24</f>
        <v/>
      </c>
      <c r="AG25" s="64">
        <f>AG18+AG19+AG24</f>
        <v/>
      </c>
      <c r="AH25" s="64">
        <f>AH18+AH19+AH24</f>
        <v/>
      </c>
      <c r="AI25" s="64">
        <f>AI18+AI19+AI24</f>
        <v/>
      </c>
      <c r="AJ25" s="64">
        <f>AJ18+AJ19+AJ24</f>
        <v/>
      </c>
      <c r="AK25" s="64">
        <f>AK18+AK19+AK24</f>
        <v/>
      </c>
      <c r="AL25" s="64">
        <f>AL18+AL19+AL24</f>
        <v/>
      </c>
      <c r="AM25" s="64">
        <f>AM18+AM19+AM24</f>
        <v/>
      </c>
      <c r="AN25" s="64">
        <f>AN18+AN19+AN24</f>
        <v/>
      </c>
      <c r="AO25" s="64">
        <f>AO18+AO19+AO24</f>
        <v/>
      </c>
      <c r="AP25" s="64">
        <f>AP18+AP19+AP24</f>
        <v/>
      </c>
      <c r="AQ25" s="64">
        <f>AQ18+AQ19+AQ24</f>
        <v/>
      </c>
      <c r="AR25" s="64">
        <f>AR18+AR19+AR24</f>
        <v/>
      </c>
      <c r="AS25" s="64">
        <f>AS18+AS19+AS24</f>
        <v/>
      </c>
      <c r="AT25" s="64">
        <f>AT18+AT19+AT24</f>
        <v/>
      </c>
      <c r="AU25" s="64">
        <f>AU18+AU19+AU24</f>
        <v/>
      </c>
      <c r="AV25" s="64">
        <f>AV18+AV19+AV24</f>
        <v/>
      </c>
      <c r="AW25" s="64">
        <f>AW18+AW19+AW24</f>
        <v/>
      </c>
      <c r="AX25" s="64">
        <f>AX18+AX19+AX24</f>
        <v/>
      </c>
      <c r="AY25" s="64">
        <f>AY18+AY19+AY24</f>
        <v/>
      </c>
      <c r="AZ25" s="64">
        <f>AZ18+AZ19+AZ24</f>
        <v/>
      </c>
      <c r="BA25" s="64">
        <f>BA18+BA19+BA24</f>
        <v/>
      </c>
      <c r="BB25" s="64">
        <f>BB18+BB19+BB24</f>
        <v/>
      </c>
      <c r="BC25" s="64">
        <f>BC18+BC19+BC24</f>
        <v/>
      </c>
      <c r="BD25" s="64">
        <f>BD18+BD19+BD24</f>
        <v/>
      </c>
      <c r="BE25" s="64">
        <f>BE18+BE19+BE24</f>
        <v/>
      </c>
      <c r="BF25" s="64">
        <f>BF18+BF19+BF24</f>
        <v/>
      </c>
      <c r="BG25" s="64">
        <f>BG18+BG19+BG24</f>
        <v/>
      </c>
      <c r="BH25" s="64">
        <f>BH18+BH19+BH24</f>
        <v/>
      </c>
      <c r="BI25" s="64">
        <f>BI18+BI19+BI24</f>
        <v/>
      </c>
      <c r="BJ25" s="64">
        <f>BJ18+BJ19+BJ24</f>
        <v/>
      </c>
      <c r="BK25" s="64">
        <f>BK18+BK19+BK24</f>
        <v/>
      </c>
      <c r="BL25" s="64">
        <f>BL18+BL19+BL24</f>
        <v/>
      </c>
      <c r="BM25" s="64">
        <f>BM18+BM19+BM24</f>
        <v/>
      </c>
      <c r="BN25" s="64">
        <f>BN18+BN19+BN24</f>
        <v/>
      </c>
      <c r="BO25" s="64">
        <f>BO18+BO19+BO24</f>
        <v/>
      </c>
      <c r="BP25" s="64">
        <f>BP18+BP19+BP24</f>
        <v/>
      </c>
      <c r="BQ25" s="64">
        <f>BQ18+BQ19+BQ24</f>
        <v/>
      </c>
      <c r="BR25" s="64">
        <f>BR18+BR19+BR24</f>
        <v/>
      </c>
      <c r="BS25" s="64">
        <f>BS18+BS19+BS24</f>
        <v/>
      </c>
      <c r="BT25" s="64">
        <f>BT18+BT19+BT24</f>
        <v/>
      </c>
      <c r="BU25" s="64">
        <f>BU18+BU19+BU24</f>
        <v/>
      </c>
      <c r="BV25" s="64">
        <f>BV18+BV19+BV24</f>
        <v/>
      </c>
      <c r="BW25" s="64">
        <f>BW18+BW19+BW24</f>
        <v/>
      </c>
      <c r="BX25" s="64">
        <f>BX18+BX19+BX24</f>
        <v/>
      </c>
      <c r="BY25" s="64">
        <f>BY18+BY19+BY24</f>
        <v/>
      </c>
      <c r="BZ25" s="64">
        <f>BZ18+BZ19+BZ24</f>
        <v/>
      </c>
      <c r="CA25" s="64">
        <f>CA18+CA19+CA24</f>
        <v/>
      </c>
      <c r="CB25" s="64">
        <f>CB18+CB19+CB24</f>
        <v/>
      </c>
      <c r="CC25" s="64">
        <f>CC18+CC19+CC24</f>
        <v/>
      </c>
      <c r="CD25" s="64">
        <f>CD18+CD19+CD24</f>
        <v/>
      </c>
    </row>
    <row r="26">
      <c r="A26" t="inlineStr">
        <is>
          <t>Opening Cash ($)</t>
        </is>
      </c>
      <c r="C26" s="64">
        <f>0</f>
        <v/>
      </c>
      <c r="D26" s="64">
        <f>C27</f>
        <v/>
      </c>
      <c r="E26" s="64">
        <f>D27</f>
        <v/>
      </c>
      <c r="F26" s="64">
        <f>E27</f>
        <v/>
      </c>
      <c r="G26" s="64">
        <f>F27</f>
        <v/>
      </c>
      <c r="H26" s="64">
        <f>G27</f>
        <v/>
      </c>
      <c r="I26" s="64">
        <f>H27</f>
        <v/>
      </c>
      <c r="J26" s="64">
        <f>I27</f>
        <v/>
      </c>
      <c r="K26" s="64">
        <f>J27</f>
        <v/>
      </c>
      <c r="L26" s="64">
        <f>K27</f>
        <v/>
      </c>
      <c r="M26" s="64">
        <f>L27</f>
        <v/>
      </c>
      <c r="N26" s="64">
        <f>M27</f>
        <v/>
      </c>
      <c r="O26" s="64">
        <f>N27</f>
        <v/>
      </c>
      <c r="P26" s="64">
        <f>O27</f>
        <v/>
      </c>
      <c r="Q26" s="64">
        <f>P27</f>
        <v/>
      </c>
      <c r="R26" s="64">
        <f>Q27</f>
        <v/>
      </c>
      <c r="S26" s="64">
        <f>R27</f>
        <v/>
      </c>
      <c r="T26" s="64">
        <f>S27</f>
        <v/>
      </c>
      <c r="U26" s="64">
        <f>T27</f>
        <v/>
      </c>
      <c r="V26" s="64">
        <f>U27</f>
        <v/>
      </c>
      <c r="W26" s="64">
        <f>V27</f>
        <v/>
      </c>
      <c r="X26" s="64">
        <f>W27</f>
        <v/>
      </c>
      <c r="Y26" s="64">
        <f>X27</f>
        <v/>
      </c>
      <c r="Z26" s="64">
        <f>Y27</f>
        <v/>
      </c>
      <c r="AA26" s="64">
        <f>Z27</f>
        <v/>
      </c>
      <c r="AB26" s="64">
        <f>AA27</f>
        <v/>
      </c>
      <c r="AC26" s="64">
        <f>AB27</f>
        <v/>
      </c>
      <c r="AD26" s="64">
        <f>AC27</f>
        <v/>
      </c>
      <c r="AE26" s="64">
        <f>AD27</f>
        <v/>
      </c>
      <c r="AF26" s="64">
        <f>AE27</f>
        <v/>
      </c>
      <c r="AG26" s="64">
        <f>AF27</f>
        <v/>
      </c>
      <c r="AH26" s="64">
        <f>AG27</f>
        <v/>
      </c>
      <c r="AI26" s="64">
        <f>AH27</f>
        <v/>
      </c>
      <c r="AJ26" s="64">
        <f>AI27</f>
        <v/>
      </c>
      <c r="AK26" s="64">
        <f>AJ27</f>
        <v/>
      </c>
      <c r="AL26" s="64">
        <f>AK27</f>
        <v/>
      </c>
      <c r="AM26" s="64">
        <f>AL27</f>
        <v/>
      </c>
      <c r="AN26" s="64">
        <f>AM27</f>
        <v/>
      </c>
      <c r="AO26" s="64">
        <f>AN27</f>
        <v/>
      </c>
      <c r="AP26" s="64">
        <f>AO27</f>
        <v/>
      </c>
      <c r="AQ26" s="64">
        <f>AP27</f>
        <v/>
      </c>
      <c r="AR26" s="64">
        <f>AQ27</f>
        <v/>
      </c>
      <c r="AS26" s="64">
        <f>AR27</f>
        <v/>
      </c>
      <c r="AT26" s="64">
        <f>AS27</f>
        <v/>
      </c>
      <c r="AU26" s="64">
        <f>AT27</f>
        <v/>
      </c>
      <c r="AV26" s="64">
        <f>AU27</f>
        <v/>
      </c>
      <c r="AW26" s="64">
        <f>AV27</f>
        <v/>
      </c>
      <c r="AX26" s="64">
        <f>AW27</f>
        <v/>
      </c>
      <c r="AY26" s="64">
        <f>AX27</f>
        <v/>
      </c>
      <c r="AZ26" s="64">
        <f>AY27</f>
        <v/>
      </c>
      <c r="BA26" s="64">
        <f>AZ27</f>
        <v/>
      </c>
      <c r="BB26" s="64">
        <f>BA27</f>
        <v/>
      </c>
      <c r="BC26" s="64">
        <f>BB27</f>
        <v/>
      </c>
      <c r="BD26" s="64">
        <f>BC27</f>
        <v/>
      </c>
      <c r="BE26" s="64">
        <f>BD27</f>
        <v/>
      </c>
      <c r="BF26" s="64">
        <f>BE27</f>
        <v/>
      </c>
      <c r="BG26" s="64">
        <f>BF27</f>
        <v/>
      </c>
      <c r="BH26" s="64">
        <f>BG27</f>
        <v/>
      </c>
      <c r="BI26" s="64">
        <f>BH27</f>
        <v/>
      </c>
      <c r="BJ26" s="64">
        <f>BI27</f>
        <v/>
      </c>
      <c r="BK26" s="64">
        <f>BJ27</f>
        <v/>
      </c>
      <c r="BL26" s="64">
        <f>BK27</f>
        <v/>
      </c>
      <c r="BM26" s="64">
        <f>BL27</f>
        <v/>
      </c>
      <c r="BN26" s="64">
        <f>BM27</f>
        <v/>
      </c>
      <c r="BO26" s="64">
        <f>BN27</f>
        <v/>
      </c>
      <c r="BP26" s="64">
        <f>BO27</f>
        <v/>
      </c>
      <c r="BQ26" s="64">
        <f>BP27</f>
        <v/>
      </c>
      <c r="BR26" s="64">
        <f>BQ27</f>
        <v/>
      </c>
      <c r="BS26" s="64">
        <f>BR27</f>
        <v/>
      </c>
      <c r="BT26" s="64">
        <f>BS27</f>
        <v/>
      </c>
      <c r="BU26" s="64">
        <f>BT27</f>
        <v/>
      </c>
      <c r="BV26" s="64">
        <f>BU27</f>
        <v/>
      </c>
      <c r="BW26" s="64">
        <f>BV27</f>
        <v/>
      </c>
      <c r="BX26" s="64">
        <f>BW27</f>
        <v/>
      </c>
      <c r="BY26" s="64">
        <f>BX27</f>
        <v/>
      </c>
      <c r="BZ26" s="64">
        <f>BY27</f>
        <v/>
      </c>
      <c r="CA26" s="64">
        <f>BZ27</f>
        <v/>
      </c>
      <c r="CB26" s="64">
        <f>CA27</f>
        <v/>
      </c>
      <c r="CC26" s="64">
        <f>CB27</f>
        <v/>
      </c>
      <c r="CD26" s="64">
        <f>CC27</f>
        <v/>
      </c>
    </row>
    <row r="27">
      <c r="A27" t="inlineStr">
        <is>
          <t>Closing Cash ($)</t>
        </is>
      </c>
      <c r="C27" s="64">
        <f>C26+C25</f>
        <v/>
      </c>
      <c r="D27" s="64">
        <f>D26+D25</f>
        <v/>
      </c>
      <c r="E27" s="64">
        <f>E26+E25</f>
        <v/>
      </c>
      <c r="F27" s="64">
        <f>F26+F25</f>
        <v/>
      </c>
      <c r="G27" s="64">
        <f>G26+G25</f>
        <v/>
      </c>
      <c r="H27" s="64">
        <f>H26+H25</f>
        <v/>
      </c>
      <c r="I27" s="64">
        <f>I26+I25</f>
        <v/>
      </c>
      <c r="J27" s="64">
        <f>J26+J25</f>
        <v/>
      </c>
      <c r="K27" s="64">
        <f>K26+K25</f>
        <v/>
      </c>
      <c r="L27" s="64">
        <f>L26+L25</f>
        <v/>
      </c>
      <c r="M27" s="64">
        <f>M26+M25</f>
        <v/>
      </c>
      <c r="N27" s="64">
        <f>N26+N25</f>
        <v/>
      </c>
      <c r="O27" s="64">
        <f>O26+O25</f>
        <v/>
      </c>
      <c r="P27" s="64">
        <f>P26+P25</f>
        <v/>
      </c>
      <c r="Q27" s="64">
        <f>Q26+Q25</f>
        <v/>
      </c>
      <c r="R27" s="64">
        <f>R26+R25</f>
        <v/>
      </c>
      <c r="S27" s="64">
        <f>S26+S25</f>
        <v/>
      </c>
      <c r="T27" s="64">
        <f>T26+T25</f>
        <v/>
      </c>
      <c r="U27" s="64">
        <f>U26+U25</f>
        <v/>
      </c>
      <c r="V27" s="64">
        <f>V26+V25</f>
        <v/>
      </c>
      <c r="W27" s="64">
        <f>W26+W25</f>
        <v/>
      </c>
      <c r="X27" s="64">
        <f>X26+X25</f>
        <v/>
      </c>
      <c r="Y27" s="64">
        <f>Y26+Y25</f>
        <v/>
      </c>
      <c r="Z27" s="64">
        <f>Z26+Z25</f>
        <v/>
      </c>
      <c r="AA27" s="64">
        <f>AA26+AA25</f>
        <v/>
      </c>
      <c r="AB27" s="64">
        <f>AB26+AB25</f>
        <v/>
      </c>
      <c r="AC27" s="64">
        <f>AC26+AC25</f>
        <v/>
      </c>
      <c r="AD27" s="64">
        <f>AD26+AD25</f>
        <v/>
      </c>
      <c r="AE27" s="64">
        <f>AE26+AE25</f>
        <v/>
      </c>
      <c r="AF27" s="64">
        <f>AF26+AF25</f>
        <v/>
      </c>
      <c r="AG27" s="64">
        <f>AG26+AG25</f>
        <v/>
      </c>
      <c r="AH27" s="64">
        <f>AH26+AH25</f>
        <v/>
      </c>
      <c r="AI27" s="64">
        <f>AI26+AI25</f>
        <v/>
      </c>
      <c r="AJ27" s="64">
        <f>AJ26+AJ25</f>
        <v/>
      </c>
      <c r="AK27" s="64">
        <f>AK26+AK25</f>
        <v/>
      </c>
      <c r="AL27" s="64">
        <f>AL26+AL25</f>
        <v/>
      </c>
      <c r="AM27" s="64">
        <f>AM26+AM25</f>
        <v/>
      </c>
      <c r="AN27" s="64">
        <f>AN26+AN25</f>
        <v/>
      </c>
      <c r="AO27" s="64">
        <f>AO26+AO25</f>
        <v/>
      </c>
      <c r="AP27" s="64">
        <f>AP26+AP25</f>
        <v/>
      </c>
      <c r="AQ27" s="64">
        <f>AQ26+AQ25</f>
        <v/>
      </c>
      <c r="AR27" s="64">
        <f>AR26+AR25</f>
        <v/>
      </c>
      <c r="AS27" s="64">
        <f>AS26+AS25</f>
        <v/>
      </c>
      <c r="AT27" s="64">
        <f>AT26+AT25</f>
        <v/>
      </c>
      <c r="AU27" s="64">
        <f>AU26+AU25</f>
        <v/>
      </c>
      <c r="AV27" s="64">
        <f>AV26+AV25</f>
        <v/>
      </c>
      <c r="AW27" s="64">
        <f>AW26+AW25</f>
        <v/>
      </c>
      <c r="AX27" s="64">
        <f>AX26+AX25</f>
        <v/>
      </c>
      <c r="AY27" s="64">
        <f>AY26+AY25</f>
        <v/>
      </c>
      <c r="AZ27" s="64">
        <f>AZ26+AZ25</f>
        <v/>
      </c>
      <c r="BA27" s="64">
        <f>BA26+BA25</f>
        <v/>
      </c>
      <c r="BB27" s="64">
        <f>BB26+BB25</f>
        <v/>
      </c>
      <c r="BC27" s="64">
        <f>BC26+BC25</f>
        <v/>
      </c>
      <c r="BD27" s="64">
        <f>BD26+BD25</f>
        <v/>
      </c>
      <c r="BE27" s="64">
        <f>BE26+BE25</f>
        <v/>
      </c>
      <c r="BF27" s="64">
        <f>BF26+BF25</f>
        <v/>
      </c>
      <c r="BG27" s="64">
        <f>BG26+BG25</f>
        <v/>
      </c>
      <c r="BH27" s="64">
        <f>BH26+BH25</f>
        <v/>
      </c>
      <c r="BI27" s="64">
        <f>BI26+BI25</f>
        <v/>
      </c>
      <c r="BJ27" s="64">
        <f>BJ26+BJ25</f>
        <v/>
      </c>
      <c r="BK27" s="64">
        <f>BK26+BK25</f>
        <v/>
      </c>
      <c r="BL27" s="64">
        <f>BL26+BL25</f>
        <v/>
      </c>
      <c r="BM27" s="64">
        <f>BM26+BM25</f>
        <v/>
      </c>
      <c r="BN27" s="64">
        <f>BN26+BN25</f>
        <v/>
      </c>
      <c r="BO27" s="64">
        <f>BO26+BO25</f>
        <v/>
      </c>
      <c r="BP27" s="64">
        <f>BP26+BP25</f>
        <v/>
      </c>
      <c r="BQ27" s="64">
        <f>BQ26+BQ25</f>
        <v/>
      </c>
      <c r="BR27" s="64">
        <f>BR26+BR25</f>
        <v/>
      </c>
      <c r="BS27" s="64">
        <f>BS26+BS25</f>
        <v/>
      </c>
      <c r="BT27" s="64">
        <f>BT26+BT25</f>
        <v/>
      </c>
      <c r="BU27" s="64">
        <f>BU26+BU25</f>
        <v/>
      </c>
      <c r="BV27" s="64">
        <f>BV26+BV25</f>
        <v/>
      </c>
      <c r="BW27" s="64">
        <f>BW26+BW25</f>
        <v/>
      </c>
      <c r="BX27" s="64">
        <f>BX26+BX25</f>
        <v/>
      </c>
      <c r="BY27" s="64">
        <f>BY26+BY25</f>
        <v/>
      </c>
      <c r="BZ27" s="64">
        <f>BZ26+BZ25</f>
        <v/>
      </c>
      <c r="CA27" s="64">
        <f>CA26+CA25</f>
        <v/>
      </c>
      <c r="CB27" s="64">
        <f>CB26+CB25</f>
        <v/>
      </c>
      <c r="CC27" s="64">
        <f>CC26+CC25</f>
        <v/>
      </c>
      <c r="CD27" s="64">
        <f>CD26+CD25</f>
        <v/>
      </c>
    </row>
    <row r="29">
      <c r="A29" t="inlineStr">
        <is>
          <t>Cash ($) — unrestricted</t>
        </is>
      </c>
      <c r="C29" s="64">
        <f>C27</f>
        <v/>
      </c>
      <c r="D29" s="64">
        <f>D27</f>
        <v/>
      </c>
      <c r="E29" s="64">
        <f>E27</f>
        <v/>
      </c>
      <c r="F29" s="64">
        <f>F27</f>
        <v/>
      </c>
      <c r="G29" s="64">
        <f>G27</f>
        <v/>
      </c>
      <c r="H29" s="64">
        <f>H27</f>
        <v/>
      </c>
      <c r="I29" s="64">
        <f>I27</f>
        <v/>
      </c>
      <c r="J29" s="64">
        <f>J27</f>
        <v/>
      </c>
      <c r="K29" s="64">
        <f>K27</f>
        <v/>
      </c>
      <c r="L29" s="64">
        <f>L27</f>
        <v/>
      </c>
      <c r="M29" s="64">
        <f>M27</f>
        <v/>
      </c>
      <c r="N29" s="64">
        <f>N27</f>
        <v/>
      </c>
      <c r="O29" s="64">
        <f>O27</f>
        <v/>
      </c>
      <c r="P29" s="64">
        <f>P27</f>
        <v/>
      </c>
      <c r="Q29" s="64">
        <f>Q27</f>
        <v/>
      </c>
      <c r="R29" s="64">
        <f>R27</f>
        <v/>
      </c>
      <c r="S29" s="64">
        <f>S27</f>
        <v/>
      </c>
      <c r="T29" s="64">
        <f>T27</f>
        <v/>
      </c>
      <c r="U29" s="64">
        <f>U27</f>
        <v/>
      </c>
      <c r="V29" s="64">
        <f>V27</f>
        <v/>
      </c>
      <c r="W29" s="64">
        <f>W27</f>
        <v/>
      </c>
      <c r="X29" s="64">
        <f>X27</f>
        <v/>
      </c>
      <c r="Y29" s="64">
        <f>Y27</f>
        <v/>
      </c>
      <c r="Z29" s="64">
        <f>Z27</f>
        <v/>
      </c>
      <c r="AA29" s="64">
        <f>AA27</f>
        <v/>
      </c>
      <c r="AB29" s="64">
        <f>AB27</f>
        <v/>
      </c>
      <c r="AC29" s="64">
        <f>AC27</f>
        <v/>
      </c>
      <c r="AD29" s="64">
        <f>AD27</f>
        <v/>
      </c>
      <c r="AE29" s="64">
        <f>AE27</f>
        <v/>
      </c>
      <c r="AF29" s="64">
        <f>AF27</f>
        <v/>
      </c>
      <c r="AG29" s="64">
        <f>AG27</f>
        <v/>
      </c>
      <c r="AH29" s="64">
        <f>AH27</f>
        <v/>
      </c>
      <c r="AI29" s="64">
        <f>AI27</f>
        <v/>
      </c>
      <c r="AJ29" s="64">
        <f>AJ27</f>
        <v/>
      </c>
      <c r="AK29" s="64">
        <f>AK27</f>
        <v/>
      </c>
      <c r="AL29" s="64">
        <f>AL27</f>
        <v/>
      </c>
      <c r="AM29" s="64">
        <f>AM27</f>
        <v/>
      </c>
      <c r="AN29" s="64">
        <f>AN27</f>
        <v/>
      </c>
      <c r="AO29" s="64">
        <f>AO27</f>
        <v/>
      </c>
      <c r="AP29" s="64">
        <f>AP27</f>
        <v/>
      </c>
      <c r="AQ29" s="64">
        <f>AQ27</f>
        <v/>
      </c>
      <c r="AR29" s="64">
        <f>AR27</f>
        <v/>
      </c>
      <c r="AS29" s="64">
        <f>AS27</f>
        <v/>
      </c>
      <c r="AT29" s="64">
        <f>AT27</f>
        <v/>
      </c>
      <c r="AU29" s="64">
        <f>AU27</f>
        <v/>
      </c>
      <c r="AV29" s="64">
        <f>AV27</f>
        <v/>
      </c>
      <c r="AW29" s="64">
        <f>AW27</f>
        <v/>
      </c>
      <c r="AX29" s="64">
        <f>AX27</f>
        <v/>
      </c>
      <c r="AY29" s="64">
        <f>AY27</f>
        <v/>
      </c>
      <c r="AZ29" s="64">
        <f>AZ27</f>
        <v/>
      </c>
      <c r="BA29" s="64">
        <f>BA27</f>
        <v/>
      </c>
      <c r="BB29" s="64">
        <f>BB27</f>
        <v/>
      </c>
      <c r="BC29" s="64">
        <f>BC27</f>
        <v/>
      </c>
      <c r="BD29" s="64">
        <f>BD27</f>
        <v/>
      </c>
      <c r="BE29" s="64">
        <f>BE27</f>
        <v/>
      </c>
      <c r="BF29" s="64">
        <f>BF27</f>
        <v/>
      </c>
      <c r="BG29" s="64">
        <f>BG27</f>
        <v/>
      </c>
      <c r="BH29" s="64">
        <f>BH27</f>
        <v/>
      </c>
      <c r="BI29" s="64">
        <f>BI27</f>
        <v/>
      </c>
      <c r="BJ29" s="64">
        <f>BJ27</f>
        <v/>
      </c>
      <c r="BK29" s="64">
        <f>BK27</f>
        <v/>
      </c>
      <c r="BL29" s="64">
        <f>BL27</f>
        <v/>
      </c>
      <c r="BM29" s="64">
        <f>BM27</f>
        <v/>
      </c>
      <c r="BN29" s="64">
        <f>BN27</f>
        <v/>
      </c>
      <c r="BO29" s="64">
        <f>BO27</f>
        <v/>
      </c>
      <c r="BP29" s="64">
        <f>BP27</f>
        <v/>
      </c>
      <c r="BQ29" s="64">
        <f>BQ27</f>
        <v/>
      </c>
      <c r="BR29" s="64">
        <f>BR27</f>
        <v/>
      </c>
      <c r="BS29" s="64">
        <f>BS27</f>
        <v/>
      </c>
      <c r="BT29" s="64">
        <f>BT27</f>
        <v/>
      </c>
      <c r="BU29" s="64">
        <f>BU27</f>
        <v/>
      </c>
      <c r="BV29" s="64">
        <f>BV27</f>
        <v/>
      </c>
      <c r="BW29" s="64">
        <f>BW27</f>
        <v/>
      </c>
      <c r="BX29" s="64">
        <f>BX27</f>
        <v/>
      </c>
      <c r="BY29" s="64">
        <f>BY27</f>
        <v/>
      </c>
      <c r="BZ29" s="64">
        <f>BZ27</f>
        <v/>
      </c>
      <c r="CA29" s="64">
        <f>CA27</f>
        <v/>
      </c>
      <c r="CB29" s="64">
        <f>CB27</f>
        <v/>
      </c>
      <c r="CC29" s="64">
        <f>CC27</f>
        <v/>
      </c>
      <c r="CD29" s="64">
        <f>CD27</f>
        <v/>
      </c>
    </row>
    <row r="30">
      <c r="A30" t="inlineStr">
        <is>
          <t>DSRA Balance ($) — restricted cash</t>
        </is>
      </c>
      <c r="C30" s="55">
        <f>Calc_Financing_Ops!C27</f>
        <v/>
      </c>
      <c r="D30" s="55">
        <f>Calc_Financing_Ops!D27</f>
        <v/>
      </c>
      <c r="E30" s="55">
        <f>Calc_Financing_Ops!E27</f>
        <v/>
      </c>
      <c r="F30" s="55">
        <f>Calc_Financing_Ops!F27</f>
        <v/>
      </c>
      <c r="G30" s="55">
        <f>Calc_Financing_Ops!G27</f>
        <v/>
      </c>
      <c r="H30" s="55">
        <f>Calc_Financing_Ops!H27</f>
        <v/>
      </c>
      <c r="I30" s="55">
        <f>Calc_Financing_Ops!I27</f>
        <v/>
      </c>
      <c r="J30" s="55">
        <f>Calc_Financing_Ops!J27</f>
        <v/>
      </c>
      <c r="K30" s="55">
        <f>Calc_Financing_Ops!K27</f>
        <v/>
      </c>
      <c r="L30" s="55">
        <f>Calc_Financing_Ops!L27</f>
        <v/>
      </c>
      <c r="M30" s="55">
        <f>Calc_Financing_Ops!M27</f>
        <v/>
      </c>
      <c r="N30" s="55">
        <f>Calc_Financing_Ops!N27</f>
        <v/>
      </c>
      <c r="O30" s="55">
        <f>Calc_Financing_Ops!O27</f>
        <v/>
      </c>
      <c r="P30" s="55">
        <f>Calc_Financing_Ops!P27</f>
        <v/>
      </c>
      <c r="Q30" s="55">
        <f>Calc_Financing_Ops!Q27</f>
        <v/>
      </c>
      <c r="R30" s="55">
        <f>Calc_Financing_Ops!R27</f>
        <v/>
      </c>
      <c r="S30" s="55">
        <f>Calc_Financing_Ops!S27</f>
        <v/>
      </c>
      <c r="T30" s="55">
        <f>Calc_Financing_Ops!T27</f>
        <v/>
      </c>
      <c r="U30" s="55">
        <f>Calc_Financing_Ops!U27</f>
        <v/>
      </c>
      <c r="V30" s="55">
        <f>Calc_Financing_Ops!V27</f>
        <v/>
      </c>
      <c r="W30" s="55">
        <f>Calc_Financing_Ops!W27</f>
        <v/>
      </c>
      <c r="X30" s="55">
        <f>Calc_Financing_Ops!X27</f>
        <v/>
      </c>
      <c r="Y30" s="55">
        <f>Calc_Financing_Ops!Y27</f>
        <v/>
      </c>
      <c r="Z30" s="55">
        <f>Calc_Financing_Ops!Z27</f>
        <v/>
      </c>
      <c r="AA30" s="55">
        <f>Calc_Financing_Ops!AA27</f>
        <v/>
      </c>
      <c r="AB30" s="55">
        <f>Calc_Financing_Ops!AB27</f>
        <v/>
      </c>
      <c r="AC30" s="55">
        <f>Calc_Financing_Ops!AC27</f>
        <v/>
      </c>
      <c r="AD30" s="55">
        <f>Calc_Financing_Ops!AD27</f>
        <v/>
      </c>
      <c r="AE30" s="55">
        <f>Calc_Financing_Ops!AE27</f>
        <v/>
      </c>
      <c r="AF30" s="55">
        <f>Calc_Financing_Ops!AF27</f>
        <v/>
      </c>
      <c r="AG30" s="55">
        <f>Calc_Financing_Ops!AG27</f>
        <v/>
      </c>
      <c r="AH30" s="55">
        <f>Calc_Financing_Ops!AH27</f>
        <v/>
      </c>
      <c r="AI30" s="55">
        <f>Calc_Financing_Ops!AI27</f>
        <v/>
      </c>
      <c r="AJ30" s="55">
        <f>Calc_Financing_Ops!AJ27</f>
        <v/>
      </c>
      <c r="AK30" s="55">
        <f>Calc_Financing_Ops!AK27</f>
        <v/>
      </c>
      <c r="AL30" s="55">
        <f>Calc_Financing_Ops!AL27</f>
        <v/>
      </c>
      <c r="AM30" s="55">
        <f>Calc_Financing_Ops!AM27</f>
        <v/>
      </c>
      <c r="AN30" s="55">
        <f>Calc_Financing_Ops!AN27</f>
        <v/>
      </c>
      <c r="AO30" s="55">
        <f>Calc_Financing_Ops!AO27</f>
        <v/>
      </c>
      <c r="AP30" s="55">
        <f>Calc_Financing_Ops!AP27</f>
        <v/>
      </c>
      <c r="AQ30" s="55">
        <f>Calc_Financing_Ops!AQ27</f>
        <v/>
      </c>
      <c r="AR30" s="55">
        <f>Calc_Financing_Ops!AR27</f>
        <v/>
      </c>
      <c r="AS30" s="55">
        <f>Calc_Financing_Ops!AS27</f>
        <v/>
      </c>
      <c r="AT30" s="55">
        <f>Calc_Financing_Ops!AT27</f>
        <v/>
      </c>
      <c r="AU30" s="55">
        <f>Calc_Financing_Ops!AU27</f>
        <v/>
      </c>
      <c r="AV30" s="55">
        <f>Calc_Financing_Ops!AV27</f>
        <v/>
      </c>
      <c r="AW30" s="55">
        <f>Calc_Financing_Ops!AW27</f>
        <v/>
      </c>
      <c r="AX30" s="55">
        <f>Calc_Financing_Ops!AX27</f>
        <v/>
      </c>
      <c r="AY30" s="55">
        <f>Calc_Financing_Ops!AY27</f>
        <v/>
      </c>
      <c r="AZ30" s="55">
        <f>Calc_Financing_Ops!AZ27</f>
        <v/>
      </c>
      <c r="BA30" s="55">
        <f>Calc_Financing_Ops!BA27</f>
        <v/>
      </c>
      <c r="BB30" s="55">
        <f>Calc_Financing_Ops!BB27</f>
        <v/>
      </c>
      <c r="BC30" s="55">
        <f>Calc_Financing_Ops!BC27</f>
        <v/>
      </c>
      <c r="BD30" s="55">
        <f>Calc_Financing_Ops!BD27</f>
        <v/>
      </c>
      <c r="BE30" s="55">
        <f>Calc_Financing_Ops!BE27</f>
        <v/>
      </c>
      <c r="BF30" s="55">
        <f>Calc_Financing_Ops!BF27</f>
        <v/>
      </c>
      <c r="BG30" s="55">
        <f>Calc_Financing_Ops!BG27</f>
        <v/>
      </c>
      <c r="BH30" s="55">
        <f>Calc_Financing_Ops!BH27</f>
        <v/>
      </c>
      <c r="BI30" s="55">
        <f>Calc_Financing_Ops!BI27</f>
        <v/>
      </c>
      <c r="BJ30" s="55">
        <f>Calc_Financing_Ops!BJ27</f>
        <v/>
      </c>
      <c r="BK30" s="55">
        <f>Calc_Financing_Ops!BK27</f>
        <v/>
      </c>
      <c r="BL30" s="55">
        <f>Calc_Financing_Ops!BL27</f>
        <v/>
      </c>
      <c r="BM30" s="55">
        <f>Calc_Financing_Ops!BM27</f>
        <v/>
      </c>
      <c r="BN30" s="55">
        <f>Calc_Financing_Ops!BN27</f>
        <v/>
      </c>
      <c r="BO30" s="55">
        <f>Calc_Financing_Ops!BO27</f>
        <v/>
      </c>
      <c r="BP30" s="55">
        <f>Calc_Financing_Ops!BP27</f>
        <v/>
      </c>
      <c r="BQ30" s="55">
        <f>Calc_Financing_Ops!BQ27</f>
        <v/>
      </c>
      <c r="BR30" s="55">
        <f>Calc_Financing_Ops!BR27</f>
        <v/>
      </c>
      <c r="BS30" s="55">
        <f>Calc_Financing_Ops!BS27</f>
        <v/>
      </c>
      <c r="BT30" s="55">
        <f>Calc_Financing_Ops!BT27</f>
        <v/>
      </c>
      <c r="BU30" s="55">
        <f>Calc_Financing_Ops!BU27</f>
        <v/>
      </c>
      <c r="BV30" s="55">
        <f>Calc_Financing_Ops!BV27</f>
        <v/>
      </c>
      <c r="BW30" s="55">
        <f>Calc_Financing_Ops!BW27</f>
        <v/>
      </c>
      <c r="BX30" s="55">
        <f>Calc_Financing_Ops!BX27</f>
        <v/>
      </c>
      <c r="BY30" s="55">
        <f>Calc_Financing_Ops!BY27</f>
        <v/>
      </c>
      <c r="BZ30" s="55">
        <f>Calc_Financing_Ops!BZ27</f>
        <v/>
      </c>
      <c r="CA30" s="55">
        <f>Calc_Financing_Ops!CA27</f>
        <v/>
      </c>
      <c r="CB30" s="55">
        <f>Calc_Financing_Ops!CB27</f>
        <v/>
      </c>
      <c r="CC30" s="55">
        <f>Calc_Financing_Ops!CC27</f>
        <v/>
      </c>
      <c r="CD30" s="55">
        <f>Calc_Financing_Ops!CD27</f>
        <v/>
      </c>
    </row>
    <row r="31">
      <c r="A31" t="inlineStr">
        <is>
          <t>MRA Balance ($) — restricted cash</t>
        </is>
      </c>
      <c r="C31" s="55">
        <f>Calc_CFADS!C13</f>
        <v/>
      </c>
      <c r="D31" s="55">
        <f>Calc_CFADS!D13</f>
        <v/>
      </c>
      <c r="E31" s="55">
        <f>Calc_CFADS!E13</f>
        <v/>
      </c>
      <c r="F31" s="55">
        <f>Calc_CFADS!F13</f>
        <v/>
      </c>
      <c r="G31" s="55">
        <f>Calc_CFADS!G13</f>
        <v/>
      </c>
      <c r="H31" s="55">
        <f>Calc_CFADS!H13</f>
        <v/>
      </c>
      <c r="I31" s="55">
        <f>Calc_CFADS!I13</f>
        <v/>
      </c>
      <c r="J31" s="55">
        <f>Calc_CFADS!J13</f>
        <v/>
      </c>
      <c r="K31" s="55">
        <f>Calc_CFADS!K13</f>
        <v/>
      </c>
      <c r="L31" s="55">
        <f>Calc_CFADS!L13</f>
        <v/>
      </c>
      <c r="M31" s="55">
        <f>Calc_CFADS!M13</f>
        <v/>
      </c>
      <c r="N31" s="55">
        <f>Calc_CFADS!N13</f>
        <v/>
      </c>
      <c r="O31" s="55">
        <f>Calc_CFADS!O13</f>
        <v/>
      </c>
      <c r="P31" s="55">
        <f>Calc_CFADS!P13</f>
        <v/>
      </c>
      <c r="Q31" s="55">
        <f>Calc_CFADS!Q13</f>
        <v/>
      </c>
      <c r="R31" s="55">
        <f>Calc_CFADS!R13</f>
        <v/>
      </c>
      <c r="S31" s="55">
        <f>Calc_CFADS!S13</f>
        <v/>
      </c>
      <c r="T31" s="55">
        <f>Calc_CFADS!T13</f>
        <v/>
      </c>
      <c r="U31" s="55">
        <f>Calc_CFADS!U13</f>
        <v/>
      </c>
      <c r="V31" s="55">
        <f>Calc_CFADS!V13</f>
        <v/>
      </c>
      <c r="W31" s="55">
        <f>Calc_CFADS!W13</f>
        <v/>
      </c>
      <c r="X31" s="55">
        <f>Calc_CFADS!X13</f>
        <v/>
      </c>
      <c r="Y31" s="55">
        <f>Calc_CFADS!Y13</f>
        <v/>
      </c>
      <c r="Z31" s="55">
        <f>Calc_CFADS!Z13</f>
        <v/>
      </c>
      <c r="AA31" s="55">
        <f>Calc_CFADS!AA13</f>
        <v/>
      </c>
      <c r="AB31" s="55">
        <f>Calc_CFADS!AB13</f>
        <v/>
      </c>
      <c r="AC31" s="55">
        <f>Calc_CFADS!AC13</f>
        <v/>
      </c>
      <c r="AD31" s="55">
        <f>Calc_CFADS!AD13</f>
        <v/>
      </c>
      <c r="AE31" s="55">
        <f>Calc_CFADS!AE13</f>
        <v/>
      </c>
      <c r="AF31" s="55">
        <f>Calc_CFADS!AF13</f>
        <v/>
      </c>
      <c r="AG31" s="55">
        <f>Calc_CFADS!AG13</f>
        <v/>
      </c>
      <c r="AH31" s="55">
        <f>Calc_CFADS!AH13</f>
        <v/>
      </c>
      <c r="AI31" s="55">
        <f>Calc_CFADS!AI13</f>
        <v/>
      </c>
      <c r="AJ31" s="55">
        <f>Calc_CFADS!AJ13</f>
        <v/>
      </c>
      <c r="AK31" s="55">
        <f>Calc_CFADS!AK13</f>
        <v/>
      </c>
      <c r="AL31" s="55">
        <f>Calc_CFADS!AL13</f>
        <v/>
      </c>
      <c r="AM31" s="55">
        <f>Calc_CFADS!AM13</f>
        <v/>
      </c>
      <c r="AN31" s="55">
        <f>Calc_CFADS!AN13</f>
        <v/>
      </c>
      <c r="AO31" s="55">
        <f>Calc_CFADS!AO13</f>
        <v/>
      </c>
      <c r="AP31" s="55">
        <f>Calc_CFADS!AP13</f>
        <v/>
      </c>
      <c r="AQ31" s="55">
        <f>Calc_CFADS!AQ13</f>
        <v/>
      </c>
      <c r="AR31" s="55">
        <f>Calc_CFADS!AR13</f>
        <v/>
      </c>
      <c r="AS31" s="55">
        <f>Calc_CFADS!AS13</f>
        <v/>
      </c>
      <c r="AT31" s="55">
        <f>Calc_CFADS!AT13</f>
        <v/>
      </c>
      <c r="AU31" s="55">
        <f>Calc_CFADS!AU13</f>
        <v/>
      </c>
      <c r="AV31" s="55">
        <f>Calc_CFADS!AV13</f>
        <v/>
      </c>
      <c r="AW31" s="55">
        <f>Calc_CFADS!AW13</f>
        <v/>
      </c>
      <c r="AX31" s="55">
        <f>Calc_CFADS!AX13</f>
        <v/>
      </c>
      <c r="AY31" s="55">
        <f>Calc_CFADS!AY13</f>
        <v/>
      </c>
      <c r="AZ31" s="55">
        <f>Calc_CFADS!AZ13</f>
        <v/>
      </c>
      <c r="BA31" s="55">
        <f>Calc_CFADS!BA13</f>
        <v/>
      </c>
      <c r="BB31" s="55">
        <f>Calc_CFADS!BB13</f>
        <v/>
      </c>
      <c r="BC31" s="55">
        <f>Calc_CFADS!BC13</f>
        <v/>
      </c>
      <c r="BD31" s="55">
        <f>Calc_CFADS!BD13</f>
        <v/>
      </c>
      <c r="BE31" s="55">
        <f>Calc_CFADS!BE13</f>
        <v/>
      </c>
      <c r="BF31" s="55">
        <f>Calc_CFADS!BF13</f>
        <v/>
      </c>
      <c r="BG31" s="55">
        <f>Calc_CFADS!BG13</f>
        <v/>
      </c>
      <c r="BH31" s="55">
        <f>Calc_CFADS!BH13</f>
        <v/>
      </c>
      <c r="BI31" s="55">
        <f>Calc_CFADS!BI13</f>
        <v/>
      </c>
      <c r="BJ31" s="55">
        <f>Calc_CFADS!BJ13</f>
        <v/>
      </c>
      <c r="BK31" s="55">
        <f>Calc_CFADS!BK13</f>
        <v/>
      </c>
      <c r="BL31" s="55">
        <f>Calc_CFADS!BL13</f>
        <v/>
      </c>
      <c r="BM31" s="55">
        <f>Calc_CFADS!BM13</f>
        <v/>
      </c>
      <c r="BN31" s="55">
        <f>Calc_CFADS!BN13</f>
        <v/>
      </c>
      <c r="BO31" s="55">
        <f>Calc_CFADS!BO13</f>
        <v/>
      </c>
      <c r="BP31" s="55">
        <f>Calc_CFADS!BP13</f>
        <v/>
      </c>
      <c r="BQ31" s="55">
        <f>Calc_CFADS!BQ13</f>
        <v/>
      </c>
      <c r="BR31" s="55">
        <f>Calc_CFADS!BR13</f>
        <v/>
      </c>
      <c r="BS31" s="55">
        <f>Calc_CFADS!BS13</f>
        <v/>
      </c>
      <c r="BT31" s="55">
        <f>Calc_CFADS!BT13</f>
        <v/>
      </c>
      <c r="BU31" s="55">
        <f>Calc_CFADS!BU13</f>
        <v/>
      </c>
      <c r="BV31" s="55">
        <f>Calc_CFADS!BV13</f>
        <v/>
      </c>
      <c r="BW31" s="55">
        <f>Calc_CFADS!BW13</f>
        <v/>
      </c>
      <c r="BX31" s="55">
        <f>Calc_CFADS!BX13</f>
        <v/>
      </c>
      <c r="BY31" s="55">
        <f>Calc_CFADS!BY13</f>
        <v/>
      </c>
      <c r="BZ31" s="55">
        <f>Calc_CFADS!BZ13</f>
        <v/>
      </c>
      <c r="CA31" s="55">
        <f>Calc_CFADS!CA13</f>
        <v/>
      </c>
      <c r="CB31" s="55">
        <f>Calc_CFADS!CB13</f>
        <v/>
      </c>
      <c r="CC31" s="55">
        <f>Calc_CFADS!CC13</f>
        <v/>
      </c>
      <c r="CD31" s="55">
        <f>Calc_CFADS!CD13</f>
        <v/>
      </c>
    </row>
    <row r="32">
      <c r="A32" t="inlineStr">
        <is>
          <t>PP&amp;E, Net ($)</t>
        </is>
      </c>
      <c r="C32" s="64">
        <f>Calc_Capex!$Z$17-C19-C8</f>
        <v/>
      </c>
      <c r="D32" s="64">
        <f>C32-D19-D8</f>
        <v/>
      </c>
      <c r="E32" s="64">
        <f>D32-E19-E8</f>
        <v/>
      </c>
      <c r="F32" s="64">
        <f>E32-F19-F8</f>
        <v/>
      </c>
      <c r="G32" s="64">
        <f>F32-G19-G8</f>
        <v/>
      </c>
      <c r="H32" s="64">
        <f>G32-H19-H8</f>
        <v/>
      </c>
      <c r="I32" s="64">
        <f>H32-I19-I8</f>
        <v/>
      </c>
      <c r="J32" s="64">
        <f>I32-J19-J8</f>
        <v/>
      </c>
      <c r="K32" s="64">
        <f>J32-K19-K8</f>
        <v/>
      </c>
      <c r="L32" s="64">
        <f>K32-L19-L8</f>
        <v/>
      </c>
      <c r="M32" s="64">
        <f>L32-M19-M8</f>
        <v/>
      </c>
      <c r="N32" s="64">
        <f>M32-N19-N8</f>
        <v/>
      </c>
      <c r="O32" s="64">
        <f>N32-O19-O8</f>
        <v/>
      </c>
      <c r="P32" s="64">
        <f>O32-P19-P8</f>
        <v/>
      </c>
      <c r="Q32" s="64">
        <f>P32-Q19-Q8</f>
        <v/>
      </c>
      <c r="R32" s="64">
        <f>Q32-R19-R8</f>
        <v/>
      </c>
      <c r="S32" s="64">
        <f>R32-S19-S8</f>
        <v/>
      </c>
      <c r="T32" s="64">
        <f>S32-T19-T8</f>
        <v/>
      </c>
      <c r="U32" s="64">
        <f>T32-U19-U8</f>
        <v/>
      </c>
      <c r="V32" s="64">
        <f>U32-V19-V8</f>
        <v/>
      </c>
      <c r="W32" s="64">
        <f>V32-W19-W8</f>
        <v/>
      </c>
      <c r="X32" s="64">
        <f>W32-X19-X8</f>
        <v/>
      </c>
      <c r="Y32" s="64">
        <f>X32-Y19-Y8</f>
        <v/>
      </c>
      <c r="Z32" s="64">
        <f>Y32-Z19-Z8</f>
        <v/>
      </c>
      <c r="AA32" s="64">
        <f>Z32-AA19-AA8</f>
        <v/>
      </c>
      <c r="AB32" s="64">
        <f>AA32-AB19-AB8</f>
        <v/>
      </c>
      <c r="AC32" s="64">
        <f>AB32-AC19-AC8</f>
        <v/>
      </c>
      <c r="AD32" s="64">
        <f>AC32-AD19-AD8</f>
        <v/>
      </c>
      <c r="AE32" s="64">
        <f>AD32-AE19-AE8</f>
        <v/>
      </c>
      <c r="AF32" s="64">
        <f>AE32-AF19-AF8</f>
        <v/>
      </c>
      <c r="AG32" s="64">
        <f>AF32-AG19-AG8</f>
        <v/>
      </c>
      <c r="AH32" s="64">
        <f>AG32-AH19-AH8</f>
        <v/>
      </c>
      <c r="AI32" s="64">
        <f>AH32-AI19-AI8</f>
        <v/>
      </c>
      <c r="AJ32" s="64">
        <f>AI32-AJ19-AJ8</f>
        <v/>
      </c>
      <c r="AK32" s="64">
        <f>AJ32-AK19-AK8</f>
        <v/>
      </c>
      <c r="AL32" s="64">
        <f>AK32-AL19-AL8</f>
        <v/>
      </c>
      <c r="AM32" s="64">
        <f>AL32-AM19-AM8</f>
        <v/>
      </c>
      <c r="AN32" s="64">
        <f>AM32-AN19-AN8</f>
        <v/>
      </c>
      <c r="AO32" s="64">
        <f>AN32-AO19-AO8</f>
        <v/>
      </c>
      <c r="AP32" s="64">
        <f>AO32-AP19-AP8</f>
        <v/>
      </c>
      <c r="AQ32" s="64">
        <f>AP32-AQ19-AQ8</f>
        <v/>
      </c>
      <c r="AR32" s="64">
        <f>AQ32-AR19-AR8</f>
        <v/>
      </c>
      <c r="AS32" s="64">
        <f>AR32-AS19-AS8</f>
        <v/>
      </c>
      <c r="AT32" s="64">
        <f>AS32-AT19-AT8</f>
        <v/>
      </c>
      <c r="AU32" s="64">
        <f>AT32-AU19-AU8</f>
        <v/>
      </c>
      <c r="AV32" s="64">
        <f>AU32-AV19-AV8</f>
        <v/>
      </c>
      <c r="AW32" s="64">
        <f>AV32-AW19-AW8</f>
        <v/>
      </c>
      <c r="AX32" s="64">
        <f>AW32-AX19-AX8</f>
        <v/>
      </c>
      <c r="AY32" s="64">
        <f>AX32-AY19-AY8</f>
        <v/>
      </c>
      <c r="AZ32" s="64">
        <f>AY32-AZ19-AZ8</f>
        <v/>
      </c>
      <c r="BA32" s="64">
        <f>AZ32-BA19-BA8</f>
        <v/>
      </c>
      <c r="BB32" s="64">
        <f>BA32-BB19-BB8</f>
        <v/>
      </c>
      <c r="BC32" s="64">
        <f>BB32-BC19-BC8</f>
        <v/>
      </c>
      <c r="BD32" s="64">
        <f>BC32-BD19-BD8</f>
        <v/>
      </c>
      <c r="BE32" s="64">
        <f>BD32-BE19-BE8</f>
        <v/>
      </c>
      <c r="BF32" s="64">
        <f>BE32-BF19-BF8</f>
        <v/>
      </c>
      <c r="BG32" s="64">
        <f>BF32-BG19-BG8</f>
        <v/>
      </c>
      <c r="BH32" s="64">
        <f>BG32-BH19-BH8</f>
        <v/>
      </c>
      <c r="BI32" s="64">
        <f>BH32-BI19-BI8</f>
        <v/>
      </c>
      <c r="BJ32" s="64">
        <f>BI32-BJ19-BJ8</f>
        <v/>
      </c>
      <c r="BK32" s="64">
        <f>BJ32-BK19-BK8</f>
        <v/>
      </c>
      <c r="BL32" s="64">
        <f>BK32-BL19-BL8</f>
        <v/>
      </c>
      <c r="BM32" s="64">
        <f>BL32-BM19-BM8</f>
        <v/>
      </c>
      <c r="BN32" s="64">
        <f>BM32-BN19-BN8</f>
        <v/>
      </c>
      <c r="BO32" s="64">
        <f>BN32-BO19-BO8</f>
        <v/>
      </c>
      <c r="BP32" s="64">
        <f>BO32-BP19-BP8</f>
        <v/>
      </c>
      <c r="BQ32" s="64">
        <f>BP32-BQ19-BQ8</f>
        <v/>
      </c>
      <c r="BR32" s="64">
        <f>BQ32-BR19-BR8</f>
        <v/>
      </c>
      <c r="BS32" s="64">
        <f>BR32-BS19-BS8</f>
        <v/>
      </c>
      <c r="BT32" s="64">
        <f>BS32-BT19-BT8</f>
        <v/>
      </c>
      <c r="BU32" s="64">
        <f>BT32-BU19-BU8</f>
        <v/>
      </c>
      <c r="BV32" s="64">
        <f>BU32-BV19-BV8</f>
        <v/>
      </c>
      <c r="BW32" s="64">
        <f>BV32-BW19-BW8</f>
        <v/>
      </c>
      <c r="BX32" s="64">
        <f>BW32-BX19-BX8</f>
        <v/>
      </c>
      <c r="BY32" s="64">
        <f>BX32-BY19-BY8</f>
        <v/>
      </c>
      <c r="BZ32" s="64">
        <f>BY32-BZ19-BZ8</f>
        <v/>
      </c>
      <c r="CA32" s="64">
        <f>BZ32-CA19-CA8</f>
        <v/>
      </c>
      <c r="CB32" s="64">
        <f>CA32-CB19-CB8</f>
        <v/>
      </c>
      <c r="CC32" s="64">
        <f>CB32-CC19-CC8</f>
        <v/>
      </c>
      <c r="CD32" s="64">
        <f>CC32-CD19-CD8</f>
        <v/>
      </c>
    </row>
    <row r="33">
      <c r="A33" t="inlineStr">
        <is>
          <t>Total Assets ($)</t>
        </is>
      </c>
      <c r="C33" s="64">
        <f>C29+C30+C31+C32</f>
        <v/>
      </c>
      <c r="D33" s="64">
        <f>D29+D30+D31+D32</f>
        <v/>
      </c>
      <c r="E33" s="64">
        <f>E29+E30+E31+E32</f>
        <v/>
      </c>
      <c r="F33" s="64">
        <f>F29+F30+F31+F32</f>
        <v/>
      </c>
      <c r="G33" s="64">
        <f>G29+G30+G31+G32</f>
        <v/>
      </c>
      <c r="H33" s="64">
        <f>H29+H30+H31+H32</f>
        <v/>
      </c>
      <c r="I33" s="64">
        <f>I29+I30+I31+I32</f>
        <v/>
      </c>
      <c r="J33" s="64">
        <f>J29+J30+J31+J32</f>
        <v/>
      </c>
      <c r="K33" s="64">
        <f>K29+K30+K31+K32</f>
        <v/>
      </c>
      <c r="L33" s="64">
        <f>L29+L30+L31+L32</f>
        <v/>
      </c>
      <c r="M33" s="64">
        <f>M29+M30+M31+M32</f>
        <v/>
      </c>
      <c r="N33" s="64">
        <f>N29+N30+N31+N32</f>
        <v/>
      </c>
      <c r="O33" s="64">
        <f>O29+O30+O31+O32</f>
        <v/>
      </c>
      <c r="P33" s="64">
        <f>P29+P30+P31+P32</f>
        <v/>
      </c>
      <c r="Q33" s="64">
        <f>Q29+Q30+Q31+Q32</f>
        <v/>
      </c>
      <c r="R33" s="64">
        <f>R29+R30+R31+R32</f>
        <v/>
      </c>
      <c r="S33" s="64">
        <f>S29+S30+S31+S32</f>
        <v/>
      </c>
      <c r="T33" s="64">
        <f>T29+T30+T31+T32</f>
        <v/>
      </c>
      <c r="U33" s="64">
        <f>U29+U30+U31+U32</f>
        <v/>
      </c>
      <c r="V33" s="64">
        <f>V29+V30+V31+V32</f>
        <v/>
      </c>
      <c r="W33" s="64">
        <f>W29+W30+W31+W32</f>
        <v/>
      </c>
      <c r="X33" s="64">
        <f>X29+X30+X31+X32</f>
        <v/>
      </c>
      <c r="Y33" s="64">
        <f>Y29+Y30+Y31+Y32</f>
        <v/>
      </c>
      <c r="Z33" s="64">
        <f>Z29+Z30+Z31+Z32</f>
        <v/>
      </c>
      <c r="AA33" s="64">
        <f>AA29+AA30+AA31+AA32</f>
        <v/>
      </c>
      <c r="AB33" s="64">
        <f>AB29+AB30+AB31+AB32</f>
        <v/>
      </c>
      <c r="AC33" s="64">
        <f>AC29+AC30+AC31+AC32</f>
        <v/>
      </c>
      <c r="AD33" s="64">
        <f>AD29+AD30+AD31+AD32</f>
        <v/>
      </c>
      <c r="AE33" s="64">
        <f>AE29+AE30+AE31+AE32</f>
        <v/>
      </c>
      <c r="AF33" s="64">
        <f>AF29+AF30+AF31+AF32</f>
        <v/>
      </c>
      <c r="AG33" s="64">
        <f>AG29+AG30+AG31+AG32</f>
        <v/>
      </c>
      <c r="AH33" s="64">
        <f>AH29+AH30+AH31+AH32</f>
        <v/>
      </c>
      <c r="AI33" s="64">
        <f>AI29+AI30+AI31+AI32</f>
        <v/>
      </c>
      <c r="AJ33" s="64">
        <f>AJ29+AJ30+AJ31+AJ32</f>
        <v/>
      </c>
      <c r="AK33" s="64">
        <f>AK29+AK30+AK31+AK32</f>
        <v/>
      </c>
      <c r="AL33" s="64">
        <f>AL29+AL30+AL31+AL32</f>
        <v/>
      </c>
      <c r="AM33" s="64">
        <f>AM29+AM30+AM31+AM32</f>
        <v/>
      </c>
      <c r="AN33" s="64">
        <f>AN29+AN30+AN31+AN32</f>
        <v/>
      </c>
      <c r="AO33" s="64">
        <f>AO29+AO30+AO31+AO32</f>
        <v/>
      </c>
      <c r="AP33" s="64">
        <f>AP29+AP30+AP31+AP32</f>
        <v/>
      </c>
      <c r="AQ33" s="64">
        <f>AQ29+AQ30+AQ31+AQ32</f>
        <v/>
      </c>
      <c r="AR33" s="64">
        <f>AR29+AR30+AR31+AR32</f>
        <v/>
      </c>
      <c r="AS33" s="64">
        <f>AS29+AS30+AS31+AS32</f>
        <v/>
      </c>
      <c r="AT33" s="64">
        <f>AT29+AT30+AT31+AT32</f>
        <v/>
      </c>
      <c r="AU33" s="64">
        <f>AU29+AU30+AU31+AU32</f>
        <v/>
      </c>
      <c r="AV33" s="64">
        <f>AV29+AV30+AV31+AV32</f>
        <v/>
      </c>
      <c r="AW33" s="64">
        <f>AW29+AW30+AW31+AW32</f>
        <v/>
      </c>
      <c r="AX33" s="64">
        <f>AX29+AX30+AX31+AX32</f>
        <v/>
      </c>
      <c r="AY33" s="64">
        <f>AY29+AY30+AY31+AY32</f>
        <v/>
      </c>
      <c r="AZ33" s="64">
        <f>AZ29+AZ30+AZ31+AZ32</f>
        <v/>
      </c>
      <c r="BA33" s="64">
        <f>BA29+BA30+BA31+BA32</f>
        <v/>
      </c>
      <c r="BB33" s="64">
        <f>BB29+BB30+BB31+BB32</f>
        <v/>
      </c>
      <c r="BC33" s="64">
        <f>BC29+BC30+BC31+BC32</f>
        <v/>
      </c>
      <c r="BD33" s="64">
        <f>BD29+BD30+BD31+BD32</f>
        <v/>
      </c>
      <c r="BE33" s="64">
        <f>BE29+BE30+BE31+BE32</f>
        <v/>
      </c>
      <c r="BF33" s="64">
        <f>BF29+BF30+BF31+BF32</f>
        <v/>
      </c>
      <c r="BG33" s="64">
        <f>BG29+BG30+BG31+BG32</f>
        <v/>
      </c>
      <c r="BH33" s="64">
        <f>BH29+BH30+BH31+BH32</f>
        <v/>
      </c>
      <c r="BI33" s="64">
        <f>BI29+BI30+BI31+BI32</f>
        <v/>
      </c>
      <c r="BJ33" s="64">
        <f>BJ29+BJ30+BJ31+BJ32</f>
        <v/>
      </c>
      <c r="BK33" s="64">
        <f>BK29+BK30+BK31+BK32</f>
        <v/>
      </c>
      <c r="BL33" s="64">
        <f>BL29+BL30+BL31+BL32</f>
        <v/>
      </c>
      <c r="BM33" s="64">
        <f>BM29+BM30+BM31+BM32</f>
        <v/>
      </c>
      <c r="BN33" s="64">
        <f>BN29+BN30+BN31+BN32</f>
        <v/>
      </c>
      <c r="BO33" s="64">
        <f>BO29+BO30+BO31+BO32</f>
        <v/>
      </c>
      <c r="BP33" s="64">
        <f>BP29+BP30+BP31+BP32</f>
        <v/>
      </c>
      <c r="BQ33" s="64">
        <f>BQ29+BQ30+BQ31+BQ32</f>
        <v/>
      </c>
      <c r="BR33" s="64">
        <f>BR29+BR30+BR31+BR32</f>
        <v/>
      </c>
      <c r="BS33" s="64">
        <f>BS29+BS30+BS31+BS32</f>
        <v/>
      </c>
      <c r="BT33" s="64">
        <f>BT29+BT30+BT31+BT32</f>
        <v/>
      </c>
      <c r="BU33" s="64">
        <f>BU29+BU30+BU31+BU32</f>
        <v/>
      </c>
      <c r="BV33" s="64">
        <f>BV29+BV30+BV31+BV32</f>
        <v/>
      </c>
      <c r="BW33" s="64">
        <f>BW29+BW30+BW31+BW32</f>
        <v/>
      </c>
      <c r="BX33" s="64">
        <f>BX29+BX30+BX31+BX32</f>
        <v/>
      </c>
      <c r="BY33" s="64">
        <f>BY29+BY30+BY31+BY32</f>
        <v/>
      </c>
      <c r="BZ33" s="64">
        <f>BZ29+BZ30+BZ31+BZ32</f>
        <v/>
      </c>
      <c r="CA33" s="64">
        <f>CA29+CA30+CA31+CA32</f>
        <v/>
      </c>
      <c r="CB33" s="64">
        <f>CB29+CB30+CB31+CB32</f>
        <v/>
      </c>
      <c r="CC33" s="64">
        <f>CC29+CC30+CC31+CC32</f>
        <v/>
      </c>
      <c r="CD33" s="64">
        <f>CD29+CD30+CD31+CD32</f>
        <v/>
      </c>
    </row>
    <row r="34">
      <c r="A34" t="inlineStr">
        <is>
          <t>Debt ($)</t>
        </is>
      </c>
      <c r="C34" s="55">
        <f>Calc_Financing_Ops!C23</f>
        <v/>
      </c>
      <c r="D34" s="55">
        <f>Calc_Financing_Ops!D23</f>
        <v/>
      </c>
      <c r="E34" s="55">
        <f>Calc_Financing_Ops!E23</f>
        <v/>
      </c>
      <c r="F34" s="55">
        <f>Calc_Financing_Ops!F23</f>
        <v/>
      </c>
      <c r="G34" s="55">
        <f>Calc_Financing_Ops!G23</f>
        <v/>
      </c>
      <c r="H34" s="55">
        <f>Calc_Financing_Ops!H23</f>
        <v/>
      </c>
      <c r="I34" s="55">
        <f>Calc_Financing_Ops!I23</f>
        <v/>
      </c>
      <c r="J34" s="55">
        <f>Calc_Financing_Ops!J23</f>
        <v/>
      </c>
      <c r="K34" s="55">
        <f>Calc_Financing_Ops!K23</f>
        <v/>
      </c>
      <c r="L34" s="55">
        <f>Calc_Financing_Ops!L23</f>
        <v/>
      </c>
      <c r="M34" s="55">
        <f>Calc_Financing_Ops!M23</f>
        <v/>
      </c>
      <c r="N34" s="55">
        <f>Calc_Financing_Ops!N23</f>
        <v/>
      </c>
      <c r="O34" s="55">
        <f>Calc_Financing_Ops!O23</f>
        <v/>
      </c>
      <c r="P34" s="55">
        <f>Calc_Financing_Ops!P23</f>
        <v/>
      </c>
      <c r="Q34" s="55">
        <f>Calc_Financing_Ops!Q23</f>
        <v/>
      </c>
      <c r="R34" s="55">
        <f>Calc_Financing_Ops!R23</f>
        <v/>
      </c>
      <c r="S34" s="55">
        <f>Calc_Financing_Ops!S23</f>
        <v/>
      </c>
      <c r="T34" s="55">
        <f>Calc_Financing_Ops!T23</f>
        <v/>
      </c>
      <c r="U34" s="55">
        <f>Calc_Financing_Ops!U23</f>
        <v/>
      </c>
      <c r="V34" s="55">
        <f>Calc_Financing_Ops!V23</f>
        <v/>
      </c>
      <c r="W34" s="55">
        <f>Calc_Financing_Ops!W23</f>
        <v/>
      </c>
      <c r="X34" s="55">
        <f>Calc_Financing_Ops!X23</f>
        <v/>
      </c>
      <c r="Y34" s="55">
        <f>Calc_Financing_Ops!Y23</f>
        <v/>
      </c>
      <c r="Z34" s="55">
        <f>Calc_Financing_Ops!Z23</f>
        <v/>
      </c>
      <c r="AA34" s="55">
        <f>Calc_Financing_Ops!AA23</f>
        <v/>
      </c>
      <c r="AB34" s="55">
        <f>Calc_Financing_Ops!AB23</f>
        <v/>
      </c>
      <c r="AC34" s="55">
        <f>Calc_Financing_Ops!AC23</f>
        <v/>
      </c>
      <c r="AD34" s="55">
        <f>Calc_Financing_Ops!AD23</f>
        <v/>
      </c>
      <c r="AE34" s="55">
        <f>Calc_Financing_Ops!AE23</f>
        <v/>
      </c>
      <c r="AF34" s="55">
        <f>Calc_Financing_Ops!AF23</f>
        <v/>
      </c>
      <c r="AG34" s="55">
        <f>Calc_Financing_Ops!AG23</f>
        <v/>
      </c>
      <c r="AH34" s="55">
        <f>Calc_Financing_Ops!AH23</f>
        <v/>
      </c>
      <c r="AI34" s="55">
        <f>Calc_Financing_Ops!AI23</f>
        <v/>
      </c>
      <c r="AJ34" s="55">
        <f>Calc_Financing_Ops!AJ23</f>
        <v/>
      </c>
      <c r="AK34" s="55">
        <f>Calc_Financing_Ops!AK23</f>
        <v/>
      </c>
      <c r="AL34" s="55">
        <f>Calc_Financing_Ops!AL23</f>
        <v/>
      </c>
      <c r="AM34" s="55">
        <f>Calc_Financing_Ops!AM23</f>
        <v/>
      </c>
      <c r="AN34" s="55">
        <f>Calc_Financing_Ops!AN23</f>
        <v/>
      </c>
      <c r="AO34" s="55">
        <f>Calc_Financing_Ops!AO23</f>
        <v/>
      </c>
      <c r="AP34" s="55">
        <f>Calc_Financing_Ops!AP23</f>
        <v/>
      </c>
      <c r="AQ34" s="55">
        <f>Calc_Financing_Ops!AQ23</f>
        <v/>
      </c>
      <c r="AR34" s="55">
        <f>Calc_Financing_Ops!AR23</f>
        <v/>
      </c>
      <c r="AS34" s="55">
        <f>Calc_Financing_Ops!AS23</f>
        <v/>
      </c>
      <c r="AT34" s="55">
        <f>Calc_Financing_Ops!AT23</f>
        <v/>
      </c>
      <c r="AU34" s="55">
        <f>Calc_Financing_Ops!AU23</f>
        <v/>
      </c>
      <c r="AV34" s="55">
        <f>Calc_Financing_Ops!AV23</f>
        <v/>
      </c>
      <c r="AW34" s="55">
        <f>Calc_Financing_Ops!AW23</f>
        <v/>
      </c>
      <c r="AX34" s="55">
        <f>Calc_Financing_Ops!AX23</f>
        <v/>
      </c>
      <c r="AY34" s="55">
        <f>Calc_Financing_Ops!AY23</f>
        <v/>
      </c>
      <c r="AZ34" s="55">
        <f>Calc_Financing_Ops!AZ23</f>
        <v/>
      </c>
      <c r="BA34" s="55">
        <f>Calc_Financing_Ops!BA23</f>
        <v/>
      </c>
      <c r="BB34" s="55">
        <f>Calc_Financing_Ops!BB23</f>
        <v/>
      </c>
      <c r="BC34" s="55">
        <f>Calc_Financing_Ops!BC23</f>
        <v/>
      </c>
      <c r="BD34" s="55">
        <f>Calc_Financing_Ops!BD23</f>
        <v/>
      </c>
      <c r="BE34" s="55">
        <f>Calc_Financing_Ops!BE23</f>
        <v/>
      </c>
      <c r="BF34" s="55">
        <f>Calc_Financing_Ops!BF23</f>
        <v/>
      </c>
      <c r="BG34" s="55">
        <f>Calc_Financing_Ops!BG23</f>
        <v/>
      </c>
      <c r="BH34" s="55">
        <f>Calc_Financing_Ops!BH23</f>
        <v/>
      </c>
      <c r="BI34" s="55">
        <f>Calc_Financing_Ops!BI23</f>
        <v/>
      </c>
      <c r="BJ34" s="55">
        <f>Calc_Financing_Ops!BJ23</f>
        <v/>
      </c>
      <c r="BK34" s="55">
        <f>Calc_Financing_Ops!BK23</f>
        <v/>
      </c>
      <c r="BL34" s="55">
        <f>Calc_Financing_Ops!BL23</f>
        <v/>
      </c>
      <c r="BM34" s="55">
        <f>Calc_Financing_Ops!BM23</f>
        <v/>
      </c>
      <c r="BN34" s="55">
        <f>Calc_Financing_Ops!BN23</f>
        <v/>
      </c>
      <c r="BO34" s="55">
        <f>Calc_Financing_Ops!BO23</f>
        <v/>
      </c>
      <c r="BP34" s="55">
        <f>Calc_Financing_Ops!BP23</f>
        <v/>
      </c>
      <c r="BQ34" s="55">
        <f>Calc_Financing_Ops!BQ23</f>
        <v/>
      </c>
      <c r="BR34" s="55">
        <f>Calc_Financing_Ops!BR23</f>
        <v/>
      </c>
      <c r="BS34" s="55">
        <f>Calc_Financing_Ops!BS23</f>
        <v/>
      </c>
      <c r="BT34" s="55">
        <f>Calc_Financing_Ops!BT23</f>
        <v/>
      </c>
      <c r="BU34" s="55">
        <f>Calc_Financing_Ops!BU23</f>
        <v/>
      </c>
      <c r="BV34" s="55">
        <f>Calc_Financing_Ops!BV23</f>
        <v/>
      </c>
      <c r="BW34" s="55">
        <f>Calc_Financing_Ops!BW23</f>
        <v/>
      </c>
      <c r="BX34" s="55">
        <f>Calc_Financing_Ops!BX23</f>
        <v/>
      </c>
      <c r="BY34" s="55">
        <f>Calc_Financing_Ops!BY23</f>
        <v/>
      </c>
      <c r="BZ34" s="55">
        <f>Calc_Financing_Ops!BZ23</f>
        <v/>
      </c>
      <c r="CA34" s="55">
        <f>Calc_Financing_Ops!CA23</f>
        <v/>
      </c>
      <c r="CB34" s="55">
        <f>Calc_Financing_Ops!CB23</f>
        <v/>
      </c>
      <c r="CC34" s="55">
        <f>Calc_Financing_Ops!CC23</f>
        <v/>
      </c>
      <c r="CD34" s="55">
        <f>Calc_Financing_Ops!CD23</f>
        <v/>
      </c>
    </row>
    <row r="35">
      <c r="A35" t="inlineStr">
        <is>
          <t>Paid-in Capital ($)</t>
        </is>
      </c>
      <c r="C35" s="55">
        <f>Calc_Capex!$Z$13</f>
        <v/>
      </c>
      <c r="D35" s="55">
        <f>Calc_Capex!$Z$13</f>
        <v/>
      </c>
      <c r="E35" s="55">
        <f>Calc_Capex!$Z$13</f>
        <v/>
      </c>
      <c r="F35" s="55">
        <f>Calc_Capex!$Z$13</f>
        <v/>
      </c>
      <c r="G35" s="55">
        <f>Calc_Capex!$Z$13</f>
        <v/>
      </c>
      <c r="H35" s="55">
        <f>Calc_Capex!$Z$13</f>
        <v/>
      </c>
      <c r="I35" s="55">
        <f>Calc_Capex!$Z$13</f>
        <v/>
      </c>
      <c r="J35" s="55">
        <f>Calc_Capex!$Z$13</f>
        <v/>
      </c>
      <c r="K35" s="55">
        <f>Calc_Capex!$Z$13</f>
        <v/>
      </c>
      <c r="L35" s="55">
        <f>Calc_Capex!$Z$13</f>
        <v/>
      </c>
      <c r="M35" s="55">
        <f>Calc_Capex!$Z$13</f>
        <v/>
      </c>
      <c r="N35" s="55">
        <f>Calc_Capex!$Z$13</f>
        <v/>
      </c>
      <c r="O35" s="55">
        <f>Calc_Capex!$Z$13</f>
        <v/>
      </c>
      <c r="P35" s="55">
        <f>Calc_Capex!$Z$13</f>
        <v/>
      </c>
      <c r="Q35" s="55">
        <f>Calc_Capex!$Z$13</f>
        <v/>
      </c>
      <c r="R35" s="55">
        <f>Calc_Capex!$Z$13</f>
        <v/>
      </c>
      <c r="S35" s="55">
        <f>Calc_Capex!$Z$13</f>
        <v/>
      </c>
      <c r="T35" s="55">
        <f>Calc_Capex!$Z$13</f>
        <v/>
      </c>
      <c r="U35" s="55">
        <f>Calc_Capex!$Z$13</f>
        <v/>
      </c>
      <c r="V35" s="55">
        <f>Calc_Capex!$Z$13</f>
        <v/>
      </c>
      <c r="W35" s="55">
        <f>Calc_Capex!$Z$13</f>
        <v/>
      </c>
      <c r="X35" s="55">
        <f>Calc_Capex!$Z$13</f>
        <v/>
      </c>
      <c r="Y35" s="55">
        <f>Calc_Capex!$Z$13</f>
        <v/>
      </c>
      <c r="Z35" s="55">
        <f>Calc_Capex!$Z$13</f>
        <v/>
      </c>
      <c r="AA35" s="55">
        <f>Calc_Capex!$Z$13</f>
        <v/>
      </c>
      <c r="AB35" s="55">
        <f>Calc_Capex!$Z$13</f>
        <v/>
      </c>
      <c r="AC35" s="55">
        <f>Calc_Capex!$Z$13</f>
        <v/>
      </c>
      <c r="AD35" s="55">
        <f>Calc_Capex!$Z$13</f>
        <v/>
      </c>
      <c r="AE35" s="55">
        <f>Calc_Capex!$Z$13</f>
        <v/>
      </c>
      <c r="AF35" s="55">
        <f>Calc_Capex!$Z$13</f>
        <v/>
      </c>
      <c r="AG35" s="55">
        <f>Calc_Capex!$Z$13</f>
        <v/>
      </c>
      <c r="AH35" s="55">
        <f>Calc_Capex!$Z$13</f>
        <v/>
      </c>
      <c r="AI35" s="55">
        <f>Calc_Capex!$Z$13</f>
        <v/>
      </c>
      <c r="AJ35" s="55">
        <f>Calc_Capex!$Z$13</f>
        <v/>
      </c>
      <c r="AK35" s="55">
        <f>Calc_Capex!$Z$13</f>
        <v/>
      </c>
      <c r="AL35" s="55">
        <f>Calc_Capex!$Z$13</f>
        <v/>
      </c>
      <c r="AM35" s="55">
        <f>Calc_Capex!$Z$13</f>
        <v/>
      </c>
      <c r="AN35" s="55">
        <f>Calc_Capex!$Z$13</f>
        <v/>
      </c>
      <c r="AO35" s="55">
        <f>Calc_Capex!$Z$13</f>
        <v/>
      </c>
      <c r="AP35" s="55">
        <f>Calc_Capex!$Z$13</f>
        <v/>
      </c>
      <c r="AQ35" s="55">
        <f>Calc_Capex!$Z$13</f>
        <v/>
      </c>
      <c r="AR35" s="55">
        <f>Calc_Capex!$Z$13</f>
        <v/>
      </c>
      <c r="AS35" s="55">
        <f>Calc_Capex!$Z$13</f>
        <v/>
      </c>
      <c r="AT35" s="55">
        <f>Calc_Capex!$Z$13</f>
        <v/>
      </c>
      <c r="AU35" s="55">
        <f>Calc_Capex!$Z$13</f>
        <v/>
      </c>
      <c r="AV35" s="55">
        <f>Calc_Capex!$Z$13</f>
        <v/>
      </c>
      <c r="AW35" s="55">
        <f>Calc_Capex!$Z$13</f>
        <v/>
      </c>
      <c r="AX35" s="55">
        <f>Calc_Capex!$Z$13</f>
        <v/>
      </c>
      <c r="AY35" s="55">
        <f>Calc_Capex!$Z$13</f>
        <v/>
      </c>
      <c r="AZ35" s="55">
        <f>Calc_Capex!$Z$13</f>
        <v/>
      </c>
      <c r="BA35" s="55">
        <f>Calc_Capex!$Z$13</f>
        <v/>
      </c>
      <c r="BB35" s="55">
        <f>Calc_Capex!$Z$13</f>
        <v/>
      </c>
      <c r="BC35" s="55">
        <f>Calc_Capex!$Z$13</f>
        <v/>
      </c>
      <c r="BD35" s="55">
        <f>Calc_Capex!$Z$13</f>
        <v/>
      </c>
      <c r="BE35" s="55">
        <f>Calc_Capex!$Z$13</f>
        <v/>
      </c>
      <c r="BF35" s="55">
        <f>Calc_Capex!$Z$13</f>
        <v/>
      </c>
      <c r="BG35" s="55">
        <f>Calc_Capex!$Z$13</f>
        <v/>
      </c>
      <c r="BH35" s="55">
        <f>Calc_Capex!$Z$13</f>
        <v/>
      </c>
      <c r="BI35" s="55">
        <f>Calc_Capex!$Z$13</f>
        <v/>
      </c>
      <c r="BJ35" s="55">
        <f>Calc_Capex!$Z$13</f>
        <v/>
      </c>
      <c r="BK35" s="55">
        <f>Calc_Capex!$Z$13</f>
        <v/>
      </c>
      <c r="BL35" s="55">
        <f>Calc_Capex!$Z$13</f>
        <v/>
      </c>
      <c r="BM35" s="55">
        <f>Calc_Capex!$Z$13</f>
        <v/>
      </c>
      <c r="BN35" s="55">
        <f>Calc_Capex!$Z$13</f>
        <v/>
      </c>
      <c r="BO35" s="55">
        <f>Calc_Capex!$Z$13</f>
        <v/>
      </c>
      <c r="BP35" s="55">
        <f>Calc_Capex!$Z$13</f>
        <v/>
      </c>
      <c r="BQ35" s="55">
        <f>Calc_Capex!$Z$13</f>
        <v/>
      </c>
      <c r="BR35" s="55">
        <f>Calc_Capex!$Z$13</f>
        <v/>
      </c>
      <c r="BS35" s="55">
        <f>Calc_Capex!$Z$13</f>
        <v/>
      </c>
      <c r="BT35" s="55">
        <f>Calc_Capex!$Z$13</f>
        <v/>
      </c>
      <c r="BU35" s="55">
        <f>Calc_Capex!$Z$13</f>
        <v/>
      </c>
      <c r="BV35" s="55">
        <f>Calc_Capex!$Z$13</f>
        <v/>
      </c>
      <c r="BW35" s="55">
        <f>Calc_Capex!$Z$13</f>
        <v/>
      </c>
      <c r="BX35" s="55">
        <f>Calc_Capex!$Z$13</f>
        <v/>
      </c>
      <c r="BY35" s="55">
        <f>Calc_Capex!$Z$13</f>
        <v/>
      </c>
      <c r="BZ35" s="55">
        <f>Calc_Capex!$Z$13</f>
        <v/>
      </c>
      <c r="CA35" s="55">
        <f>Calc_Capex!$Z$13</f>
        <v/>
      </c>
      <c r="CB35" s="55">
        <f>Calc_Capex!$Z$13</f>
        <v/>
      </c>
      <c r="CC35" s="55">
        <f>Calc_Capex!$Z$13</f>
        <v/>
      </c>
      <c r="CD35" s="55">
        <f>Calc_Capex!$Z$13</f>
        <v/>
      </c>
    </row>
    <row r="36">
      <c r="A36" t="inlineStr">
        <is>
          <t>Retained Earnings ($)</t>
        </is>
      </c>
      <c r="C36" s="64">
        <f>C14-C23</f>
        <v/>
      </c>
      <c r="D36" s="64">
        <f>C36+D14-D23</f>
        <v/>
      </c>
      <c r="E36" s="64">
        <f>D36+E14-E23</f>
        <v/>
      </c>
      <c r="F36" s="64">
        <f>E36+F14-F23</f>
        <v/>
      </c>
      <c r="G36" s="64">
        <f>F36+G14-G23</f>
        <v/>
      </c>
      <c r="H36" s="64">
        <f>G36+H14-H23</f>
        <v/>
      </c>
      <c r="I36" s="64">
        <f>H36+I14-I23</f>
        <v/>
      </c>
      <c r="J36" s="64">
        <f>I36+J14-J23</f>
        <v/>
      </c>
      <c r="K36" s="64">
        <f>J36+K14-K23</f>
        <v/>
      </c>
      <c r="L36" s="64">
        <f>K36+L14-L23</f>
        <v/>
      </c>
      <c r="M36" s="64">
        <f>L36+M14-M23</f>
        <v/>
      </c>
      <c r="N36" s="64">
        <f>M36+N14-N23</f>
        <v/>
      </c>
      <c r="O36" s="64">
        <f>N36+O14-O23</f>
        <v/>
      </c>
      <c r="P36" s="64">
        <f>O36+P14-P23</f>
        <v/>
      </c>
      <c r="Q36" s="64">
        <f>P36+Q14-Q23</f>
        <v/>
      </c>
      <c r="R36" s="64">
        <f>Q36+R14-R23</f>
        <v/>
      </c>
      <c r="S36" s="64">
        <f>R36+S14-S23</f>
        <v/>
      </c>
      <c r="T36" s="64">
        <f>S36+T14-T23</f>
        <v/>
      </c>
      <c r="U36" s="64">
        <f>T36+U14-U23</f>
        <v/>
      </c>
      <c r="V36" s="64">
        <f>U36+V14-V23</f>
        <v/>
      </c>
      <c r="W36" s="64">
        <f>V36+W14-W23</f>
        <v/>
      </c>
      <c r="X36" s="64">
        <f>W36+X14-X23</f>
        <v/>
      </c>
      <c r="Y36" s="64">
        <f>X36+Y14-Y23</f>
        <v/>
      </c>
      <c r="Z36" s="64">
        <f>Y36+Z14-Z23</f>
        <v/>
      </c>
      <c r="AA36" s="64">
        <f>Z36+AA14-AA23</f>
        <v/>
      </c>
      <c r="AB36" s="64">
        <f>AA36+AB14-AB23</f>
        <v/>
      </c>
      <c r="AC36" s="64">
        <f>AB36+AC14-AC23</f>
        <v/>
      </c>
      <c r="AD36" s="64">
        <f>AC36+AD14-AD23</f>
        <v/>
      </c>
      <c r="AE36" s="64">
        <f>AD36+AE14-AE23</f>
        <v/>
      </c>
      <c r="AF36" s="64">
        <f>AE36+AF14-AF23</f>
        <v/>
      </c>
      <c r="AG36" s="64">
        <f>AF36+AG14-AG23</f>
        <v/>
      </c>
      <c r="AH36" s="64">
        <f>AG36+AH14-AH23</f>
        <v/>
      </c>
      <c r="AI36" s="64">
        <f>AH36+AI14-AI23</f>
        <v/>
      </c>
      <c r="AJ36" s="64">
        <f>AI36+AJ14-AJ23</f>
        <v/>
      </c>
      <c r="AK36" s="64">
        <f>AJ36+AK14-AK23</f>
        <v/>
      </c>
      <c r="AL36" s="64">
        <f>AK36+AL14-AL23</f>
        <v/>
      </c>
      <c r="AM36" s="64">
        <f>AL36+AM14-AM23</f>
        <v/>
      </c>
      <c r="AN36" s="64">
        <f>AM36+AN14-AN23</f>
        <v/>
      </c>
      <c r="AO36" s="64">
        <f>AN36+AO14-AO23</f>
        <v/>
      </c>
      <c r="AP36" s="64">
        <f>AO36+AP14-AP23</f>
        <v/>
      </c>
      <c r="AQ36" s="64">
        <f>AP36+AQ14-AQ23</f>
        <v/>
      </c>
      <c r="AR36" s="64">
        <f>AQ36+AR14-AR23</f>
        <v/>
      </c>
      <c r="AS36" s="64">
        <f>AR36+AS14-AS23</f>
        <v/>
      </c>
      <c r="AT36" s="64">
        <f>AS36+AT14-AT23</f>
        <v/>
      </c>
      <c r="AU36" s="64">
        <f>AT36+AU14-AU23</f>
        <v/>
      </c>
      <c r="AV36" s="64">
        <f>AU36+AV14-AV23</f>
        <v/>
      </c>
      <c r="AW36" s="64">
        <f>AV36+AW14-AW23</f>
        <v/>
      </c>
      <c r="AX36" s="64">
        <f>AW36+AX14-AX23</f>
        <v/>
      </c>
      <c r="AY36" s="64">
        <f>AX36+AY14-AY23</f>
        <v/>
      </c>
      <c r="AZ36" s="64">
        <f>AY36+AZ14-AZ23</f>
        <v/>
      </c>
      <c r="BA36" s="64">
        <f>AZ36+BA14-BA23</f>
        <v/>
      </c>
      <c r="BB36" s="64">
        <f>BA36+BB14-BB23</f>
        <v/>
      </c>
      <c r="BC36" s="64">
        <f>BB36+BC14-BC23</f>
        <v/>
      </c>
      <c r="BD36" s="64">
        <f>BC36+BD14-BD23</f>
        <v/>
      </c>
      <c r="BE36" s="64">
        <f>BD36+BE14-BE23</f>
        <v/>
      </c>
      <c r="BF36" s="64">
        <f>BE36+BF14-BF23</f>
        <v/>
      </c>
      <c r="BG36" s="64">
        <f>BF36+BG14-BG23</f>
        <v/>
      </c>
      <c r="BH36" s="64">
        <f>BG36+BH14-BH23</f>
        <v/>
      </c>
      <c r="BI36" s="64">
        <f>BH36+BI14-BI23</f>
        <v/>
      </c>
      <c r="BJ36" s="64">
        <f>BI36+BJ14-BJ23</f>
        <v/>
      </c>
      <c r="BK36" s="64">
        <f>BJ36+BK14-BK23</f>
        <v/>
      </c>
      <c r="BL36" s="64">
        <f>BK36+BL14-BL23</f>
        <v/>
      </c>
      <c r="BM36" s="64">
        <f>BL36+BM14-BM23</f>
        <v/>
      </c>
      <c r="BN36" s="64">
        <f>BM36+BN14-BN23</f>
        <v/>
      </c>
      <c r="BO36" s="64">
        <f>BN36+BO14-BO23</f>
        <v/>
      </c>
      <c r="BP36" s="64">
        <f>BO36+BP14-BP23</f>
        <v/>
      </c>
      <c r="BQ36" s="64">
        <f>BP36+BQ14-BQ23</f>
        <v/>
      </c>
      <c r="BR36" s="64">
        <f>BQ36+BR14-BR23</f>
        <v/>
      </c>
      <c r="BS36" s="64">
        <f>BR36+BS14-BS23</f>
        <v/>
      </c>
      <c r="BT36" s="64">
        <f>BS36+BT14-BT23</f>
        <v/>
      </c>
      <c r="BU36" s="64">
        <f>BT36+BU14-BU23</f>
        <v/>
      </c>
      <c r="BV36" s="64">
        <f>BU36+BV14-BV23</f>
        <v/>
      </c>
      <c r="BW36" s="64">
        <f>BV36+BW14-BW23</f>
        <v/>
      </c>
      <c r="BX36" s="64">
        <f>BW36+BX14-BX23</f>
        <v/>
      </c>
      <c r="BY36" s="64">
        <f>BX36+BY14-BY23</f>
        <v/>
      </c>
      <c r="BZ36" s="64">
        <f>BY36+BZ14-BZ23</f>
        <v/>
      </c>
      <c r="CA36" s="64">
        <f>BZ36+CA14-CA23</f>
        <v/>
      </c>
      <c r="CB36" s="64">
        <f>CA36+CB14-CB23</f>
        <v/>
      </c>
      <c r="CC36" s="64">
        <f>CB36+CC14-CC23</f>
        <v/>
      </c>
      <c r="CD36" s="64">
        <f>CC36+CD14-CD23</f>
        <v/>
      </c>
    </row>
    <row r="37">
      <c r="A37" t="inlineStr">
        <is>
          <t>Total Equity ($)</t>
        </is>
      </c>
      <c r="C37" s="64">
        <f>C35+C36</f>
        <v/>
      </c>
      <c r="D37" s="64">
        <f>D35+D36</f>
        <v/>
      </c>
      <c r="E37" s="64">
        <f>E35+E36</f>
        <v/>
      </c>
      <c r="F37" s="64">
        <f>F35+F36</f>
        <v/>
      </c>
      <c r="G37" s="64">
        <f>G35+G36</f>
        <v/>
      </c>
      <c r="H37" s="64">
        <f>H35+H36</f>
        <v/>
      </c>
      <c r="I37" s="64">
        <f>I35+I36</f>
        <v/>
      </c>
      <c r="J37" s="64">
        <f>J35+J36</f>
        <v/>
      </c>
      <c r="K37" s="64">
        <f>K35+K36</f>
        <v/>
      </c>
      <c r="L37" s="64">
        <f>L35+L36</f>
        <v/>
      </c>
      <c r="M37" s="64">
        <f>M35+M36</f>
        <v/>
      </c>
      <c r="N37" s="64">
        <f>N35+N36</f>
        <v/>
      </c>
      <c r="O37" s="64">
        <f>O35+O36</f>
        <v/>
      </c>
      <c r="P37" s="64">
        <f>P35+P36</f>
        <v/>
      </c>
      <c r="Q37" s="64">
        <f>Q35+Q36</f>
        <v/>
      </c>
      <c r="R37" s="64">
        <f>R35+R36</f>
        <v/>
      </c>
      <c r="S37" s="64">
        <f>S35+S36</f>
        <v/>
      </c>
      <c r="T37" s="64">
        <f>T35+T36</f>
        <v/>
      </c>
      <c r="U37" s="64">
        <f>U35+U36</f>
        <v/>
      </c>
      <c r="V37" s="64">
        <f>V35+V36</f>
        <v/>
      </c>
      <c r="W37" s="64">
        <f>W35+W36</f>
        <v/>
      </c>
      <c r="X37" s="64">
        <f>X35+X36</f>
        <v/>
      </c>
      <c r="Y37" s="64">
        <f>Y35+Y36</f>
        <v/>
      </c>
      <c r="Z37" s="64">
        <f>Z35+Z36</f>
        <v/>
      </c>
      <c r="AA37" s="64">
        <f>AA35+AA36</f>
        <v/>
      </c>
      <c r="AB37" s="64">
        <f>AB35+AB36</f>
        <v/>
      </c>
      <c r="AC37" s="64">
        <f>AC35+AC36</f>
        <v/>
      </c>
      <c r="AD37" s="64">
        <f>AD35+AD36</f>
        <v/>
      </c>
      <c r="AE37" s="64">
        <f>AE35+AE36</f>
        <v/>
      </c>
      <c r="AF37" s="64">
        <f>AF35+AF36</f>
        <v/>
      </c>
      <c r="AG37" s="64">
        <f>AG35+AG36</f>
        <v/>
      </c>
      <c r="AH37" s="64">
        <f>AH35+AH36</f>
        <v/>
      </c>
      <c r="AI37" s="64">
        <f>AI35+AI36</f>
        <v/>
      </c>
      <c r="AJ37" s="64">
        <f>AJ35+AJ36</f>
        <v/>
      </c>
      <c r="AK37" s="64">
        <f>AK35+AK36</f>
        <v/>
      </c>
      <c r="AL37" s="64">
        <f>AL35+AL36</f>
        <v/>
      </c>
      <c r="AM37" s="64">
        <f>AM35+AM36</f>
        <v/>
      </c>
      <c r="AN37" s="64">
        <f>AN35+AN36</f>
        <v/>
      </c>
      <c r="AO37" s="64">
        <f>AO35+AO36</f>
        <v/>
      </c>
      <c r="AP37" s="64">
        <f>AP35+AP36</f>
        <v/>
      </c>
      <c r="AQ37" s="64">
        <f>AQ35+AQ36</f>
        <v/>
      </c>
      <c r="AR37" s="64">
        <f>AR35+AR36</f>
        <v/>
      </c>
      <c r="AS37" s="64">
        <f>AS35+AS36</f>
        <v/>
      </c>
      <c r="AT37" s="64">
        <f>AT35+AT36</f>
        <v/>
      </c>
      <c r="AU37" s="64">
        <f>AU35+AU36</f>
        <v/>
      </c>
      <c r="AV37" s="64">
        <f>AV35+AV36</f>
        <v/>
      </c>
      <c r="AW37" s="64">
        <f>AW35+AW36</f>
        <v/>
      </c>
      <c r="AX37" s="64">
        <f>AX35+AX36</f>
        <v/>
      </c>
      <c r="AY37" s="64">
        <f>AY35+AY36</f>
        <v/>
      </c>
      <c r="AZ37" s="64">
        <f>AZ35+AZ36</f>
        <v/>
      </c>
      <c r="BA37" s="64">
        <f>BA35+BA36</f>
        <v/>
      </c>
      <c r="BB37" s="64">
        <f>BB35+BB36</f>
        <v/>
      </c>
      <c r="BC37" s="64">
        <f>BC35+BC36</f>
        <v/>
      </c>
      <c r="BD37" s="64">
        <f>BD35+BD36</f>
        <v/>
      </c>
      <c r="BE37" s="64">
        <f>BE35+BE36</f>
        <v/>
      </c>
      <c r="BF37" s="64">
        <f>BF35+BF36</f>
        <v/>
      </c>
      <c r="BG37" s="64">
        <f>BG35+BG36</f>
        <v/>
      </c>
      <c r="BH37" s="64">
        <f>BH35+BH36</f>
        <v/>
      </c>
      <c r="BI37" s="64">
        <f>BI35+BI36</f>
        <v/>
      </c>
      <c r="BJ37" s="64">
        <f>BJ35+BJ36</f>
        <v/>
      </c>
      <c r="BK37" s="64">
        <f>BK35+BK36</f>
        <v/>
      </c>
      <c r="BL37" s="64">
        <f>BL35+BL36</f>
        <v/>
      </c>
      <c r="BM37" s="64">
        <f>BM35+BM36</f>
        <v/>
      </c>
      <c r="BN37" s="64">
        <f>BN35+BN36</f>
        <v/>
      </c>
      <c r="BO37" s="64">
        <f>BO35+BO36</f>
        <v/>
      </c>
      <c r="BP37" s="64">
        <f>BP35+BP36</f>
        <v/>
      </c>
      <c r="BQ37" s="64">
        <f>BQ35+BQ36</f>
        <v/>
      </c>
      <c r="BR37" s="64">
        <f>BR35+BR36</f>
        <v/>
      </c>
      <c r="BS37" s="64">
        <f>BS35+BS36</f>
        <v/>
      </c>
      <c r="BT37" s="64">
        <f>BT35+BT36</f>
        <v/>
      </c>
      <c r="BU37" s="64">
        <f>BU35+BU36</f>
        <v/>
      </c>
      <c r="BV37" s="64">
        <f>BV35+BV36</f>
        <v/>
      </c>
      <c r="BW37" s="64">
        <f>BW35+BW36</f>
        <v/>
      </c>
      <c r="BX37" s="64">
        <f>BX35+BX36</f>
        <v/>
      </c>
      <c r="BY37" s="64">
        <f>BY35+BY36</f>
        <v/>
      </c>
      <c r="BZ37" s="64">
        <f>BZ35+BZ36</f>
        <v/>
      </c>
      <c r="CA37" s="64">
        <f>CA35+CA36</f>
        <v/>
      </c>
      <c r="CB37" s="64">
        <f>CB35+CB36</f>
        <v/>
      </c>
      <c r="CC37" s="64">
        <f>CC35+CC36</f>
        <v/>
      </c>
      <c r="CD37" s="64">
        <f>CD35+CD36</f>
        <v/>
      </c>
    </row>
    <row r="38">
      <c r="A38" t="inlineStr">
        <is>
          <t>Total Liabilities + Equity ($)</t>
        </is>
      </c>
      <c r="C38" s="64">
        <f>C34+C37</f>
        <v/>
      </c>
      <c r="D38" s="64">
        <f>D34+D37</f>
        <v/>
      </c>
      <c r="E38" s="64">
        <f>E34+E37</f>
        <v/>
      </c>
      <c r="F38" s="64">
        <f>F34+F37</f>
        <v/>
      </c>
      <c r="G38" s="64">
        <f>G34+G37</f>
        <v/>
      </c>
      <c r="H38" s="64">
        <f>H34+H37</f>
        <v/>
      </c>
      <c r="I38" s="64">
        <f>I34+I37</f>
        <v/>
      </c>
      <c r="J38" s="64">
        <f>J34+J37</f>
        <v/>
      </c>
      <c r="K38" s="64">
        <f>K34+K37</f>
        <v/>
      </c>
      <c r="L38" s="64">
        <f>L34+L37</f>
        <v/>
      </c>
      <c r="M38" s="64">
        <f>M34+M37</f>
        <v/>
      </c>
      <c r="N38" s="64">
        <f>N34+N37</f>
        <v/>
      </c>
      <c r="O38" s="64">
        <f>O34+O37</f>
        <v/>
      </c>
      <c r="P38" s="64">
        <f>P34+P37</f>
        <v/>
      </c>
      <c r="Q38" s="64">
        <f>Q34+Q37</f>
        <v/>
      </c>
      <c r="R38" s="64">
        <f>R34+R37</f>
        <v/>
      </c>
      <c r="S38" s="64">
        <f>S34+S37</f>
        <v/>
      </c>
      <c r="T38" s="64">
        <f>T34+T37</f>
        <v/>
      </c>
      <c r="U38" s="64">
        <f>U34+U37</f>
        <v/>
      </c>
      <c r="V38" s="64">
        <f>V34+V37</f>
        <v/>
      </c>
      <c r="W38" s="64">
        <f>W34+W37</f>
        <v/>
      </c>
      <c r="X38" s="64">
        <f>X34+X37</f>
        <v/>
      </c>
      <c r="Y38" s="64">
        <f>Y34+Y37</f>
        <v/>
      </c>
      <c r="Z38" s="64">
        <f>Z34+Z37</f>
        <v/>
      </c>
      <c r="AA38" s="64">
        <f>AA34+AA37</f>
        <v/>
      </c>
      <c r="AB38" s="64">
        <f>AB34+AB37</f>
        <v/>
      </c>
      <c r="AC38" s="64">
        <f>AC34+AC37</f>
        <v/>
      </c>
      <c r="AD38" s="64">
        <f>AD34+AD37</f>
        <v/>
      </c>
      <c r="AE38" s="64">
        <f>AE34+AE37</f>
        <v/>
      </c>
      <c r="AF38" s="64">
        <f>AF34+AF37</f>
        <v/>
      </c>
      <c r="AG38" s="64">
        <f>AG34+AG37</f>
        <v/>
      </c>
      <c r="AH38" s="64">
        <f>AH34+AH37</f>
        <v/>
      </c>
      <c r="AI38" s="64">
        <f>AI34+AI37</f>
        <v/>
      </c>
      <c r="AJ38" s="64">
        <f>AJ34+AJ37</f>
        <v/>
      </c>
      <c r="AK38" s="64">
        <f>AK34+AK37</f>
        <v/>
      </c>
      <c r="AL38" s="64">
        <f>AL34+AL37</f>
        <v/>
      </c>
      <c r="AM38" s="64">
        <f>AM34+AM37</f>
        <v/>
      </c>
      <c r="AN38" s="64">
        <f>AN34+AN37</f>
        <v/>
      </c>
      <c r="AO38" s="64">
        <f>AO34+AO37</f>
        <v/>
      </c>
      <c r="AP38" s="64">
        <f>AP34+AP37</f>
        <v/>
      </c>
      <c r="AQ38" s="64">
        <f>AQ34+AQ37</f>
        <v/>
      </c>
      <c r="AR38" s="64">
        <f>AR34+AR37</f>
        <v/>
      </c>
      <c r="AS38" s="64">
        <f>AS34+AS37</f>
        <v/>
      </c>
      <c r="AT38" s="64">
        <f>AT34+AT37</f>
        <v/>
      </c>
      <c r="AU38" s="64">
        <f>AU34+AU37</f>
        <v/>
      </c>
      <c r="AV38" s="64">
        <f>AV34+AV37</f>
        <v/>
      </c>
      <c r="AW38" s="64">
        <f>AW34+AW37</f>
        <v/>
      </c>
      <c r="AX38" s="64">
        <f>AX34+AX37</f>
        <v/>
      </c>
      <c r="AY38" s="64">
        <f>AY34+AY37</f>
        <v/>
      </c>
      <c r="AZ38" s="64">
        <f>AZ34+AZ37</f>
        <v/>
      </c>
      <c r="BA38" s="64">
        <f>BA34+BA37</f>
        <v/>
      </c>
      <c r="BB38" s="64">
        <f>BB34+BB37</f>
        <v/>
      </c>
      <c r="BC38" s="64">
        <f>BC34+BC37</f>
        <v/>
      </c>
      <c r="BD38" s="64">
        <f>BD34+BD37</f>
        <v/>
      </c>
      <c r="BE38" s="64">
        <f>BE34+BE37</f>
        <v/>
      </c>
      <c r="BF38" s="64">
        <f>BF34+BF37</f>
        <v/>
      </c>
      <c r="BG38" s="64">
        <f>BG34+BG37</f>
        <v/>
      </c>
      <c r="BH38" s="64">
        <f>BH34+BH37</f>
        <v/>
      </c>
      <c r="BI38" s="64">
        <f>BI34+BI37</f>
        <v/>
      </c>
      <c r="BJ38" s="64">
        <f>BJ34+BJ37</f>
        <v/>
      </c>
      <c r="BK38" s="64">
        <f>BK34+BK37</f>
        <v/>
      </c>
      <c r="BL38" s="64">
        <f>BL34+BL37</f>
        <v/>
      </c>
      <c r="BM38" s="64">
        <f>BM34+BM37</f>
        <v/>
      </c>
      <c r="BN38" s="64">
        <f>BN34+BN37</f>
        <v/>
      </c>
      <c r="BO38" s="64">
        <f>BO34+BO37</f>
        <v/>
      </c>
      <c r="BP38" s="64">
        <f>BP34+BP37</f>
        <v/>
      </c>
      <c r="BQ38" s="64">
        <f>BQ34+BQ37</f>
        <v/>
      </c>
      <c r="BR38" s="64">
        <f>BR34+BR37</f>
        <v/>
      </c>
      <c r="BS38" s="64">
        <f>BS34+BS37</f>
        <v/>
      </c>
      <c r="BT38" s="64">
        <f>BT34+BT37</f>
        <v/>
      </c>
      <c r="BU38" s="64">
        <f>BU34+BU37</f>
        <v/>
      </c>
      <c r="BV38" s="64">
        <f>BV34+BV37</f>
        <v/>
      </c>
      <c r="BW38" s="64">
        <f>BW34+BW37</f>
        <v/>
      </c>
      <c r="BX38" s="64">
        <f>BX34+BX37</f>
        <v/>
      </c>
      <c r="BY38" s="64">
        <f>BY34+BY37</f>
        <v/>
      </c>
      <c r="BZ38" s="64">
        <f>BZ34+BZ37</f>
        <v/>
      </c>
      <c r="CA38" s="64">
        <f>CA34+CA37</f>
        <v/>
      </c>
      <c r="CB38" s="64">
        <f>CB34+CB37</f>
        <v/>
      </c>
      <c r="CC38" s="64">
        <f>CC34+CC37</f>
        <v/>
      </c>
      <c r="CD38" s="64">
        <f>CD34+CD37</f>
        <v/>
      </c>
    </row>
    <row r="39"/>
    <row r="41">
      <c r="A41" s="41" t="inlineStr">
        <is>
          <t>Checks</t>
        </is>
      </c>
    </row>
    <row r="42">
      <c r="A42" t="inlineStr">
        <is>
          <t># of quarters where BS does not balance</t>
        </is>
      </c>
      <c r="CD42" s="69">
        <f>SUMPRODUCT(--(ROUND(C33:CD33-C38:CD38,2)&lt;&gt;0))</f>
        <v/>
      </c>
    </row>
  </sheetData>
  <pageMargins left="0.75" right="0.75" top="1" bottom="1" header="0.5" footer="0.5"/>
</worksheet>
</file>

<file path=xl/worksheets/sheet13.xml><?xml version="1.0" encoding="utf-8"?>
<worksheet xmlns="http://schemas.openxmlformats.org/spreadsheetml/2006/main">
  <sheetPr>
    <tabColor rgb="0000B050"/>
    <outlinePr summaryBelow="1" summaryRight="1"/>
    <pageSetUpPr/>
  </sheetPr>
  <dimension ref="A1:DB31"/>
  <sheetViews>
    <sheetView workbookViewId="0">
      <selection activeCell="A1" sqref="A1"/>
    </sheetView>
  </sheetViews>
  <sheetFormatPr baseColWidth="8" defaultRowHeight="15"/>
  <sheetData>
    <row r="1">
      <c r="A1" s="59" t="inlineStr">
        <is>
          <t>FS_Annual — Rolled up from FS_Quarterly; PIRR/EIRR via XIRR (Stage 1a)</t>
        </is>
      </c>
    </row>
    <row r="2">
      <c r="A2" t="inlineStr">
        <is>
          <t>Project Year</t>
        </is>
      </c>
      <c r="C2" t="inlineStr">
        <is>
          <t>Yr 1</t>
        </is>
      </c>
      <c r="D2" t="inlineStr">
        <is>
          <t>Yr 2</t>
        </is>
      </c>
      <c r="E2" t="inlineStr">
        <is>
          <t>Yr 3</t>
        </is>
      </c>
      <c r="F2" t="inlineStr">
        <is>
          <t>Yr 4</t>
        </is>
      </c>
      <c r="G2" t="inlineStr">
        <is>
          <t>Yr 5</t>
        </is>
      </c>
      <c r="H2" t="inlineStr">
        <is>
          <t>Yr 6</t>
        </is>
      </c>
      <c r="I2" t="inlineStr">
        <is>
          <t>Yr 7</t>
        </is>
      </c>
      <c r="J2" t="inlineStr">
        <is>
          <t>Yr 8</t>
        </is>
      </c>
      <c r="K2" t="inlineStr">
        <is>
          <t>Yr 9</t>
        </is>
      </c>
      <c r="L2" t="inlineStr">
        <is>
          <t>Yr 10</t>
        </is>
      </c>
      <c r="M2" t="inlineStr">
        <is>
          <t>Yr 11</t>
        </is>
      </c>
      <c r="N2" t="inlineStr">
        <is>
          <t>Yr 12</t>
        </is>
      </c>
      <c r="O2" t="inlineStr">
        <is>
          <t>Yr 13</t>
        </is>
      </c>
      <c r="P2" t="inlineStr">
        <is>
          <t>Yr 14</t>
        </is>
      </c>
      <c r="Q2" t="inlineStr">
        <is>
          <t>Yr 15</t>
        </is>
      </c>
      <c r="R2" t="inlineStr">
        <is>
          <t>Yr 16</t>
        </is>
      </c>
      <c r="S2" t="inlineStr">
        <is>
          <t>Yr 17</t>
        </is>
      </c>
      <c r="T2" t="inlineStr">
        <is>
          <t>Yr 18</t>
        </is>
      </c>
      <c r="U2" t="inlineStr">
        <is>
          <t>Yr 19</t>
        </is>
      </c>
      <c r="V2" t="inlineStr">
        <is>
          <t>Yr 20</t>
        </is>
      </c>
    </row>
    <row r="4">
      <c r="A4" t="inlineStr">
        <is>
          <t>Revenue ($) — annual sum</t>
        </is>
      </c>
      <c r="C4" s="55">
        <f>SUM(FS_Quarterly!C5:F5)</f>
        <v/>
      </c>
      <c r="D4" s="55">
        <f>SUM(FS_Quarterly!G5:J5)</f>
        <v/>
      </c>
      <c r="E4" s="55">
        <f>SUM(FS_Quarterly!K5:N5)</f>
        <v/>
      </c>
      <c r="F4" s="55">
        <f>SUM(FS_Quarterly!O5:R5)</f>
        <v/>
      </c>
      <c r="G4" s="55">
        <f>SUM(FS_Quarterly!S5:V5)</f>
        <v/>
      </c>
      <c r="H4" s="55">
        <f>SUM(FS_Quarterly!W5:Z5)</f>
        <v/>
      </c>
      <c r="I4" s="55">
        <f>SUM(FS_Quarterly!AA5:AD5)</f>
        <v/>
      </c>
      <c r="J4" s="55">
        <f>SUM(FS_Quarterly!AE5:AH5)</f>
        <v/>
      </c>
      <c r="K4" s="55">
        <f>SUM(FS_Quarterly!AI5:AL5)</f>
        <v/>
      </c>
      <c r="L4" s="55">
        <f>SUM(FS_Quarterly!AM5:AP5)</f>
        <v/>
      </c>
      <c r="M4" s="55">
        <f>SUM(FS_Quarterly!AQ5:AT5)</f>
        <v/>
      </c>
      <c r="N4" s="55">
        <f>SUM(FS_Quarterly!AU5:AX5)</f>
        <v/>
      </c>
      <c r="O4" s="55">
        <f>SUM(FS_Quarterly!AY5:BB5)</f>
        <v/>
      </c>
      <c r="P4" s="55">
        <f>SUM(FS_Quarterly!BC5:BF5)</f>
        <v/>
      </c>
      <c r="Q4" s="55">
        <f>SUM(FS_Quarterly!BG5:BJ5)</f>
        <v/>
      </c>
      <c r="R4" s="55">
        <f>SUM(FS_Quarterly!BK5:BN5)</f>
        <v/>
      </c>
      <c r="S4" s="55">
        <f>SUM(FS_Quarterly!BO5:BR5)</f>
        <v/>
      </c>
      <c r="T4" s="55">
        <f>SUM(FS_Quarterly!BS5:BV5)</f>
        <v/>
      </c>
      <c r="U4" s="55">
        <f>SUM(FS_Quarterly!BW5:BZ5)</f>
        <v/>
      </c>
      <c r="V4" s="55">
        <f>SUM(FS_Quarterly!CA5:CD5)</f>
        <v/>
      </c>
    </row>
    <row r="5">
      <c r="A5" t="inlineStr">
        <is>
          <t>EBITDA ($) — annual sum</t>
        </is>
      </c>
      <c r="C5" s="55">
        <f>SUM(FS_Quarterly!C7:F7)</f>
        <v/>
      </c>
      <c r="D5" s="55">
        <f>SUM(FS_Quarterly!G7:J7)</f>
        <v/>
      </c>
      <c r="E5" s="55">
        <f>SUM(FS_Quarterly!K7:N7)</f>
        <v/>
      </c>
      <c r="F5" s="55">
        <f>SUM(FS_Quarterly!O7:R7)</f>
        <v/>
      </c>
      <c r="G5" s="55">
        <f>SUM(FS_Quarterly!S7:V7)</f>
        <v/>
      </c>
      <c r="H5" s="55">
        <f>SUM(FS_Quarterly!W7:Z7)</f>
        <v/>
      </c>
      <c r="I5" s="55">
        <f>SUM(FS_Quarterly!AA7:AD7)</f>
        <v/>
      </c>
      <c r="J5" s="55">
        <f>SUM(FS_Quarterly!AE7:AH7)</f>
        <v/>
      </c>
      <c r="K5" s="55">
        <f>SUM(FS_Quarterly!AI7:AL7)</f>
        <v/>
      </c>
      <c r="L5" s="55">
        <f>SUM(FS_Quarterly!AM7:AP7)</f>
        <v/>
      </c>
      <c r="M5" s="55">
        <f>SUM(FS_Quarterly!AQ7:AT7)</f>
        <v/>
      </c>
      <c r="N5" s="55">
        <f>SUM(FS_Quarterly!AU7:AX7)</f>
        <v/>
      </c>
      <c r="O5" s="55">
        <f>SUM(FS_Quarterly!AY7:BB7)</f>
        <v/>
      </c>
      <c r="P5" s="55">
        <f>SUM(FS_Quarterly!BC7:BF7)</f>
        <v/>
      </c>
      <c r="Q5" s="55">
        <f>SUM(FS_Quarterly!BG7:BJ7)</f>
        <v/>
      </c>
      <c r="R5" s="55">
        <f>SUM(FS_Quarterly!BK7:BN7)</f>
        <v/>
      </c>
      <c r="S5" s="55">
        <f>SUM(FS_Quarterly!BO7:BR7)</f>
        <v/>
      </c>
      <c r="T5" s="55">
        <f>SUM(FS_Quarterly!BS7:BV7)</f>
        <v/>
      </c>
      <c r="U5" s="55">
        <f>SUM(FS_Quarterly!BW7:BZ7)</f>
        <v/>
      </c>
      <c r="V5" s="55">
        <f>SUM(FS_Quarterly!CA7:CD7)</f>
        <v/>
      </c>
    </row>
    <row r="6">
      <c r="A6" t="inlineStr">
        <is>
          <t>Net Income ($) — annual sum</t>
        </is>
      </c>
      <c r="C6" s="55">
        <f>SUM(FS_Quarterly!C14:F14)</f>
        <v/>
      </c>
      <c r="D6" s="55">
        <f>SUM(FS_Quarterly!G14:J14)</f>
        <v/>
      </c>
      <c r="E6" s="55">
        <f>SUM(FS_Quarterly!K14:N14)</f>
        <v/>
      </c>
      <c r="F6" s="55">
        <f>SUM(FS_Quarterly!O14:R14)</f>
        <v/>
      </c>
      <c r="G6" s="55">
        <f>SUM(FS_Quarterly!S14:V14)</f>
        <v/>
      </c>
      <c r="H6" s="55">
        <f>SUM(FS_Quarterly!W14:Z14)</f>
        <v/>
      </c>
      <c r="I6" s="55">
        <f>SUM(FS_Quarterly!AA14:AD14)</f>
        <v/>
      </c>
      <c r="J6" s="55">
        <f>SUM(FS_Quarterly!AE14:AH14)</f>
        <v/>
      </c>
      <c r="K6" s="55">
        <f>SUM(FS_Quarterly!AI14:AL14)</f>
        <v/>
      </c>
      <c r="L6" s="55">
        <f>SUM(FS_Quarterly!AM14:AP14)</f>
        <v/>
      </c>
      <c r="M6" s="55">
        <f>SUM(FS_Quarterly!AQ14:AT14)</f>
        <v/>
      </c>
      <c r="N6" s="55">
        <f>SUM(FS_Quarterly!AU14:AX14)</f>
        <v/>
      </c>
      <c r="O6" s="55">
        <f>SUM(FS_Quarterly!AY14:BB14)</f>
        <v/>
      </c>
      <c r="P6" s="55">
        <f>SUM(FS_Quarterly!BC14:BF14)</f>
        <v/>
      </c>
      <c r="Q6" s="55">
        <f>SUM(FS_Quarterly!BG14:BJ14)</f>
        <v/>
      </c>
      <c r="R6" s="55">
        <f>SUM(FS_Quarterly!BK14:BN14)</f>
        <v/>
      </c>
      <c r="S6" s="55">
        <f>SUM(FS_Quarterly!BO14:BR14)</f>
        <v/>
      </c>
      <c r="T6" s="55">
        <f>SUM(FS_Quarterly!BS14:BV14)</f>
        <v/>
      </c>
      <c r="U6" s="55">
        <f>SUM(FS_Quarterly!BW14:BZ14)</f>
        <v/>
      </c>
      <c r="V6" s="55">
        <f>SUM(FS_Quarterly!CA14:CD14)</f>
        <v/>
      </c>
    </row>
    <row r="7">
      <c r="A7" t="inlineStr">
        <is>
          <t>Cash, Closing ($) — year-end</t>
        </is>
      </c>
      <c r="C7" s="55">
        <f>FS_Quarterly!F29</f>
        <v/>
      </c>
      <c r="D7" s="55">
        <f>FS_Quarterly!J29</f>
        <v/>
      </c>
      <c r="E7" s="55">
        <f>FS_Quarterly!N29</f>
        <v/>
      </c>
      <c r="F7" s="55">
        <f>FS_Quarterly!R29</f>
        <v/>
      </c>
      <c r="G7" s="55">
        <f>FS_Quarterly!V29</f>
        <v/>
      </c>
      <c r="H7" s="55">
        <f>FS_Quarterly!Z29</f>
        <v/>
      </c>
      <c r="I7" s="55">
        <f>FS_Quarterly!AD29</f>
        <v/>
      </c>
      <c r="J7" s="55">
        <f>FS_Quarterly!AH29</f>
        <v/>
      </c>
      <c r="K7" s="55">
        <f>FS_Quarterly!AL29</f>
        <v/>
      </c>
      <c r="L7" s="55">
        <f>FS_Quarterly!AP29</f>
        <v/>
      </c>
      <c r="M7" s="55">
        <f>FS_Quarterly!AT29</f>
        <v/>
      </c>
      <c r="N7" s="55">
        <f>FS_Quarterly!AX29</f>
        <v/>
      </c>
      <c r="O7" s="55">
        <f>FS_Quarterly!BB29</f>
        <v/>
      </c>
      <c r="P7" s="55">
        <f>FS_Quarterly!BF29</f>
        <v/>
      </c>
      <c r="Q7" s="55">
        <f>FS_Quarterly!BJ29</f>
        <v/>
      </c>
      <c r="R7" s="55">
        <f>FS_Quarterly!BN29</f>
        <v/>
      </c>
      <c r="S7" s="55">
        <f>FS_Quarterly!BR29</f>
        <v/>
      </c>
      <c r="T7" s="55">
        <f>FS_Quarterly!BV29</f>
        <v/>
      </c>
      <c r="U7" s="55">
        <f>FS_Quarterly!BZ29</f>
        <v/>
      </c>
      <c r="V7" s="55">
        <f>FS_Quarterly!CD29</f>
        <v/>
      </c>
    </row>
    <row r="8">
      <c r="A8" t="inlineStr">
        <is>
          <t>Debt, Closing ($) — year-end</t>
        </is>
      </c>
      <c r="C8" s="55">
        <f>FS_Quarterly!F34</f>
        <v/>
      </c>
      <c r="D8" s="55">
        <f>FS_Quarterly!J34</f>
        <v/>
      </c>
      <c r="E8" s="55">
        <f>FS_Quarterly!N34</f>
        <v/>
      </c>
      <c r="F8" s="55">
        <f>FS_Quarterly!R34</f>
        <v/>
      </c>
      <c r="G8" s="55">
        <f>FS_Quarterly!V34</f>
        <v/>
      </c>
      <c r="H8" s="55">
        <f>FS_Quarterly!Z34</f>
        <v/>
      </c>
      <c r="I8" s="55">
        <f>FS_Quarterly!AD34</f>
        <v/>
      </c>
      <c r="J8" s="55">
        <f>FS_Quarterly!AH34</f>
        <v/>
      </c>
      <c r="K8" s="55">
        <f>FS_Quarterly!AL34</f>
        <v/>
      </c>
      <c r="L8" s="55">
        <f>FS_Quarterly!AP34</f>
        <v/>
      </c>
      <c r="M8" s="55">
        <f>FS_Quarterly!AT34</f>
        <v/>
      </c>
      <c r="N8" s="55">
        <f>FS_Quarterly!AX34</f>
        <v/>
      </c>
      <c r="O8" s="55">
        <f>FS_Quarterly!BB34</f>
        <v/>
      </c>
      <c r="P8" s="55">
        <f>FS_Quarterly!BF34</f>
        <v/>
      </c>
      <c r="Q8" s="55">
        <f>FS_Quarterly!BJ34</f>
        <v/>
      </c>
      <c r="R8" s="55">
        <f>FS_Quarterly!BN34</f>
        <v/>
      </c>
      <c r="S8" s="55">
        <f>FS_Quarterly!BR34</f>
        <v/>
      </c>
      <c r="T8" s="55">
        <f>FS_Quarterly!BV34</f>
        <v/>
      </c>
      <c r="U8" s="55">
        <f>FS_Quarterly!BZ34</f>
        <v/>
      </c>
      <c r="V8" s="55">
        <f>FS_Quarterly!CD34</f>
        <v/>
      </c>
    </row>
    <row r="9">
      <c r="A9" t="inlineStr">
        <is>
          <t>Total Equity, Closing ($) — year-end</t>
        </is>
      </c>
      <c r="C9" s="55">
        <f>FS_Quarterly!F37</f>
        <v/>
      </c>
      <c r="D9" s="55">
        <f>FS_Quarterly!J37</f>
        <v/>
      </c>
      <c r="E9" s="55">
        <f>FS_Quarterly!N37</f>
        <v/>
      </c>
      <c r="F9" s="55">
        <f>FS_Quarterly!R37</f>
        <v/>
      </c>
      <c r="G9" s="55">
        <f>FS_Quarterly!V37</f>
        <v/>
      </c>
      <c r="H9" s="55">
        <f>FS_Quarterly!Z37</f>
        <v/>
      </c>
      <c r="I9" s="55">
        <f>FS_Quarterly!AD37</f>
        <v/>
      </c>
      <c r="J9" s="55">
        <f>FS_Quarterly!AH37</f>
        <v/>
      </c>
      <c r="K9" s="55">
        <f>FS_Quarterly!AL37</f>
        <v/>
      </c>
      <c r="L9" s="55">
        <f>FS_Quarterly!AP37</f>
        <v/>
      </c>
      <c r="M9" s="55">
        <f>FS_Quarterly!AT37</f>
        <v/>
      </c>
      <c r="N9" s="55">
        <f>FS_Quarterly!AX37</f>
        <v/>
      </c>
      <c r="O9" s="55">
        <f>FS_Quarterly!BB37</f>
        <v/>
      </c>
      <c r="P9" s="55">
        <f>FS_Quarterly!BF37</f>
        <v/>
      </c>
      <c r="Q9" s="55">
        <f>FS_Quarterly!BJ37</f>
        <v/>
      </c>
      <c r="R9" s="55">
        <f>FS_Quarterly!BN37</f>
        <v/>
      </c>
      <c r="S9" s="55">
        <f>FS_Quarterly!BR37</f>
        <v/>
      </c>
      <c r="T9" s="55">
        <f>FS_Quarterly!BV37</f>
        <v/>
      </c>
      <c r="U9" s="55">
        <f>FS_Quarterly!BZ37</f>
        <v/>
      </c>
      <c r="V9" s="55">
        <f>FS_Quarterly!CD37</f>
        <v/>
      </c>
    </row>
    <row r="13">
      <c r="A13" t="inlineStr">
        <is>
          <t>XIRR Helper: Period End Date</t>
        </is>
      </c>
      <c r="C13" s="78">
        <f>Calc_Capex!C2</f>
        <v/>
      </c>
      <c r="D13" s="78">
        <f>Calc_Capex!D2</f>
        <v/>
      </c>
      <c r="E13" s="78">
        <f>Calc_Capex!E2</f>
        <v/>
      </c>
      <c r="F13" s="78">
        <f>Calc_Capex!F2</f>
        <v/>
      </c>
      <c r="G13" s="78">
        <f>Calc_Capex!G2</f>
        <v/>
      </c>
      <c r="H13" s="78">
        <f>Calc_Capex!H2</f>
        <v/>
      </c>
      <c r="I13" s="78">
        <f>Calc_Capex!I2</f>
        <v/>
      </c>
      <c r="J13" s="78">
        <f>Calc_Capex!J2</f>
        <v/>
      </c>
      <c r="K13" s="78">
        <f>Calc_Capex!K2</f>
        <v/>
      </c>
      <c r="L13" s="78">
        <f>Calc_Capex!L2</f>
        <v/>
      </c>
      <c r="M13" s="78">
        <f>Calc_Capex!M2</f>
        <v/>
      </c>
      <c r="N13" s="78">
        <f>Calc_Capex!N2</f>
        <v/>
      </c>
      <c r="O13" s="78">
        <f>Calc_Capex!O2</f>
        <v/>
      </c>
      <c r="P13" s="78">
        <f>Calc_Capex!P2</f>
        <v/>
      </c>
      <c r="Q13" s="78">
        <f>Calc_Capex!Q2</f>
        <v/>
      </c>
      <c r="R13" s="78">
        <f>Calc_Capex!R2</f>
        <v/>
      </c>
      <c r="S13" s="78">
        <f>Calc_Capex!S2</f>
        <v/>
      </c>
      <c r="T13" s="78">
        <f>Calc_Capex!T2</f>
        <v/>
      </c>
      <c r="U13" s="78">
        <f>Calc_Capex!U2</f>
        <v/>
      </c>
      <c r="V13" s="78">
        <f>Calc_Capex!V2</f>
        <v/>
      </c>
      <c r="W13" s="78">
        <f>Calc_Capex!W2</f>
        <v/>
      </c>
      <c r="X13" s="78">
        <f>Calc_Capex!X2</f>
        <v/>
      </c>
      <c r="Y13" s="78">
        <f>Calc_Capex!Y2</f>
        <v/>
      </c>
      <c r="Z13" s="78">
        <f>Calc_Capex!Z2</f>
        <v/>
      </c>
      <c r="AA13" s="78">
        <f>Calc_CFADS!C2</f>
        <v/>
      </c>
      <c r="AB13" s="78">
        <f>Calc_CFADS!D2</f>
        <v/>
      </c>
      <c r="AC13" s="78">
        <f>Calc_CFADS!E2</f>
        <v/>
      </c>
      <c r="AD13" s="78">
        <f>Calc_CFADS!F2</f>
        <v/>
      </c>
      <c r="AE13" s="78">
        <f>Calc_CFADS!G2</f>
        <v/>
      </c>
      <c r="AF13" s="78">
        <f>Calc_CFADS!H2</f>
        <v/>
      </c>
      <c r="AG13" s="78">
        <f>Calc_CFADS!I2</f>
        <v/>
      </c>
      <c r="AH13" s="78">
        <f>Calc_CFADS!J2</f>
        <v/>
      </c>
      <c r="AI13" s="78">
        <f>Calc_CFADS!K2</f>
        <v/>
      </c>
      <c r="AJ13" s="78">
        <f>Calc_CFADS!L2</f>
        <v/>
      </c>
      <c r="AK13" s="78">
        <f>Calc_CFADS!M2</f>
        <v/>
      </c>
      <c r="AL13" s="78">
        <f>Calc_CFADS!N2</f>
        <v/>
      </c>
      <c r="AM13" s="78">
        <f>Calc_CFADS!O2</f>
        <v/>
      </c>
      <c r="AN13" s="78">
        <f>Calc_CFADS!P2</f>
        <v/>
      </c>
      <c r="AO13" s="78">
        <f>Calc_CFADS!Q2</f>
        <v/>
      </c>
      <c r="AP13" s="78">
        <f>Calc_CFADS!R2</f>
        <v/>
      </c>
      <c r="AQ13" s="78">
        <f>Calc_CFADS!S2</f>
        <v/>
      </c>
      <c r="AR13" s="78">
        <f>Calc_CFADS!T2</f>
        <v/>
      </c>
      <c r="AS13" s="78">
        <f>Calc_CFADS!U2</f>
        <v/>
      </c>
      <c r="AT13" s="78">
        <f>Calc_CFADS!V2</f>
        <v/>
      </c>
      <c r="AU13" s="78">
        <f>Calc_CFADS!W2</f>
        <v/>
      </c>
      <c r="AV13" s="78">
        <f>Calc_CFADS!X2</f>
        <v/>
      </c>
      <c r="AW13" s="78">
        <f>Calc_CFADS!Y2</f>
        <v/>
      </c>
      <c r="AX13" s="78">
        <f>Calc_CFADS!Z2</f>
        <v/>
      </c>
      <c r="AY13" s="78">
        <f>Calc_CFADS!AA2</f>
        <v/>
      </c>
      <c r="AZ13" s="78">
        <f>Calc_CFADS!AB2</f>
        <v/>
      </c>
      <c r="BA13" s="78">
        <f>Calc_CFADS!AC2</f>
        <v/>
      </c>
      <c r="BB13" s="78">
        <f>Calc_CFADS!AD2</f>
        <v/>
      </c>
      <c r="BC13" s="78">
        <f>Calc_CFADS!AE2</f>
        <v/>
      </c>
      <c r="BD13" s="78">
        <f>Calc_CFADS!AF2</f>
        <v/>
      </c>
      <c r="BE13" s="78">
        <f>Calc_CFADS!AG2</f>
        <v/>
      </c>
      <c r="BF13" s="78">
        <f>Calc_CFADS!AH2</f>
        <v/>
      </c>
      <c r="BG13" s="78">
        <f>Calc_CFADS!AI2</f>
        <v/>
      </c>
      <c r="BH13" s="78">
        <f>Calc_CFADS!AJ2</f>
        <v/>
      </c>
      <c r="BI13" s="78">
        <f>Calc_CFADS!AK2</f>
        <v/>
      </c>
      <c r="BJ13" s="78">
        <f>Calc_CFADS!AL2</f>
        <v/>
      </c>
      <c r="BK13" s="78">
        <f>Calc_CFADS!AM2</f>
        <v/>
      </c>
      <c r="BL13" s="78">
        <f>Calc_CFADS!AN2</f>
        <v/>
      </c>
      <c r="BM13" s="78">
        <f>Calc_CFADS!AO2</f>
        <v/>
      </c>
      <c r="BN13" s="78">
        <f>Calc_CFADS!AP2</f>
        <v/>
      </c>
      <c r="BO13" s="78">
        <f>Calc_CFADS!AQ2</f>
        <v/>
      </c>
      <c r="BP13" s="78">
        <f>Calc_CFADS!AR2</f>
        <v/>
      </c>
      <c r="BQ13" s="78">
        <f>Calc_CFADS!AS2</f>
        <v/>
      </c>
      <c r="BR13" s="78">
        <f>Calc_CFADS!AT2</f>
        <v/>
      </c>
      <c r="BS13" s="78">
        <f>Calc_CFADS!AU2</f>
        <v/>
      </c>
      <c r="BT13" s="78">
        <f>Calc_CFADS!AV2</f>
        <v/>
      </c>
      <c r="BU13" s="78">
        <f>Calc_CFADS!AW2</f>
        <v/>
      </c>
      <c r="BV13" s="78">
        <f>Calc_CFADS!AX2</f>
        <v/>
      </c>
      <c r="BW13" s="78">
        <f>Calc_CFADS!AY2</f>
        <v/>
      </c>
      <c r="BX13" s="78">
        <f>Calc_CFADS!AZ2</f>
        <v/>
      </c>
      <c r="BY13" s="78">
        <f>Calc_CFADS!BA2</f>
        <v/>
      </c>
      <c r="BZ13" s="78">
        <f>Calc_CFADS!BB2</f>
        <v/>
      </c>
      <c r="CA13" s="78">
        <f>Calc_CFADS!BC2</f>
        <v/>
      </c>
      <c r="CB13" s="78">
        <f>Calc_CFADS!BD2</f>
        <v/>
      </c>
      <c r="CC13" s="78">
        <f>Calc_CFADS!BE2</f>
        <v/>
      </c>
      <c r="CD13" s="78">
        <f>Calc_CFADS!BF2</f>
        <v/>
      </c>
      <c r="CE13" s="78">
        <f>Calc_CFADS!BG2</f>
        <v/>
      </c>
      <c r="CF13" s="78">
        <f>Calc_CFADS!BH2</f>
        <v/>
      </c>
      <c r="CG13" s="78">
        <f>Calc_CFADS!BI2</f>
        <v/>
      </c>
      <c r="CH13" s="78">
        <f>Calc_CFADS!BJ2</f>
        <v/>
      </c>
      <c r="CI13" s="78">
        <f>Calc_CFADS!BK2</f>
        <v/>
      </c>
      <c r="CJ13" s="78">
        <f>Calc_CFADS!BL2</f>
        <v/>
      </c>
      <c r="CK13" s="78">
        <f>Calc_CFADS!BM2</f>
        <v/>
      </c>
      <c r="CL13" s="78">
        <f>Calc_CFADS!BN2</f>
        <v/>
      </c>
      <c r="CM13" s="78">
        <f>Calc_CFADS!BO2</f>
        <v/>
      </c>
      <c r="CN13" s="78">
        <f>Calc_CFADS!BP2</f>
        <v/>
      </c>
      <c r="CO13" s="78">
        <f>Calc_CFADS!BQ2</f>
        <v/>
      </c>
      <c r="CP13" s="78">
        <f>Calc_CFADS!BR2</f>
        <v/>
      </c>
      <c r="CQ13" s="78">
        <f>Calc_CFADS!BS2</f>
        <v/>
      </c>
      <c r="CR13" s="78">
        <f>Calc_CFADS!BT2</f>
        <v/>
      </c>
      <c r="CS13" s="78">
        <f>Calc_CFADS!BU2</f>
        <v/>
      </c>
      <c r="CT13" s="78">
        <f>Calc_CFADS!BV2</f>
        <v/>
      </c>
      <c r="CU13" s="78">
        <f>Calc_CFADS!BW2</f>
        <v/>
      </c>
      <c r="CV13" s="78">
        <f>Calc_CFADS!BX2</f>
        <v/>
      </c>
      <c r="CW13" s="78">
        <f>Calc_CFADS!BY2</f>
        <v/>
      </c>
      <c r="CX13" s="78">
        <f>Calc_CFADS!BZ2</f>
        <v/>
      </c>
      <c r="CY13" s="78">
        <f>Calc_CFADS!CA2</f>
        <v/>
      </c>
      <c r="CZ13" s="78">
        <f>Calc_CFADS!CB2</f>
        <v/>
      </c>
      <c r="DA13" s="78">
        <f>Calc_CFADS!CC2</f>
        <v/>
      </c>
      <c r="DB13" s="78">
        <f>Calc_CFADS!CD2</f>
        <v/>
      </c>
    </row>
    <row r="14">
      <c r="A14" t="inlineStr">
        <is>
          <t>XIRR Helper: Project CF (unlevered) — construction outflow, FCFF inflow</t>
        </is>
      </c>
      <c r="C14" s="55">
        <f>-Calc_Capex!C6</f>
        <v/>
      </c>
      <c r="D14" s="55">
        <f>-Calc_Capex!D6</f>
        <v/>
      </c>
      <c r="E14" s="55">
        <f>-Calc_Capex!E6</f>
        <v/>
      </c>
      <c r="F14" s="55">
        <f>-Calc_Capex!F6</f>
        <v/>
      </c>
      <c r="G14" s="55">
        <f>-Calc_Capex!G6</f>
        <v/>
      </c>
      <c r="H14" s="55">
        <f>-Calc_Capex!H6</f>
        <v/>
      </c>
      <c r="I14" s="55">
        <f>-Calc_Capex!I6</f>
        <v/>
      </c>
      <c r="J14" s="55">
        <f>-Calc_Capex!J6</f>
        <v/>
      </c>
      <c r="K14" s="55">
        <f>-Calc_Capex!K6</f>
        <v/>
      </c>
      <c r="L14" s="55">
        <f>-Calc_Capex!L6</f>
        <v/>
      </c>
      <c r="M14" s="55">
        <f>-Calc_Capex!M6</f>
        <v/>
      </c>
      <c r="N14" s="55">
        <f>-Calc_Capex!N6</f>
        <v/>
      </c>
      <c r="O14" s="55">
        <f>-Calc_Capex!O6</f>
        <v/>
      </c>
      <c r="P14" s="55">
        <f>-Calc_Capex!P6</f>
        <v/>
      </c>
      <c r="Q14" s="55">
        <f>-Calc_Capex!Q6</f>
        <v/>
      </c>
      <c r="R14" s="55">
        <f>-Calc_Capex!R6</f>
        <v/>
      </c>
      <c r="S14" s="55">
        <f>-Calc_Capex!S6</f>
        <v/>
      </c>
      <c r="T14" s="55">
        <f>-Calc_Capex!T6</f>
        <v/>
      </c>
      <c r="U14" s="55">
        <f>-Calc_Capex!U6</f>
        <v/>
      </c>
      <c r="V14" s="55">
        <f>-Calc_Capex!V6</f>
        <v/>
      </c>
      <c r="W14" s="55">
        <f>-Calc_Capex!W6</f>
        <v/>
      </c>
      <c r="X14" s="55">
        <f>-Calc_Capex!X6</f>
        <v/>
      </c>
      <c r="Y14" s="55">
        <f>-Calc_Capex!Y6</f>
        <v/>
      </c>
      <c r="Z14" s="55">
        <f>-Calc_Capex!Z6</f>
        <v/>
      </c>
      <c r="AA14" s="55">
        <f>Calc_CFADS!C17</f>
        <v/>
      </c>
      <c r="AB14" s="55">
        <f>Calc_CFADS!D17</f>
        <v/>
      </c>
      <c r="AC14" s="55">
        <f>Calc_CFADS!E17</f>
        <v/>
      </c>
      <c r="AD14" s="55">
        <f>Calc_CFADS!F17</f>
        <v/>
      </c>
      <c r="AE14" s="55">
        <f>Calc_CFADS!G17</f>
        <v/>
      </c>
      <c r="AF14" s="55">
        <f>Calc_CFADS!H17</f>
        <v/>
      </c>
      <c r="AG14" s="55">
        <f>Calc_CFADS!I17</f>
        <v/>
      </c>
      <c r="AH14" s="55">
        <f>Calc_CFADS!J17</f>
        <v/>
      </c>
      <c r="AI14" s="55">
        <f>Calc_CFADS!K17</f>
        <v/>
      </c>
      <c r="AJ14" s="55">
        <f>Calc_CFADS!L17</f>
        <v/>
      </c>
      <c r="AK14" s="55">
        <f>Calc_CFADS!M17</f>
        <v/>
      </c>
      <c r="AL14" s="55">
        <f>Calc_CFADS!N17</f>
        <v/>
      </c>
      <c r="AM14" s="55">
        <f>Calc_CFADS!O17</f>
        <v/>
      </c>
      <c r="AN14" s="55">
        <f>Calc_CFADS!P17</f>
        <v/>
      </c>
      <c r="AO14" s="55">
        <f>Calc_CFADS!Q17</f>
        <v/>
      </c>
      <c r="AP14" s="55">
        <f>Calc_CFADS!R17</f>
        <v/>
      </c>
      <c r="AQ14" s="55">
        <f>Calc_CFADS!S17</f>
        <v/>
      </c>
      <c r="AR14" s="55">
        <f>Calc_CFADS!T17</f>
        <v/>
      </c>
      <c r="AS14" s="55">
        <f>Calc_CFADS!U17</f>
        <v/>
      </c>
      <c r="AT14" s="55">
        <f>Calc_CFADS!V17</f>
        <v/>
      </c>
      <c r="AU14" s="55">
        <f>Calc_CFADS!W17</f>
        <v/>
      </c>
      <c r="AV14" s="55">
        <f>Calc_CFADS!X17</f>
        <v/>
      </c>
      <c r="AW14" s="55">
        <f>Calc_CFADS!Y17</f>
        <v/>
      </c>
      <c r="AX14" s="55">
        <f>Calc_CFADS!Z17</f>
        <v/>
      </c>
      <c r="AY14" s="55">
        <f>Calc_CFADS!AA17</f>
        <v/>
      </c>
      <c r="AZ14" s="55">
        <f>Calc_CFADS!AB17</f>
        <v/>
      </c>
      <c r="BA14" s="55">
        <f>Calc_CFADS!AC17</f>
        <v/>
      </c>
      <c r="BB14" s="55">
        <f>Calc_CFADS!AD17</f>
        <v/>
      </c>
      <c r="BC14" s="55">
        <f>Calc_CFADS!AE17</f>
        <v/>
      </c>
      <c r="BD14" s="55">
        <f>Calc_CFADS!AF17</f>
        <v/>
      </c>
      <c r="BE14" s="55">
        <f>Calc_CFADS!AG17</f>
        <v/>
      </c>
      <c r="BF14" s="55">
        <f>Calc_CFADS!AH17</f>
        <v/>
      </c>
      <c r="BG14" s="55">
        <f>Calc_CFADS!AI17</f>
        <v/>
      </c>
      <c r="BH14" s="55">
        <f>Calc_CFADS!AJ17</f>
        <v/>
      </c>
      <c r="BI14" s="55">
        <f>Calc_CFADS!AK17</f>
        <v/>
      </c>
      <c r="BJ14" s="55">
        <f>Calc_CFADS!AL17</f>
        <v/>
      </c>
      <c r="BK14" s="55">
        <f>Calc_CFADS!AM17</f>
        <v/>
      </c>
      <c r="BL14" s="55">
        <f>Calc_CFADS!AN17</f>
        <v/>
      </c>
      <c r="BM14" s="55">
        <f>Calc_CFADS!AO17</f>
        <v/>
      </c>
      <c r="BN14" s="55">
        <f>Calc_CFADS!AP17</f>
        <v/>
      </c>
      <c r="BO14" s="55">
        <f>Calc_CFADS!AQ17</f>
        <v/>
      </c>
      <c r="BP14" s="55">
        <f>Calc_CFADS!AR17</f>
        <v/>
      </c>
      <c r="BQ14" s="55">
        <f>Calc_CFADS!AS17</f>
        <v/>
      </c>
      <c r="BR14" s="55">
        <f>Calc_CFADS!AT17</f>
        <v/>
      </c>
      <c r="BS14" s="55">
        <f>Calc_CFADS!AU17</f>
        <v/>
      </c>
      <c r="BT14" s="55">
        <f>Calc_CFADS!AV17</f>
        <v/>
      </c>
      <c r="BU14" s="55">
        <f>Calc_CFADS!AW17</f>
        <v/>
      </c>
      <c r="BV14" s="55">
        <f>Calc_CFADS!AX17</f>
        <v/>
      </c>
      <c r="BW14" s="55">
        <f>Calc_CFADS!AY17</f>
        <v/>
      </c>
      <c r="BX14" s="55">
        <f>Calc_CFADS!AZ17</f>
        <v/>
      </c>
      <c r="BY14" s="55">
        <f>Calc_CFADS!BA17</f>
        <v/>
      </c>
      <c r="BZ14" s="55">
        <f>Calc_CFADS!BB17</f>
        <v/>
      </c>
      <c r="CA14" s="55">
        <f>Calc_CFADS!BC17</f>
        <v/>
      </c>
      <c r="CB14" s="55">
        <f>Calc_CFADS!BD17</f>
        <v/>
      </c>
      <c r="CC14" s="55">
        <f>Calc_CFADS!BE17</f>
        <v/>
      </c>
      <c r="CD14" s="55">
        <f>Calc_CFADS!BF17</f>
        <v/>
      </c>
      <c r="CE14" s="55">
        <f>Calc_CFADS!BG17</f>
        <v/>
      </c>
      <c r="CF14" s="55">
        <f>Calc_CFADS!BH17</f>
        <v/>
      </c>
      <c r="CG14" s="55">
        <f>Calc_CFADS!BI17</f>
        <v/>
      </c>
      <c r="CH14" s="55">
        <f>Calc_CFADS!BJ17</f>
        <v/>
      </c>
      <c r="CI14" s="55">
        <f>Calc_CFADS!BK17</f>
        <v/>
      </c>
      <c r="CJ14" s="55">
        <f>Calc_CFADS!BL17</f>
        <v/>
      </c>
      <c r="CK14" s="55">
        <f>Calc_CFADS!BM17</f>
        <v/>
      </c>
      <c r="CL14" s="55">
        <f>Calc_CFADS!BN17</f>
        <v/>
      </c>
      <c r="CM14" s="55">
        <f>Calc_CFADS!BO17</f>
        <v/>
      </c>
      <c r="CN14" s="55">
        <f>Calc_CFADS!BP17</f>
        <v/>
      </c>
      <c r="CO14" s="55">
        <f>Calc_CFADS!BQ17</f>
        <v/>
      </c>
      <c r="CP14" s="55">
        <f>Calc_CFADS!BR17</f>
        <v/>
      </c>
      <c r="CQ14" s="55">
        <f>Calc_CFADS!BS17</f>
        <v/>
      </c>
      <c r="CR14" s="55">
        <f>Calc_CFADS!BT17</f>
        <v/>
      </c>
      <c r="CS14" s="55">
        <f>Calc_CFADS!BU17</f>
        <v/>
      </c>
      <c r="CT14" s="55">
        <f>Calc_CFADS!BV17</f>
        <v/>
      </c>
      <c r="CU14" s="55">
        <f>Calc_CFADS!BW17</f>
        <v/>
      </c>
      <c r="CV14" s="55">
        <f>Calc_CFADS!BX17</f>
        <v/>
      </c>
      <c r="CW14" s="55">
        <f>Calc_CFADS!BY17</f>
        <v/>
      </c>
      <c r="CX14" s="55">
        <f>Calc_CFADS!BZ17</f>
        <v/>
      </c>
      <c r="CY14" s="55">
        <f>Calc_CFADS!CA17</f>
        <v/>
      </c>
      <c r="CZ14" s="55">
        <f>Calc_CFADS!CB17</f>
        <v/>
      </c>
      <c r="DA14" s="55">
        <f>Calc_CFADS!CC17</f>
        <v/>
      </c>
      <c r="DB14" s="55">
        <f>Calc_CFADS!CD17</f>
        <v/>
      </c>
    </row>
    <row r="15">
      <c r="A15" t="inlineStr">
        <is>
          <t>XIRR Helper: Equity CF (levered) — equity draw outflow, FCFE inflow</t>
        </is>
      </c>
      <c r="C15" s="55">
        <f>-Calc_Capex!C11</f>
        <v/>
      </c>
      <c r="D15" s="55">
        <f>-Calc_Capex!D11</f>
        <v/>
      </c>
      <c r="E15" s="55">
        <f>-Calc_Capex!E11</f>
        <v/>
      </c>
      <c r="F15" s="55">
        <f>-Calc_Capex!F11</f>
        <v/>
      </c>
      <c r="G15" s="55">
        <f>-Calc_Capex!G11</f>
        <v/>
      </c>
      <c r="H15" s="55">
        <f>-Calc_Capex!H11</f>
        <v/>
      </c>
      <c r="I15" s="55">
        <f>-Calc_Capex!I11</f>
        <v/>
      </c>
      <c r="J15" s="55">
        <f>-Calc_Capex!J11</f>
        <v/>
      </c>
      <c r="K15" s="55">
        <f>-Calc_Capex!K11</f>
        <v/>
      </c>
      <c r="L15" s="55">
        <f>-Calc_Capex!L11</f>
        <v/>
      </c>
      <c r="M15" s="55">
        <f>-Calc_Capex!M11</f>
        <v/>
      </c>
      <c r="N15" s="55">
        <f>-Calc_Capex!N11</f>
        <v/>
      </c>
      <c r="O15" s="55">
        <f>-Calc_Capex!O11</f>
        <v/>
      </c>
      <c r="P15" s="55">
        <f>-Calc_Capex!P11</f>
        <v/>
      </c>
      <c r="Q15" s="55">
        <f>-Calc_Capex!Q11</f>
        <v/>
      </c>
      <c r="R15" s="55">
        <f>-Calc_Capex!R11</f>
        <v/>
      </c>
      <c r="S15" s="55">
        <f>-Calc_Capex!S11</f>
        <v/>
      </c>
      <c r="T15" s="55">
        <f>-Calc_Capex!T11</f>
        <v/>
      </c>
      <c r="U15" s="55">
        <f>-Calc_Capex!U11</f>
        <v/>
      </c>
      <c r="V15" s="55">
        <f>-Calc_Capex!V11</f>
        <v/>
      </c>
      <c r="W15" s="55">
        <f>-Calc_Capex!W11</f>
        <v/>
      </c>
      <c r="X15" s="55">
        <f>-Calc_Capex!X11</f>
        <v/>
      </c>
      <c r="Y15" s="55">
        <f>-Calc_Capex!Y11</f>
        <v/>
      </c>
      <c r="Z15" s="55">
        <f>-Calc_Capex!Z11</f>
        <v/>
      </c>
      <c r="AA15" s="55">
        <f>Calc_CFADS!C16</f>
        <v/>
      </c>
      <c r="AB15" s="55">
        <f>Calc_CFADS!D16</f>
        <v/>
      </c>
      <c r="AC15" s="55">
        <f>Calc_CFADS!E16</f>
        <v/>
      </c>
      <c r="AD15" s="55">
        <f>Calc_CFADS!F16</f>
        <v/>
      </c>
      <c r="AE15" s="55">
        <f>Calc_CFADS!G16</f>
        <v/>
      </c>
      <c r="AF15" s="55">
        <f>Calc_CFADS!H16</f>
        <v/>
      </c>
      <c r="AG15" s="55">
        <f>Calc_CFADS!I16</f>
        <v/>
      </c>
      <c r="AH15" s="55">
        <f>Calc_CFADS!J16</f>
        <v/>
      </c>
      <c r="AI15" s="55">
        <f>Calc_CFADS!K16</f>
        <v/>
      </c>
      <c r="AJ15" s="55">
        <f>Calc_CFADS!L16</f>
        <v/>
      </c>
      <c r="AK15" s="55">
        <f>Calc_CFADS!M16</f>
        <v/>
      </c>
      <c r="AL15" s="55">
        <f>Calc_CFADS!N16</f>
        <v/>
      </c>
      <c r="AM15" s="55">
        <f>Calc_CFADS!O16</f>
        <v/>
      </c>
      <c r="AN15" s="55">
        <f>Calc_CFADS!P16</f>
        <v/>
      </c>
      <c r="AO15" s="55">
        <f>Calc_CFADS!Q16</f>
        <v/>
      </c>
      <c r="AP15" s="55">
        <f>Calc_CFADS!R16</f>
        <v/>
      </c>
      <c r="AQ15" s="55">
        <f>Calc_CFADS!S16</f>
        <v/>
      </c>
      <c r="AR15" s="55">
        <f>Calc_CFADS!T16</f>
        <v/>
      </c>
      <c r="AS15" s="55">
        <f>Calc_CFADS!U16</f>
        <v/>
      </c>
      <c r="AT15" s="55">
        <f>Calc_CFADS!V16</f>
        <v/>
      </c>
      <c r="AU15" s="55">
        <f>Calc_CFADS!W16</f>
        <v/>
      </c>
      <c r="AV15" s="55">
        <f>Calc_CFADS!X16</f>
        <v/>
      </c>
      <c r="AW15" s="55">
        <f>Calc_CFADS!Y16</f>
        <v/>
      </c>
      <c r="AX15" s="55">
        <f>Calc_CFADS!Z16</f>
        <v/>
      </c>
      <c r="AY15" s="55">
        <f>Calc_CFADS!AA16</f>
        <v/>
      </c>
      <c r="AZ15" s="55">
        <f>Calc_CFADS!AB16</f>
        <v/>
      </c>
      <c r="BA15" s="55">
        <f>Calc_CFADS!AC16</f>
        <v/>
      </c>
      <c r="BB15" s="55">
        <f>Calc_CFADS!AD16</f>
        <v/>
      </c>
      <c r="BC15" s="55">
        <f>Calc_CFADS!AE16</f>
        <v/>
      </c>
      <c r="BD15" s="55">
        <f>Calc_CFADS!AF16</f>
        <v/>
      </c>
      <c r="BE15" s="55">
        <f>Calc_CFADS!AG16</f>
        <v/>
      </c>
      <c r="BF15" s="55">
        <f>Calc_CFADS!AH16</f>
        <v/>
      </c>
      <c r="BG15" s="55">
        <f>Calc_CFADS!AI16</f>
        <v/>
      </c>
      <c r="BH15" s="55">
        <f>Calc_CFADS!AJ16</f>
        <v/>
      </c>
      <c r="BI15" s="55">
        <f>Calc_CFADS!AK16</f>
        <v/>
      </c>
      <c r="BJ15" s="55">
        <f>Calc_CFADS!AL16</f>
        <v/>
      </c>
      <c r="BK15" s="55">
        <f>Calc_CFADS!AM16</f>
        <v/>
      </c>
      <c r="BL15" s="55">
        <f>Calc_CFADS!AN16</f>
        <v/>
      </c>
      <c r="BM15" s="55">
        <f>Calc_CFADS!AO16</f>
        <v/>
      </c>
      <c r="BN15" s="55">
        <f>Calc_CFADS!AP16</f>
        <v/>
      </c>
      <c r="BO15" s="55">
        <f>Calc_CFADS!AQ16</f>
        <v/>
      </c>
      <c r="BP15" s="55">
        <f>Calc_CFADS!AR16</f>
        <v/>
      </c>
      <c r="BQ15" s="55">
        <f>Calc_CFADS!AS16</f>
        <v/>
      </c>
      <c r="BR15" s="55">
        <f>Calc_CFADS!AT16</f>
        <v/>
      </c>
      <c r="BS15" s="55">
        <f>Calc_CFADS!AU16</f>
        <v/>
      </c>
      <c r="BT15" s="55">
        <f>Calc_CFADS!AV16</f>
        <v/>
      </c>
      <c r="BU15" s="55">
        <f>Calc_CFADS!AW16</f>
        <v/>
      </c>
      <c r="BV15" s="55">
        <f>Calc_CFADS!AX16</f>
        <v/>
      </c>
      <c r="BW15" s="55">
        <f>Calc_CFADS!AY16</f>
        <v/>
      </c>
      <c r="BX15" s="55">
        <f>Calc_CFADS!AZ16</f>
        <v/>
      </c>
      <c r="BY15" s="55">
        <f>Calc_CFADS!BA16</f>
        <v/>
      </c>
      <c r="BZ15" s="55">
        <f>Calc_CFADS!BB16</f>
        <v/>
      </c>
      <c r="CA15" s="55">
        <f>Calc_CFADS!BC16</f>
        <v/>
      </c>
      <c r="CB15" s="55">
        <f>Calc_CFADS!BD16</f>
        <v/>
      </c>
      <c r="CC15" s="55">
        <f>Calc_CFADS!BE16</f>
        <v/>
      </c>
      <c r="CD15" s="55">
        <f>Calc_CFADS!BF16</f>
        <v/>
      </c>
      <c r="CE15" s="55">
        <f>Calc_CFADS!BG16</f>
        <v/>
      </c>
      <c r="CF15" s="55">
        <f>Calc_CFADS!BH16</f>
        <v/>
      </c>
      <c r="CG15" s="55">
        <f>Calc_CFADS!BI16</f>
        <v/>
      </c>
      <c r="CH15" s="55">
        <f>Calc_CFADS!BJ16</f>
        <v/>
      </c>
      <c r="CI15" s="55">
        <f>Calc_CFADS!BK16</f>
        <v/>
      </c>
      <c r="CJ15" s="55">
        <f>Calc_CFADS!BL16</f>
        <v/>
      </c>
      <c r="CK15" s="55">
        <f>Calc_CFADS!BM16</f>
        <v/>
      </c>
      <c r="CL15" s="55">
        <f>Calc_CFADS!BN16</f>
        <v/>
      </c>
      <c r="CM15" s="55">
        <f>Calc_CFADS!BO16</f>
        <v/>
      </c>
      <c r="CN15" s="55">
        <f>Calc_CFADS!BP16</f>
        <v/>
      </c>
      <c r="CO15" s="55">
        <f>Calc_CFADS!BQ16</f>
        <v/>
      </c>
      <c r="CP15" s="55">
        <f>Calc_CFADS!BR16</f>
        <v/>
      </c>
      <c r="CQ15" s="55">
        <f>Calc_CFADS!BS16</f>
        <v/>
      </c>
      <c r="CR15" s="55">
        <f>Calc_CFADS!BT16</f>
        <v/>
      </c>
      <c r="CS15" s="55">
        <f>Calc_CFADS!BU16</f>
        <v/>
      </c>
      <c r="CT15" s="55">
        <f>Calc_CFADS!BV16</f>
        <v/>
      </c>
      <c r="CU15" s="55">
        <f>Calc_CFADS!BW16</f>
        <v/>
      </c>
      <c r="CV15" s="55">
        <f>Calc_CFADS!BX16</f>
        <v/>
      </c>
      <c r="CW15" s="55">
        <f>Calc_CFADS!BY16</f>
        <v/>
      </c>
      <c r="CX15" s="55">
        <f>Calc_CFADS!BZ16</f>
        <v/>
      </c>
      <c r="CY15" s="55">
        <f>Calc_CFADS!CA16</f>
        <v/>
      </c>
      <c r="CZ15" s="55">
        <f>Calc_CFADS!CB16</f>
        <v/>
      </c>
      <c r="DA15" s="55">
        <f>Calc_CFADS!CC16</f>
        <v/>
      </c>
      <c r="DB15" s="55">
        <f>Calc_CFADS!CD16</f>
        <v/>
      </c>
    </row>
    <row r="18">
      <c r="A18" t="inlineStr">
        <is>
          <t>Project IRR (PIRR) — unlevered, XIRR</t>
        </is>
      </c>
    </row>
    <row r="19">
      <c r="A19" s="77">
        <f>XIRR(C14:DB14,C13:DB13)</f>
        <v/>
      </c>
    </row>
    <row r="20">
      <c r="A20" t="inlineStr">
        <is>
          <t>Equity IRR (EIRR) — levered, XIRR</t>
        </is>
      </c>
    </row>
    <row r="21">
      <c r="A21" s="77">
        <f>XIRR(C15:DB15,C13:DB13)</f>
        <v/>
      </c>
    </row>
    <row r="24">
      <c r="A24" s="41" t="inlineStr">
        <is>
          <t>Construction Period (annual rollup of monthly data)</t>
        </is>
      </c>
    </row>
    <row r="25">
      <c r="A25" t="inlineStr">
        <is>
          <t>Construction Year</t>
        </is>
      </c>
      <c r="C25" t="inlineStr">
        <is>
          <t>C-Yr 1</t>
        </is>
      </c>
      <c r="D25" t="inlineStr">
        <is>
          <t>C-Yr 2</t>
        </is>
      </c>
    </row>
    <row r="26">
      <c r="A26" t="inlineStr">
        <is>
          <t>Capex Incurred ($) — annual sum</t>
        </is>
      </c>
      <c r="C26" s="55">
        <f>SUM(Calc_Capex!C6:N6)</f>
        <v/>
      </c>
      <c r="D26" s="55">
        <f>SUM(Calc_Capex!O6:Z6)</f>
        <v/>
      </c>
    </row>
    <row r="27">
      <c r="A27" t="inlineStr">
        <is>
          <t>IDC Capitalised ($) — annual sum</t>
        </is>
      </c>
      <c r="C27" s="55">
        <f>SUM(Calc_Financing_Cons!C18:N18)</f>
        <v/>
      </c>
      <c r="D27" s="55">
        <f>SUM(Calc_Financing_Cons!O18:Z18)</f>
        <v/>
      </c>
    </row>
    <row r="28">
      <c r="A28" t="inlineStr">
        <is>
          <t>Debt Drawn ($) — annual sum</t>
        </is>
      </c>
      <c r="C28" s="55">
        <f>SUM(Calc_Financing_Cons!C21:N21)</f>
        <v/>
      </c>
      <c r="D28" s="55">
        <f>SUM(Calc_Financing_Cons!O21:Z21)</f>
        <v/>
      </c>
    </row>
    <row r="29">
      <c r="A29" t="inlineStr">
        <is>
          <t>Equity Drawn ($) — annual sum</t>
        </is>
      </c>
      <c r="C29" s="55">
        <f>SUM(Calc_Financing_Cons!C22:N22)</f>
        <v/>
      </c>
      <c r="D29" s="55">
        <f>SUM(Calc_Financing_Cons!O22:Z22)</f>
        <v/>
      </c>
    </row>
    <row r="30">
      <c r="A30" t="inlineStr">
        <is>
          <t>Cumulative Total Project Cost ($) — year-end</t>
        </is>
      </c>
      <c r="C30" s="55">
        <f>Calc_Capex!N17</f>
        <v/>
      </c>
      <c r="D30" s="55">
        <f>Calc_Capex!Z17</f>
        <v/>
      </c>
    </row>
    <row r="31">
      <c r="A31" t="inlineStr">
        <is>
          <t>Closing Debt Balance ($) — year-end</t>
        </is>
      </c>
      <c r="C31" s="55">
        <f>Calc_Financing_Cons!N25</f>
        <v/>
      </c>
      <c r="D31" s="55">
        <f>Calc_Financing_Cons!Z25</f>
        <v/>
      </c>
    </row>
  </sheetData>
  <pageMargins left="0.75" right="0.75" top="1" bottom="1" header="0.5" footer="0.5"/>
</worksheet>
</file>

<file path=xl/worksheets/sheet14.xml><?xml version="1.0" encoding="utf-8"?>
<worksheet xmlns="http://schemas.openxmlformats.org/spreadsheetml/2006/main">
  <sheetPr>
    <tabColor rgb="0000B050"/>
    <outlinePr summaryBelow="1" summaryRight="1"/>
    <pageSetUpPr/>
  </sheetPr>
  <dimension ref="A1:M18"/>
  <sheetViews>
    <sheetView workbookViewId="0">
      <pane xSplit="2" ySplit="6" topLeftCell="C7" activePane="bottomRight" state="frozen"/>
      <selection pane="topRight"/>
      <selection pane="bottomLeft"/>
      <selection pane="bottomRight" activeCell="A1" sqref="A1"/>
    </sheetView>
  </sheetViews>
  <sheetFormatPr baseColWidth="8" defaultRowHeight="15"/>
  <cols>
    <col width="10" customWidth="1" min="1" max="1"/>
    <col width="16" customWidth="1" min="2" max="2"/>
    <col width="18" customWidth="1" min="3" max="3"/>
    <col width="16" customWidth="1" min="4" max="4"/>
    <col width="15" customWidth="1" min="5" max="5"/>
    <col width="12" customWidth="1" min="6" max="6"/>
    <col width="12" customWidth="1" min="7" max="7"/>
    <col width="12" customWidth="1" min="8" max="8"/>
    <col width="12" customWidth="1" min="9" max="9"/>
    <col width="16" customWidth="1" min="10" max="10"/>
    <col width="12" customWidth="1" min="11" max="11"/>
    <col width="24" customWidth="1" min="12" max="12"/>
    <col width="16" customWidth="1" min="13" max="13"/>
  </cols>
  <sheetData>
    <row r="1">
      <c r="A1" s="59" t="inlineStr">
        <is>
          <t>Batch_Results — written by Run All 10 Scenarios</t>
        </is>
      </c>
    </row>
    <row r="3">
      <c r="A3" t="inlineStr">
        <is>
          <t>Last Batch Run</t>
        </is>
      </c>
      <c r="B3" s="44" t="inlineStr">
        <is>
          <t>(never)</t>
        </is>
      </c>
    </row>
    <row r="4">
      <c r="A4" t="inlineStr">
        <is>
          <t>Mode Used</t>
        </is>
      </c>
      <c r="B4" s="44" t="inlineStr">
        <is>
          <t>(none)</t>
        </is>
      </c>
    </row>
    <row r="6">
      <c r="A6" s="41" t="inlineStr">
        <is>
          <t>Scenario</t>
        </is>
      </c>
      <c r="B6" s="41" t="inlineStr">
        <is>
          <t>Name</t>
        </is>
      </c>
      <c r="C6" s="41" t="inlineStr">
        <is>
          <t>Total Project Cost</t>
        </is>
      </c>
      <c r="D6" s="41" t="inlineStr">
        <is>
          <t>Debt Facility</t>
        </is>
      </c>
      <c r="E6" s="41" t="inlineStr">
        <is>
          <t>Implied Gearing</t>
        </is>
      </c>
      <c r="F6" s="41" t="inlineStr">
        <is>
          <t>Min DSCR</t>
        </is>
      </c>
      <c r="G6" s="41" t="inlineStr">
        <is>
          <t>Min LLCR</t>
        </is>
      </c>
      <c r="H6" s="41" t="inlineStr">
        <is>
          <t>EIRR</t>
        </is>
      </c>
      <c r="I6" s="41" t="inlineStr">
        <is>
          <t>PIRR</t>
        </is>
      </c>
      <c r="J6" s="41" t="inlineStr">
        <is>
          <t>Annual Revenue</t>
        </is>
      </c>
      <c r="K6" s="41" t="inlineStr">
        <is>
          <t>Solve</t>
        </is>
      </c>
      <c r="L6" s="41" t="inlineStr">
        <is>
          <t>Goal Seek</t>
        </is>
      </c>
      <c r="M6" s="41" t="inlineStr">
        <is>
          <t>Checks</t>
        </is>
      </c>
    </row>
    <row r="7">
      <c r="A7" t="n">
        <v>1</v>
      </c>
      <c r="B7" s="60">
        <f>Assumptions_Constant!C$4</f>
        <v/>
      </c>
      <c r="C7" s="79" t="n"/>
      <c r="D7" s="79" t="n"/>
      <c r="E7" s="80" t="n"/>
      <c r="F7" s="81" t="n"/>
      <c r="G7" s="82" t="n"/>
      <c r="H7" s="80" t="n"/>
      <c r="I7" s="80" t="n"/>
      <c r="J7" s="79" t="n"/>
    </row>
    <row r="8">
      <c r="A8" t="n">
        <v>2</v>
      </c>
      <c r="B8" s="60">
        <f>Assumptions_Constant!D$4</f>
        <v/>
      </c>
      <c r="C8" s="79" t="n"/>
      <c r="D8" s="79" t="n"/>
      <c r="E8" s="80" t="n"/>
      <c r="F8" s="81" t="n"/>
      <c r="G8" s="82" t="n"/>
      <c r="H8" s="80" t="n"/>
      <c r="I8" s="80" t="n"/>
      <c r="J8" s="79" t="n"/>
    </row>
    <row r="9">
      <c r="A9" t="n">
        <v>3</v>
      </c>
      <c r="B9" s="60">
        <f>Assumptions_Constant!E$4</f>
        <v/>
      </c>
      <c r="C9" s="79" t="n"/>
      <c r="D9" s="79" t="n"/>
      <c r="E9" s="80" t="n"/>
      <c r="F9" s="81" t="n"/>
      <c r="G9" s="82" t="n"/>
      <c r="H9" s="80" t="n"/>
      <c r="I9" s="80" t="n"/>
      <c r="J9" s="79" t="n"/>
    </row>
    <row r="10">
      <c r="A10" t="n">
        <v>4</v>
      </c>
      <c r="B10" s="60">
        <f>Assumptions_Constant!F$4</f>
        <v/>
      </c>
      <c r="C10" s="79" t="n"/>
      <c r="D10" s="79" t="n"/>
      <c r="E10" s="80" t="n"/>
      <c r="F10" s="81" t="n"/>
      <c r="G10" s="82" t="n"/>
      <c r="H10" s="80" t="n"/>
      <c r="I10" s="80" t="n"/>
      <c r="J10" s="79" t="n"/>
    </row>
    <row r="11">
      <c r="A11" t="n">
        <v>5</v>
      </c>
      <c r="B11" s="60">
        <f>Assumptions_Constant!G$4</f>
        <v/>
      </c>
      <c r="C11" s="79" t="n"/>
      <c r="D11" s="79" t="n"/>
      <c r="E11" s="80" t="n"/>
      <c r="F11" s="81" t="n"/>
      <c r="G11" s="82" t="n"/>
      <c r="H11" s="80" t="n"/>
      <c r="I11" s="80" t="n"/>
      <c r="J11" s="79" t="n"/>
    </row>
    <row r="12">
      <c r="A12" t="n">
        <v>6</v>
      </c>
      <c r="B12" s="60">
        <f>Assumptions_Constant!H$4</f>
        <v/>
      </c>
      <c r="C12" s="79" t="n"/>
      <c r="D12" s="79" t="n"/>
      <c r="E12" s="80" t="n"/>
      <c r="F12" s="81" t="n"/>
      <c r="G12" s="82" t="n"/>
      <c r="H12" s="80" t="n"/>
      <c r="I12" s="80" t="n"/>
      <c r="J12" s="79" t="n"/>
    </row>
    <row r="13">
      <c r="A13" t="n">
        <v>7</v>
      </c>
      <c r="B13" s="60">
        <f>Assumptions_Constant!I$4</f>
        <v/>
      </c>
      <c r="C13" s="79" t="n"/>
      <c r="D13" s="79" t="n"/>
      <c r="E13" s="80" t="n"/>
      <c r="F13" s="81" t="n"/>
      <c r="G13" s="82" t="n"/>
      <c r="H13" s="80" t="n"/>
      <c r="I13" s="80" t="n"/>
      <c r="J13" s="79" t="n"/>
    </row>
    <row r="14">
      <c r="A14" t="n">
        <v>8</v>
      </c>
      <c r="B14" s="60">
        <f>Assumptions_Constant!J$4</f>
        <v/>
      </c>
      <c r="C14" s="79" t="n"/>
      <c r="D14" s="79" t="n"/>
      <c r="E14" s="80" t="n"/>
      <c r="F14" s="81" t="n"/>
      <c r="G14" s="82" t="n"/>
      <c r="H14" s="80" t="n"/>
      <c r="I14" s="80" t="n"/>
      <c r="J14" s="79" t="n"/>
    </row>
    <row r="15">
      <c r="A15" t="n">
        <v>9</v>
      </c>
      <c r="B15" s="60">
        <f>Assumptions_Constant!K$4</f>
        <v/>
      </c>
      <c r="C15" s="79" t="n"/>
      <c r="D15" s="79" t="n"/>
      <c r="E15" s="80" t="n"/>
      <c r="F15" s="81" t="n"/>
      <c r="G15" s="82" t="n"/>
      <c r="H15" s="80" t="n"/>
      <c r="I15" s="80" t="n"/>
      <c r="J15" s="79" t="n"/>
    </row>
    <row r="16">
      <c r="A16" t="n">
        <v>10</v>
      </c>
      <c r="B16" s="60">
        <f>Assumptions_Constant!L$4</f>
        <v/>
      </c>
      <c r="C16" s="79" t="n"/>
      <c r="D16" s="79" t="n"/>
      <c r="E16" s="80" t="n"/>
      <c r="F16" s="81" t="n"/>
      <c r="G16" s="82" t="n"/>
      <c r="H16" s="80" t="n"/>
      <c r="I16" s="80" t="n"/>
      <c r="J16" s="79" t="n"/>
    </row>
    <row r="18">
      <c r="A18" s="45" t="inlineStr">
        <is>
          <t>Values are written by the macro, not linked — see the note in batch_results.py</t>
        </is>
      </c>
    </row>
  </sheetData>
  <pageMargins left="0.75" right="0.75" top="1" bottom="1" header="0.5" footer="0.5"/>
</worksheet>
</file>

<file path=xl/worksheets/sheet15.xml><?xml version="1.0" encoding="utf-8"?>
<worksheet xmlns="http://schemas.openxmlformats.org/spreadsheetml/2006/main">
  <sheetPr>
    <tabColor rgb="00FF0000"/>
    <outlinePr summaryBelow="1" summaryRight="1"/>
    <pageSetUpPr/>
  </sheetPr>
  <dimension ref="A1:E36"/>
  <sheetViews>
    <sheetView workbookViewId="0">
      <selection activeCell="A1" sqref="A1"/>
    </sheetView>
  </sheetViews>
  <sheetFormatPr baseColWidth="8" defaultRowHeight="15"/>
  <cols>
    <col width="50" customWidth="1" min="2" max="2"/>
    <col width="26" customWidth="1" min="3" max="3"/>
  </cols>
  <sheetData>
    <row r="1">
      <c r="A1" s="59" t="inlineStr">
        <is>
          <t>Check_Control — Master Audit Aggregator</t>
        </is>
      </c>
    </row>
    <row r="3">
      <c r="A3" s="41" t="inlineStr">
        <is>
          <t>MASTER STATUS</t>
        </is>
      </c>
      <c r="B3" s="83">
        <f>IF(COUNTIF(E6:E36,"FAIL")=0,"MODEL OK","ERRORS FOUND")</f>
        <v/>
      </c>
    </row>
    <row r="5">
      <c r="A5" s="41" t="inlineStr">
        <is>
          <t>Sheet</t>
        </is>
      </c>
      <c r="B5" s="41" t="inlineStr">
        <is>
          <t>Check Description</t>
        </is>
      </c>
      <c r="C5" s="41" t="inlineStr">
        <is>
          <t>Source Cell</t>
        </is>
      </c>
      <c r="D5" s="41" t="inlineStr">
        <is>
          <t>Value</t>
        </is>
      </c>
      <c r="E5" s="41" t="inlineStr">
        <is>
          <t>Status</t>
        </is>
      </c>
    </row>
    <row r="6">
      <c r="A6" t="inlineStr">
        <is>
          <t>Cover</t>
        </is>
      </c>
      <c r="B6" t="inlineStr">
        <is>
          <t>Solve is current (assumptions unchanged since last solve)</t>
        </is>
      </c>
      <c r="C6" t="inlineStr">
        <is>
          <t>'Cover'!D75</t>
        </is>
      </c>
      <c r="D6" s="69">
        <f>'Cover'!D75</f>
        <v/>
      </c>
      <c r="E6" s="69">
        <f>IF(D6=1,"OK","FAIL")</f>
        <v/>
      </c>
    </row>
    <row r="7">
      <c r="A7" t="inlineStr">
        <is>
          <t>Calc_Capex</t>
        </is>
      </c>
      <c r="B7" t="inlineStr">
        <is>
          <t>Cum Debt + Cum Equity = Cum Capex + Cum IDC</t>
        </is>
      </c>
      <c r="C7" t="inlineStr">
        <is>
          <t>'Calc_Capex'!Z21</t>
        </is>
      </c>
      <c r="D7" s="69">
        <f>'Calc_Capex'!Z21</f>
        <v/>
      </c>
      <c r="E7" s="69">
        <f>IF(D7=1,"OK","FAIL")</f>
        <v/>
      </c>
    </row>
    <row r="8">
      <c r="A8" t="inlineStr">
        <is>
          <t>Calc_Capex</t>
        </is>
      </c>
      <c r="B8" t="inlineStr">
        <is>
          <t>Cumulative Capex = Total Capex Input</t>
        </is>
      </c>
      <c r="C8" t="inlineStr">
        <is>
          <t>'Calc_Capex'!Z22</t>
        </is>
      </c>
      <c r="D8" s="69">
        <f>'Calc_Capex'!Z22</f>
        <v/>
      </c>
      <c r="E8" s="69">
        <f>IF(D8=1,"OK","FAIL")</f>
        <v/>
      </c>
    </row>
    <row r="9">
      <c r="A9" t="inlineStr">
        <is>
          <t>Calc_Financing_Cons</t>
        </is>
      </c>
      <c r="B9" t="inlineStr">
        <is>
          <t>Closing Balance = Cumulative Debt Draws</t>
        </is>
      </c>
      <c r="C9" t="inlineStr">
        <is>
          <t>'Calc_Financing_Cons'!Z29</t>
        </is>
      </c>
      <c r="D9" s="69">
        <f>'Calc_Financing_Cons'!Z29</f>
        <v/>
      </c>
      <c r="E9" s="69">
        <f>IF(D9=1,"OK","FAIL")</f>
        <v/>
      </c>
    </row>
    <row r="10">
      <c r="A10" t="inlineStr">
        <is>
          <t>Calc_Financing_Cons</t>
        </is>
      </c>
      <c r="B10" t="inlineStr">
        <is>
          <t>IDC Converged (Loop 1)</t>
        </is>
      </c>
      <c r="C10" t="inlineStr">
        <is>
          <t>'Calc_Financing_Cons'!Z30</t>
        </is>
      </c>
      <c r="D10" s="69">
        <f>'Calc_Financing_Cons'!Z30</f>
        <v/>
      </c>
      <c r="E10" s="69">
        <f>IF(D10=1,"OK","FAIL")</f>
        <v/>
      </c>
    </row>
    <row r="11">
      <c r="A11" t="inlineStr">
        <is>
          <t>Calc_Financing_Cons</t>
        </is>
      </c>
      <c r="B11" t="inlineStr">
        <is>
          <t>Cum Debt + Cum Equity = Cum Funding Requirement</t>
        </is>
      </c>
      <c r="C11" t="inlineStr">
        <is>
          <t>'Calc_Financing_Cons'!Z31</t>
        </is>
      </c>
      <c r="D11" s="69">
        <f>'Calc_Financing_Cons'!Z31</f>
        <v/>
      </c>
      <c r="E11" s="69">
        <f>IF(D11=1,"OK","FAIL")</f>
        <v/>
      </c>
    </row>
    <row r="12">
      <c r="A12" t="inlineStr">
        <is>
          <t>Calc_Financing_Cons</t>
        </is>
      </c>
      <c r="B12" t="inlineStr">
        <is>
          <t>Cumulative Debt Draw &lt;= Debt Facility</t>
        </is>
      </c>
      <c r="C12" t="inlineStr">
        <is>
          <t>'Calc_Financing_Cons'!Z32</t>
        </is>
      </c>
      <c r="D12" s="69">
        <f>'Calc_Financing_Cons'!Z32</f>
        <v/>
      </c>
      <c r="E12" s="69">
        <f>IF(D12=1,"OK","FAIL")</f>
        <v/>
      </c>
    </row>
    <row r="13">
      <c r="A13" t="inlineStr">
        <is>
          <t>Calc_Financing_Cons</t>
        </is>
      </c>
      <c r="B13" t="inlineStr">
        <is>
          <t>Debt draws honour the solved facility</t>
        </is>
      </c>
      <c r="C13" t="inlineStr">
        <is>
          <t>'Calc_Financing_Cons'!Z33</t>
        </is>
      </c>
      <c r="D13" s="69">
        <f>'Calc_Financing_Cons'!Z33</f>
        <v/>
      </c>
      <c r="E13" s="69">
        <f>IF(D13=1,"OK","FAIL")</f>
        <v/>
      </c>
    </row>
    <row r="14">
      <c r="A14" t="inlineStr">
        <is>
          <t>Assumptions_Constant</t>
        </is>
      </c>
      <c r="B14" t="inlineStr">
        <is>
          <t>Active column resolves (Total Capex &gt; 0)</t>
        </is>
      </c>
      <c r="C14" t="inlineStr">
        <is>
          <t>'Assumptions_Constant'!B24</t>
        </is>
      </c>
      <c r="D14" s="69">
        <f>'Assumptions_Constant'!B24</f>
        <v/>
      </c>
      <c r="E14" s="69">
        <f>IF(D14=1,"OK","FAIL")</f>
        <v/>
      </c>
    </row>
    <row r="15">
      <c r="A15" t="inlineStr">
        <is>
          <t>Assumptions_Constant</t>
        </is>
      </c>
      <c r="B15" t="inlineStr">
        <is>
          <t>All scenario cells populated</t>
        </is>
      </c>
      <c r="C15" t="inlineStr">
        <is>
          <t>'Assumptions_Constant'!B25</t>
        </is>
      </c>
      <c r="D15" s="69">
        <f>'Assumptions_Constant'!B25</f>
        <v/>
      </c>
      <c r="E15" s="69">
        <f>IF(D15=1,"OK","FAIL")</f>
        <v/>
      </c>
    </row>
    <row r="16">
      <c r="A16" t="inlineStr">
        <is>
          <t>Assumptions_Periodic_Capex</t>
        </is>
      </c>
      <c r="B16" t="inlineStr">
        <is>
          <t>Active phasing sums to 100%</t>
        </is>
      </c>
      <c r="C16" t="inlineStr">
        <is>
          <t>'Assumptions_Periodic_Capex'!B34</t>
        </is>
      </c>
      <c r="D16" s="69">
        <f>'Assumptions_Periodic_Capex'!B34</f>
        <v/>
      </c>
      <c r="E16" s="69">
        <f>IF(D16=1,"OK","FAIL")</f>
        <v/>
      </c>
    </row>
    <row r="17">
      <c r="A17" t="inlineStr">
        <is>
          <t>Assumptions_Periodic_Capex</t>
        </is>
      </c>
      <c r="B17" t="inlineStr">
        <is>
          <t>All 10 scenario phasings sum to 100%</t>
        </is>
      </c>
      <c r="C17" t="inlineStr">
        <is>
          <t>'Assumptions_Periodic_Capex'!B35</t>
        </is>
      </c>
      <c r="D17" s="69">
        <f>'Assumptions_Periodic_Capex'!B35</f>
        <v/>
      </c>
      <c r="E17" s="69">
        <f>IF(D17=1,"OK","FAIL")</f>
        <v/>
      </c>
    </row>
    <row r="18">
      <c r="A18" t="inlineStr">
        <is>
          <t>Assumptions_Periodic_Ops</t>
        </is>
      </c>
      <c r="B18" t="inlineStr">
        <is>
          <t>Escalation indices start at 1.00</t>
        </is>
      </c>
      <c r="C18" t="inlineStr">
        <is>
          <t>'Assumptions_Periodic_Ops'!B62</t>
        </is>
      </c>
      <c r="D18" s="69">
        <f>'Assumptions_Periodic_Ops'!B62</f>
        <v/>
      </c>
      <c r="E18" s="69">
        <f>IF(D18=1,"OK","FAIL")</f>
        <v/>
      </c>
    </row>
    <row r="19">
      <c r="A19" t="inlineStr">
        <is>
          <t>Assumptions_Periodic_Ops</t>
        </is>
      </c>
      <c r="B19" t="inlineStr">
        <is>
          <t>Active volume indices &gt; 0 every quarter</t>
        </is>
      </c>
      <c r="C19" t="inlineStr">
        <is>
          <t>'Assumptions_Periodic_Ops'!B63</t>
        </is>
      </c>
      <c r="D19" s="69">
        <f>'Assumptions_Periodic_Ops'!B63</f>
        <v/>
      </c>
      <c r="E19" s="69">
        <f>IF(D19=1,"OK","FAIL")</f>
        <v/>
      </c>
    </row>
    <row r="20">
      <c r="A20" t="inlineStr">
        <is>
          <t>Assumptions_Periodic_Ops</t>
        </is>
      </c>
      <c r="B20" t="inlineStr">
        <is>
          <t>Active lumpy maintenance capex &gt;= 0 every quarter</t>
        </is>
      </c>
      <c r="C20" t="inlineStr">
        <is>
          <t>'Assumptions_Periodic_Ops'!B64</t>
        </is>
      </c>
      <c r="D20" s="69">
        <f>'Assumptions_Periodic_Ops'!B64</f>
        <v/>
      </c>
      <c r="E20" s="69">
        <f>IF(D20=1,"OK","FAIL")</f>
        <v/>
      </c>
    </row>
    <row r="21">
      <c r="A21" t="inlineStr">
        <is>
          <t>Calc_Revenue_Opex</t>
        </is>
      </c>
      <c r="B21" t="inlineStr">
        <is>
          <t>Year 1 Revenue Sum = Annual Revenue Input</t>
        </is>
      </c>
      <c r="C21" t="inlineStr">
        <is>
          <t>'Calc_Revenue_Opex'!F20</t>
        </is>
      </c>
      <c r="D21" s="69">
        <f>'Calc_Revenue_Opex'!F20</f>
        <v/>
      </c>
      <c r="E21" s="69">
        <f>IF(D21=1,"OK","FAIL")</f>
        <v/>
      </c>
    </row>
    <row r="22">
      <c r="A22" t="inlineStr">
        <is>
          <t>Calc_Revenue_Opex</t>
        </is>
      </c>
      <c r="B22" t="inlineStr">
        <is>
          <t>Quarters with negative EBITDA</t>
        </is>
      </c>
      <c r="C22" t="inlineStr">
        <is>
          <t>'Calc_Revenue_Opex'!CD21</t>
        </is>
      </c>
      <c r="D22" s="69">
        <f>'Calc_Revenue_Opex'!CD21</f>
        <v/>
      </c>
      <c r="E22" s="69">
        <f>IF(D22=0,"OK","REVIEW")</f>
        <v/>
      </c>
    </row>
    <row r="23">
      <c r="A23" t="inlineStr">
        <is>
          <t>Calc_Revenue_Opex</t>
        </is>
      </c>
      <c r="B23" t="inlineStr">
        <is>
          <t>Total maintenance capex &gt;= 0 every quarter</t>
        </is>
      </c>
      <c r="C23" t="inlineStr">
        <is>
          <t>'Calc_Revenue_Opex'!CD22</t>
        </is>
      </c>
      <c r="D23" s="69">
        <f>'Calc_Revenue_Opex'!CD22</f>
        <v/>
      </c>
      <c r="E23" s="69">
        <f>IF(D23=1,"OK","FAIL")</f>
        <v/>
      </c>
    </row>
    <row r="24">
      <c r="A24" t="inlineStr">
        <is>
          <t>Calc_Tax</t>
        </is>
      </c>
      <c r="B24" t="inlineStr">
        <is>
          <t>Accumulated Base Depreciation &lt;= Total Project Cost</t>
        </is>
      </c>
      <c r="C24" t="inlineStr">
        <is>
          <t>'Calc_Tax'!CD22</t>
        </is>
      </c>
      <c r="D24" s="69">
        <f>'Calc_Tax'!CD22</f>
        <v/>
      </c>
      <c r="E24" s="69">
        <f>IF(D24=1,"OK","FAIL")</f>
        <v/>
      </c>
    </row>
    <row r="25">
      <c r="A25" t="inlineStr">
        <is>
          <t>Calc_Tax</t>
        </is>
      </c>
      <c r="B25" t="inlineStr">
        <is>
          <t>Accumulated Maint Depreciation &lt;= Cumulative Maint Capex</t>
        </is>
      </c>
      <c r="C25" t="inlineStr">
        <is>
          <t>'Calc_Tax'!CD23</t>
        </is>
      </c>
      <c r="D25" s="69">
        <f>'Calc_Tax'!CD23</f>
        <v/>
      </c>
      <c r="E25" s="69">
        <f>IF(D25=1,"OK","FAIL")</f>
        <v/>
      </c>
    </row>
    <row r="26">
      <c r="A26" t="inlineStr">
        <is>
          <t>Calc_Financing_Ops</t>
        </is>
      </c>
      <c r="B26" t="inlineStr">
        <is>
          <t>Closing Balance = 0 at Debt Tenor End</t>
        </is>
      </c>
      <c r="C26" t="inlineStr">
        <is>
          <t>'Calc_Financing_Ops'!CD37</t>
        </is>
      </c>
      <c r="D26" s="69">
        <f>'Calc_Financing_Ops'!CD37</f>
        <v/>
      </c>
      <c r="E26" s="69">
        <f>IF(D26=1,"OK","FAIL")</f>
        <v/>
      </c>
    </row>
    <row r="27">
      <c r="A27" t="inlineStr">
        <is>
          <t>Calc_Financing_Ops</t>
        </is>
      </c>
      <c r="B27" t="inlineStr">
        <is>
          <t>Debt Sizing Converged (Loop 2)</t>
        </is>
      </c>
      <c r="C27" t="inlineStr">
        <is>
          <t>'Calc_Financing_Ops'!CD38</t>
        </is>
      </c>
      <c r="D27" s="69">
        <f>'Calc_Financing_Ops'!CD38</f>
        <v/>
      </c>
      <c r="E27" s="69">
        <f>IF(D27=1,"OK","FAIL")</f>
        <v/>
      </c>
    </row>
    <row r="28">
      <c r="A28" t="inlineStr">
        <is>
          <t>Calc_Financing_Ops</t>
        </is>
      </c>
      <c r="B28" t="inlineStr">
        <is>
          <t>Min DSCR over tenor &gt;= Target DSCR</t>
        </is>
      </c>
      <c r="C28" t="inlineStr">
        <is>
          <t>'Calc_Financing_Ops'!CD39</t>
        </is>
      </c>
      <c r="D28" s="69">
        <f>'Calc_Financing_Ops'!CD39</f>
        <v/>
      </c>
      <c r="E28" s="69">
        <f>IF(D28=1,"OK","FAIL")</f>
        <v/>
      </c>
    </row>
    <row r="29">
      <c r="A29" t="inlineStr">
        <is>
          <t>Calc_Financing_Ops</t>
        </is>
      </c>
      <c r="B29" t="inlineStr">
        <is>
          <t>Quarters where CFADS/DSCR &lt; interest</t>
        </is>
      </c>
      <c r="C29" t="inlineStr">
        <is>
          <t>'Calc_Financing_Ops'!CD40</t>
        </is>
      </c>
      <c r="D29" s="69">
        <f>'Calc_Financing_Ops'!CD40</f>
        <v/>
      </c>
      <c r="E29" s="69">
        <f>IF(D29=0,"OK","REVIEW")</f>
        <v/>
      </c>
    </row>
    <row r="30">
      <c r="A30" t="inlineStr">
        <is>
          <t>Calc_Financing_Ops</t>
        </is>
      </c>
      <c r="B30" t="inlineStr">
        <is>
          <t>Debt sizing capped by Max Gearing</t>
        </is>
      </c>
      <c r="C30" t="inlineStr">
        <is>
          <t>'Calc_Financing_Ops'!CD41</t>
        </is>
      </c>
      <c r="D30" s="69">
        <f>'Calc_Financing_Ops'!CD41</f>
        <v/>
      </c>
      <c r="E30" s="69">
        <f>IF(D30=0,"OK","REVIEW")</f>
        <v/>
      </c>
    </row>
    <row r="31">
      <c r="A31" t="inlineStr">
        <is>
          <t>Calc_Financing_Ops</t>
        </is>
      </c>
      <c r="B31" t="inlineStr">
        <is>
          <t>PLCR &gt;= LLCR in every quarter</t>
        </is>
      </c>
      <c r="C31" t="inlineStr">
        <is>
          <t>'Calc_Financing_Ops'!CD42</t>
        </is>
      </c>
      <c r="D31" s="69">
        <f>'Calc_Financing_Ops'!CD42</f>
        <v/>
      </c>
      <c r="E31" s="69">
        <f>IF(D31=1,"OK","FAIL")</f>
        <v/>
      </c>
    </row>
    <row r="32">
      <c r="A32" t="inlineStr">
        <is>
          <t>Calc_Financing_Ops</t>
        </is>
      </c>
      <c r="B32" t="inlineStr">
        <is>
          <t>LLCR &gt;= 1.00 wherever debt is outstanding</t>
        </is>
      </c>
      <c r="C32" t="inlineStr">
        <is>
          <t>'Calc_Financing_Ops'!CD43</t>
        </is>
      </c>
      <c r="D32" s="69">
        <f>'Calc_Financing_Ops'!CD43</f>
        <v/>
      </c>
      <c r="E32" s="69">
        <f>IF(D32=1,"OK","FAIL")</f>
        <v/>
      </c>
    </row>
    <row r="33">
      <c r="A33" t="inlineStr">
        <is>
          <t>Calc_CFADS</t>
        </is>
      </c>
      <c r="B33" t="inlineStr">
        <is>
          <t>Negative FCFE Quarter Count</t>
        </is>
      </c>
      <c r="C33" t="inlineStr">
        <is>
          <t>'Calc_CFADS'!CD21</t>
        </is>
      </c>
      <c r="D33" s="69">
        <f>'Calc_CFADS'!CD21</f>
        <v/>
      </c>
      <c r="E33" s="69">
        <f>IF(D33=0,"OK","REVIEW")</f>
        <v/>
      </c>
    </row>
    <row r="34">
      <c r="A34" t="inlineStr">
        <is>
          <t>Calc_CFADS</t>
        </is>
      </c>
      <c r="B34" t="inlineStr">
        <is>
          <t>MRA fully released by end of life (net funding = 0)</t>
        </is>
      </c>
      <c r="C34" t="inlineStr">
        <is>
          <t>'Calc_CFADS'!CD22</t>
        </is>
      </c>
      <c r="D34" s="69">
        <f>'Calc_CFADS'!CD22</f>
        <v/>
      </c>
      <c r="E34" s="69">
        <f>IF(D34=1,"OK","FAIL")</f>
        <v/>
      </c>
    </row>
    <row r="35">
      <c r="A35" t="inlineStr">
        <is>
          <t>Calc_CFADS</t>
        </is>
      </c>
      <c r="B35" t="inlineStr">
        <is>
          <t>MRA pre-funds each quarter's maintenance spend</t>
        </is>
      </c>
      <c r="C35" t="inlineStr">
        <is>
          <t>'Calc_CFADS'!CD23</t>
        </is>
      </c>
      <c r="D35" s="69">
        <f>'Calc_CFADS'!CD23</f>
        <v/>
      </c>
      <c r="E35" s="69">
        <f>IF(D35=1,"OK","FAIL")</f>
        <v/>
      </c>
    </row>
    <row r="36">
      <c r="A36" t="inlineStr">
        <is>
          <t>FS_Quarterly</t>
        </is>
      </c>
      <c r="B36" t="inlineStr">
        <is>
          <t>BS Balance Failures (Assets != Liab+Equity)</t>
        </is>
      </c>
      <c r="C36" t="inlineStr">
        <is>
          <t>'FS_Quarterly'!CD42</t>
        </is>
      </c>
      <c r="D36" s="69">
        <f>'FS_Quarterly'!CD42</f>
        <v/>
      </c>
      <c r="E36" s="69">
        <f>IF(D36=0,"OK","FAIL")</f>
        <v/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openpyxl</dc:creator>
  <dcterms:created xsi:type="dcterms:W3CDTF">2026-07-31T10:54:29Z</dcterms:created>
  <dcterms:modified xsi:type="dcterms:W3CDTF">2026-07-31T11:52:45Z</dcterms:modified>
  <cp:lastModifiedBy>mirza zilan</cp:lastModifiedBy>
</cp:coreProperties>
</file>