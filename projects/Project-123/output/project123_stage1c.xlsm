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7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4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0" fontId="32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3" fontId="35" fillId="0" borderId="0" pivotButton="0" quotePrefix="0" xfId="0"/>
    <xf numFmtId="0" fontId="36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29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16" customWidth="1" min="4" max="4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8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59" t="inlineStr">
        <is>
          <t>SolveAllCurrentScenario</t>
        </is>
      </c>
      <c r="I3" s="59" t="inlineStr">
        <is>
          <t>Solve All (Current Scenario)</t>
        </is>
      </c>
    </row>
    <row r="4">
      <c r="A4" t="inlineStr">
        <is>
          <t>Circularity Tolerance ($)</t>
        </is>
      </c>
      <c r="B4" s="60" t="n">
        <v>1</v>
      </c>
      <c r="H4" s="59" t="inlineStr">
        <is>
          <t>GoalSeekEIRR</t>
        </is>
      </c>
      <c r="I4" s="59" t="inlineStr">
        <is>
          <t>Goal Seek -&gt; Target EIRR</t>
        </is>
      </c>
    </row>
    <row r="5">
      <c r="A5" t="inlineStr">
        <is>
          <t>Max Iterations (per convergence loop)</t>
        </is>
      </c>
      <c r="B5" s="60" t="n">
        <v>100</v>
      </c>
      <c r="H5" s="59" t="inlineStr">
        <is>
          <t>GoalSeekPIRR</t>
        </is>
      </c>
      <c r="I5" s="59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0" t="n">
        <v>100</v>
      </c>
      <c r="H6" s="59" t="inlineStr">
        <is>
          <t>RunAllScenarios</t>
        </is>
      </c>
      <c r="I6" s="59" t="inlineStr">
        <is>
          <t>Run All 10 Scenarios (Batch)</t>
        </is>
      </c>
    </row>
    <row r="7">
      <c r="H7" s="59" t="inlineStr">
        <is>
          <t>SolveConstructionIDC</t>
        </is>
      </c>
      <c r="I7" s="59" t="inlineStr">
        <is>
          <t>Solve Construction IDC</t>
        </is>
      </c>
    </row>
    <row r="8">
      <c r="A8" s="51" t="inlineStr">
        <is>
          <t>Model Status</t>
        </is>
      </c>
      <c r="H8" s="59" t="inlineStr">
        <is>
          <t>SolveDebtSculpting</t>
        </is>
      </c>
      <c r="I8" s="59" t="inlineStr">
        <is>
          <t>Solve Debt Sculpting</t>
        </is>
      </c>
    </row>
    <row r="9">
      <c r="B9" s="50">
        <f>Check_Control!B3</f>
        <v/>
      </c>
      <c r="H9" s="59" t="inlineStr">
        <is>
          <t>ResetAllStagedValues</t>
        </is>
      </c>
      <c r="I9" s="59" t="inlineStr">
        <is>
          <t>Reset Staged Values</t>
        </is>
      </c>
    </row>
    <row r="10">
      <c r="H10" s="59" t="inlineStr">
        <is>
          <t>InvalidateSolveSnapshot</t>
        </is>
      </c>
      <c r="I10" s="59" t="inlineStr">
        <is>
          <t>Invalidate Solve</t>
        </is>
      </c>
    </row>
    <row r="11">
      <c r="A11" s="61" t="inlineStr">
        <is>
          <t>Buttons (Stage 1b+): Solve Construction IDC | Solve Debt Sculpting | Goal Seek -&gt; EIRR | Goal Seek -&gt; PIRR</t>
        </is>
      </c>
      <c r="H11" s="59" t="inlineStr"/>
      <c r="I11" s="59" t="inlineStr"/>
    </row>
    <row r="12">
      <c r="A12" s="62" t="inlineStr">
        <is>
          <t>Placeholder rows only — Form Control buttons + macro assignment are a manual, one-time step (see VBA hand-off docs).</t>
        </is>
      </c>
      <c r="H12" s="59" t="inlineStr"/>
      <c r="I12" s="59" t="inlineStr"/>
    </row>
    <row r="14">
      <c r="A14" s="51" t="inlineStr">
        <is>
          <t>Construction Drawdown Method</t>
        </is>
      </c>
      <c r="B14" s="60" t="inlineStr">
        <is>
          <t>Pari Passu</t>
        </is>
      </c>
    </row>
    <row r="15">
      <c r="A15" s="62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0" t="inlineStr">
        <is>
          <t>DSCR Sculpted</t>
        </is>
      </c>
    </row>
    <row r="18">
      <c r="A18" s="62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3" t="n">
        <v>1</v>
      </c>
      <c r="C20" s="64">
        <f>Assumptions_Constant!$B$4</f>
        <v/>
      </c>
    </row>
    <row r="21">
      <c r="A21" s="62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0" t="inlineStr">
        <is>
          <t>Cash Funded</t>
        </is>
      </c>
    </row>
    <row r="25">
      <c r="A25" t="inlineStr">
        <is>
          <t>DSRA Funding Timing</t>
        </is>
      </c>
      <c r="B25" s="60" t="inlineStr">
        <is>
          <t>At Financial Close</t>
        </is>
      </c>
    </row>
    <row r="26">
      <c r="A26" t="inlineStr">
        <is>
          <t>Tax Loss Treatment</t>
        </is>
      </c>
      <c r="B26" s="60" t="inlineStr">
        <is>
          <t>Carried Forward</t>
        </is>
      </c>
    </row>
    <row r="27">
      <c r="A27" t="inlineStr">
        <is>
          <t>Distribution Lock-up DSCR</t>
        </is>
      </c>
      <c r="B27" s="65" t="n">
        <v>1.1</v>
      </c>
    </row>
    <row r="28">
      <c r="A28" t="inlineStr">
        <is>
          <t>Negative Cash Treatment</t>
        </is>
      </c>
      <c r="B28" s="60" t="inlineStr">
        <is>
          <t>Retain in Buffer</t>
        </is>
      </c>
    </row>
    <row r="29">
      <c r="A29" t="inlineStr">
        <is>
          <t>Target Cash Buffer (quarters of opex)</t>
        </is>
      </c>
      <c r="B29" s="66" t="n">
        <v>2</v>
      </c>
    </row>
    <row r="31">
      <c r="A31" s="62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67" t="n">
        <v>0.12</v>
      </c>
    </row>
    <row r="35">
      <c r="A35" t="inlineStr">
        <is>
          <t>Target PIRR</t>
        </is>
      </c>
      <c r="B35" s="67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68">
        <f>B36-B34</f>
        <v/>
      </c>
    </row>
    <row r="39">
      <c r="A39" t="inlineStr">
        <is>
          <t>PIRR less Target</t>
        </is>
      </c>
      <c r="B39" s="68">
        <f>B37-B35</f>
        <v/>
      </c>
    </row>
    <row r="40">
      <c r="A40" t="inlineStr">
        <is>
          <t>Goal Seek Status</t>
        </is>
      </c>
      <c r="B40" s="69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2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5" t="n">
        <v>0.5</v>
      </c>
    </row>
    <row r="45">
      <c r="A45" t="inlineStr">
        <is>
          <t>Search Bound: Revenue Max (x current)</t>
        </is>
      </c>
      <c r="B45" s="65" t="n">
        <v>2</v>
      </c>
    </row>
    <row r="46">
      <c r="A46" t="inlineStr">
        <is>
          <t>Goal Seek Tolerance (IRR)</t>
        </is>
      </c>
      <c r="B46" s="70" t="n">
        <v>0.0001</v>
      </c>
    </row>
    <row r="47">
      <c r="A47" t="inlineStr">
        <is>
          <t>Goal Seek Max Iterations</t>
        </is>
      </c>
      <c r="B47" s="71" t="n">
        <v>60</v>
      </c>
    </row>
    <row r="48">
      <c r="A48" s="51" t="inlineStr">
        <is>
          <t>Batch Mode (Run All 10 Scenarios)</t>
        </is>
      </c>
      <c r="B48" s="60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2">
        <f>Calc_Capex!$Z$17</f>
        <v/>
      </c>
    </row>
    <row r="53">
      <c r="A53" t="inlineStr">
        <is>
          <t>Debt Facility ($)</t>
        </is>
      </c>
      <c r="B53" s="72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0" t="inlineStr">
        <is>
          <t>(never)</t>
        </is>
      </c>
    </row>
    <row r="61">
      <c r="A61" s="51" t="inlineStr">
        <is>
          <t>Solve Status</t>
        </is>
      </c>
      <c r="B61" s="73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0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0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0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0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0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0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0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0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0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0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0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0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0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0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0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0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0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0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0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0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0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0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Assumptions_Model — Resolved Inputs for the Active Scenario</t>
        </is>
      </c>
    </row>
    <row r="2">
      <c r="A2" s="62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2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4">
        <f>Assumptions_Constant!$B$9</f>
        <v/>
      </c>
    </row>
    <row r="7">
      <c r="A7" t="inlineStr">
        <is>
          <t>Target DSCR</t>
        </is>
      </c>
      <c r="B7" s="75">
        <f>Assumptions_Constant!$B$10</f>
        <v/>
      </c>
    </row>
    <row r="8">
      <c r="A8" t="inlineStr">
        <is>
          <t>Annual Revenue ($) — base, pre-index and pre-escalation</t>
        </is>
      </c>
      <c r="B8" s="72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4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3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6">
        <f>INDEX($C$4:$L$4,1,Cover!$B$20)</f>
        <v/>
      </c>
      <c r="C4" s="60" t="inlineStr">
        <is>
          <t>Base</t>
        </is>
      </c>
      <c r="D4" s="60" t="inlineStr">
        <is>
          <t>Upside</t>
        </is>
      </c>
      <c r="E4" s="60" t="inlineStr">
        <is>
          <t>Downside</t>
        </is>
      </c>
      <c r="F4" s="60" t="inlineStr">
        <is>
          <t>Scenario 4</t>
        </is>
      </c>
      <c r="G4" s="60" t="inlineStr">
        <is>
          <t>Scenario 5</t>
        </is>
      </c>
      <c r="H4" s="60" t="inlineStr">
        <is>
          <t>Scenario 6</t>
        </is>
      </c>
      <c r="I4" s="60" t="inlineStr">
        <is>
          <t>Scenario 7</t>
        </is>
      </c>
      <c r="J4" s="60" t="inlineStr">
        <is>
          <t>Scenario 8</t>
        </is>
      </c>
      <c r="K4" s="60" t="inlineStr">
        <is>
          <t>Scenario 9</t>
        </is>
      </c>
      <c r="L4" s="60" t="inlineStr">
        <is>
          <t>Scenario 10</t>
        </is>
      </c>
    </row>
    <row r="6">
      <c r="A6" t="inlineStr">
        <is>
          <t>Total Capex ($)</t>
        </is>
      </c>
      <c r="B6" s="77">
        <f>INDEX($C$6:$L$6,1,Cover!$B$20)</f>
        <v/>
      </c>
      <c r="C6" s="78" t="n">
        <v>100000000</v>
      </c>
      <c r="D6" s="78" t="n">
        <v>95000000</v>
      </c>
      <c r="E6" s="78" t="n">
        <v>110000000</v>
      </c>
      <c r="F6" s="78" t="n">
        <v>100000000</v>
      </c>
      <c r="G6" s="78" t="n">
        <v>100000000</v>
      </c>
      <c r="H6" s="78" t="n">
        <v>100000000</v>
      </c>
      <c r="I6" s="78" t="n">
        <v>100000000</v>
      </c>
      <c r="J6" s="78" t="n">
        <v>100000000</v>
      </c>
      <c r="K6" s="78" t="n">
        <v>100000000</v>
      </c>
      <c r="L6" s="78" t="n">
        <v>100000000</v>
      </c>
    </row>
    <row r="7">
      <c r="A7" t="inlineStr">
        <is>
          <t>Gearing (Debt % of TPC)</t>
        </is>
      </c>
      <c r="B7" s="79">
        <f>INDEX($C$7:$L$7,1,Cover!$B$20)</f>
        <v/>
      </c>
      <c r="C7" s="67" t="n">
        <v>0.7</v>
      </c>
      <c r="D7" s="67" t="n">
        <v>0.75</v>
      </c>
      <c r="E7" s="67" t="n">
        <v>0.65</v>
      </c>
      <c r="F7" s="67" t="n">
        <v>0.7</v>
      </c>
      <c r="G7" s="67" t="n">
        <v>0.7</v>
      </c>
      <c r="H7" s="67" t="n">
        <v>0.7</v>
      </c>
      <c r="I7" s="67" t="n">
        <v>0.7</v>
      </c>
      <c r="J7" s="67" t="n">
        <v>0.7</v>
      </c>
      <c r="K7" s="67" t="n">
        <v>0.7</v>
      </c>
      <c r="L7" s="67" t="n">
        <v>0.7</v>
      </c>
    </row>
    <row r="8">
      <c r="A8" t="inlineStr">
        <is>
          <t>Interest Rate (Annual)</t>
        </is>
      </c>
      <c r="B8" s="79">
        <f>INDEX($C$8:$L$8,1,Cover!$B$20)</f>
        <v/>
      </c>
      <c r="C8" s="67" t="n">
        <v>0.06</v>
      </c>
      <c r="D8" s="67" t="n">
        <v>0.055</v>
      </c>
      <c r="E8" s="67" t="n">
        <v>0.07000000000000001</v>
      </c>
      <c r="F8" s="67" t="n">
        <v>0.06</v>
      </c>
      <c r="G8" s="67" t="n">
        <v>0.06</v>
      </c>
      <c r="H8" s="67" t="n">
        <v>0.06</v>
      </c>
      <c r="I8" s="67" t="n">
        <v>0.06</v>
      </c>
      <c r="J8" s="67" t="n">
        <v>0.06</v>
      </c>
      <c r="K8" s="67" t="n">
        <v>0.06</v>
      </c>
      <c r="L8" s="67" t="n">
        <v>0.06</v>
      </c>
    </row>
    <row r="9">
      <c r="A9" t="inlineStr">
        <is>
          <t>Debt Tenor (Years)</t>
        </is>
      </c>
      <c r="B9" s="80">
        <f>INDEX($C$9:$L$9,1,Cover!$B$20)</f>
        <v/>
      </c>
      <c r="C9" s="71" t="n">
        <v>15</v>
      </c>
      <c r="D9" s="71" t="n">
        <v>17</v>
      </c>
      <c r="E9" s="71" t="n">
        <v>12</v>
      </c>
      <c r="F9" s="71" t="n">
        <v>15</v>
      </c>
      <c r="G9" s="71" t="n">
        <v>15</v>
      </c>
      <c r="H9" s="71" t="n">
        <v>15</v>
      </c>
      <c r="I9" s="71" t="n">
        <v>15</v>
      </c>
      <c r="J9" s="71" t="n">
        <v>15</v>
      </c>
      <c r="K9" s="71" t="n">
        <v>15</v>
      </c>
      <c r="L9" s="71" t="n">
        <v>15</v>
      </c>
    </row>
    <row r="10">
      <c r="A10" t="inlineStr">
        <is>
          <t>Target DSCR</t>
        </is>
      </c>
      <c r="B10" s="81">
        <f>INDEX($C$10:$L$10,1,Cover!$B$20)</f>
        <v/>
      </c>
      <c r="C10" s="65" t="n">
        <v>1.3</v>
      </c>
      <c r="D10" s="65" t="n">
        <v>1.25</v>
      </c>
      <c r="E10" s="65" t="n">
        <v>1.4</v>
      </c>
      <c r="F10" s="65" t="n">
        <v>1.3</v>
      </c>
      <c r="G10" s="65" t="n">
        <v>1.3</v>
      </c>
      <c r="H10" s="65" t="n">
        <v>1.3</v>
      </c>
      <c r="I10" s="65" t="n">
        <v>1.3</v>
      </c>
      <c r="J10" s="65" t="n">
        <v>1.3</v>
      </c>
      <c r="K10" s="65" t="n">
        <v>1.3</v>
      </c>
      <c r="L10" s="65" t="n">
        <v>1.3</v>
      </c>
    </row>
    <row r="11">
      <c r="A11" t="inlineStr">
        <is>
          <t>Annual Revenue ($)</t>
        </is>
      </c>
      <c r="B11" s="77">
        <f>INDEX($C$11:$L$11,1,Cover!$B$20)</f>
        <v/>
      </c>
      <c r="C11" s="78" t="n">
        <v>15000000</v>
      </c>
      <c r="D11" s="78" t="n">
        <v>18000000</v>
      </c>
      <c r="E11" s="78" t="n">
        <v>12000000</v>
      </c>
      <c r="F11" s="78" t="n">
        <v>15000000</v>
      </c>
      <c r="G11" s="78" t="n">
        <v>15000000</v>
      </c>
      <c r="H11" s="78" t="n">
        <v>15000000</v>
      </c>
      <c r="I11" s="78" t="n">
        <v>15000000</v>
      </c>
      <c r="J11" s="78" t="n">
        <v>15000000</v>
      </c>
      <c r="K11" s="78" t="n">
        <v>15000000</v>
      </c>
      <c r="L11" s="78" t="n">
        <v>15000000</v>
      </c>
    </row>
    <row r="12">
      <c r="A12" t="inlineStr">
        <is>
          <t>Opex % of Revenue</t>
        </is>
      </c>
      <c r="B12" s="79">
        <f>INDEX($C$12:$L$12,1,Cover!$B$20)</f>
        <v/>
      </c>
      <c r="C12" s="67" t="n">
        <v>0.3</v>
      </c>
      <c r="D12" s="67" t="n">
        <v>0.27</v>
      </c>
      <c r="E12" s="67" t="n">
        <v>0.35</v>
      </c>
      <c r="F12" s="67" t="n">
        <v>0.3</v>
      </c>
      <c r="G12" s="67" t="n">
        <v>0.3</v>
      </c>
      <c r="H12" s="67" t="n">
        <v>0.3</v>
      </c>
      <c r="I12" s="67" t="n">
        <v>0.3</v>
      </c>
      <c r="J12" s="67" t="n">
        <v>0.3</v>
      </c>
      <c r="K12" s="67" t="n">
        <v>0.3</v>
      </c>
      <c r="L12" s="67" t="n">
        <v>0.3</v>
      </c>
    </row>
    <row r="13">
      <c r="A13" t="inlineStr">
        <is>
          <t>Tax Rate</t>
        </is>
      </c>
      <c r="B13" s="79">
        <f>INDEX($C$13:$L$13,1,Cover!$B$20)</f>
        <v/>
      </c>
      <c r="C13" s="67" t="n">
        <v>0.25</v>
      </c>
      <c r="D13" s="67" t="n">
        <v>0.25</v>
      </c>
      <c r="E13" s="67" t="n">
        <v>0.25</v>
      </c>
      <c r="F13" s="67" t="n">
        <v>0.25</v>
      </c>
      <c r="G13" s="67" t="n">
        <v>0.25</v>
      </c>
      <c r="H13" s="67" t="n">
        <v>0.25</v>
      </c>
      <c r="I13" s="67" t="n">
        <v>0.25</v>
      </c>
      <c r="J13" s="67" t="n">
        <v>0.25</v>
      </c>
      <c r="K13" s="67" t="n">
        <v>0.25</v>
      </c>
      <c r="L13" s="67" t="n">
        <v>0.25</v>
      </c>
    </row>
    <row r="14">
      <c r="A14" t="inlineStr">
        <is>
          <t>Useful Life (Years)</t>
        </is>
      </c>
      <c r="B14" s="80">
        <f>INDEX($C$14:$L$14,1,Cover!$B$20)</f>
        <v/>
      </c>
      <c r="C14" s="71" t="n">
        <v>20</v>
      </c>
      <c r="D14" s="71" t="n">
        <v>20</v>
      </c>
      <c r="E14" s="71" t="n">
        <v>20</v>
      </c>
      <c r="F14" s="71" t="n">
        <v>20</v>
      </c>
      <c r="G14" s="71" t="n">
        <v>20</v>
      </c>
      <c r="H14" s="71" t="n">
        <v>20</v>
      </c>
      <c r="I14" s="71" t="n">
        <v>20</v>
      </c>
      <c r="J14" s="71" t="n">
        <v>20</v>
      </c>
      <c r="K14" s="71" t="n">
        <v>20</v>
      </c>
      <c r="L14" s="71" t="n">
        <v>20</v>
      </c>
    </row>
    <row r="15">
      <c r="A15" t="inlineStr">
        <is>
          <t>Max Gearing (cap)</t>
        </is>
      </c>
      <c r="B15" s="79">
        <f>INDEX($C$15:$L$15,1,Cover!$B$20)</f>
        <v/>
      </c>
      <c r="C15" s="67" t="n">
        <v>0.85</v>
      </c>
      <c r="D15" s="67" t="n">
        <v>0.85</v>
      </c>
      <c r="E15" s="67" t="n">
        <v>0.85</v>
      </c>
      <c r="F15" s="67" t="n">
        <v>0.85</v>
      </c>
      <c r="G15" s="67" t="n">
        <v>0.85</v>
      </c>
      <c r="H15" s="67" t="n">
        <v>0.85</v>
      </c>
      <c r="I15" s="67" t="n">
        <v>0.85</v>
      </c>
      <c r="J15" s="67" t="n">
        <v>0.85</v>
      </c>
      <c r="K15" s="67" t="n">
        <v>0.85</v>
      </c>
      <c r="L15" s="67" t="n">
        <v>0.85</v>
      </c>
    </row>
    <row r="16">
      <c r="A16" t="inlineStr">
        <is>
          <t>Escalation Factor 1 (Annual %)</t>
        </is>
      </c>
      <c r="B16" s="79">
        <f>INDEX($C$16:$L$16,1,Cover!$B$20)</f>
        <v/>
      </c>
      <c r="C16" s="67" t="n">
        <v>0</v>
      </c>
      <c r="D16" s="67" t="n">
        <v>0</v>
      </c>
      <c r="E16" s="67" t="n">
        <v>0</v>
      </c>
      <c r="F16" s="67" t="n">
        <v>0</v>
      </c>
      <c r="G16" s="67" t="n">
        <v>0</v>
      </c>
      <c r="H16" s="67" t="n">
        <v>0</v>
      </c>
      <c r="I16" s="67" t="n">
        <v>0</v>
      </c>
      <c r="J16" s="67" t="n">
        <v>0</v>
      </c>
      <c r="K16" s="67" t="n">
        <v>0</v>
      </c>
      <c r="L16" s="67" t="n">
        <v>0</v>
      </c>
    </row>
    <row r="17">
      <c r="A17" t="inlineStr">
        <is>
          <t>Escalation Factor 2 (Annual %)</t>
        </is>
      </c>
      <c r="B17" s="79">
        <f>INDEX($C$17:$L$17,1,Cover!$B$20)</f>
        <v/>
      </c>
      <c r="C17" s="67" t="n">
        <v>0</v>
      </c>
      <c r="D17" s="67" t="n">
        <v>0</v>
      </c>
      <c r="E17" s="67" t="n">
        <v>0</v>
      </c>
      <c r="F17" s="67" t="n">
        <v>0</v>
      </c>
      <c r="G17" s="67" t="n">
        <v>0</v>
      </c>
      <c r="H17" s="67" t="n">
        <v>0</v>
      </c>
      <c r="I17" s="67" t="n">
        <v>0</v>
      </c>
      <c r="J17" s="67" t="n">
        <v>0</v>
      </c>
      <c r="K17" s="67" t="n">
        <v>0</v>
      </c>
      <c r="L17" s="67" t="n">
        <v>0</v>
      </c>
    </row>
    <row r="18">
      <c r="A18" t="inlineStr">
        <is>
          <t>Escalation Factor 3 (Annual %)</t>
        </is>
      </c>
      <c r="B18" s="79">
        <f>INDEX($C$18:$L$18,1,Cover!$B$20)</f>
        <v/>
      </c>
      <c r="C18" s="67" t="n">
        <v>0.025</v>
      </c>
      <c r="D18" s="67" t="n">
        <v>0.02</v>
      </c>
      <c r="E18" s="67" t="n">
        <v>0.04</v>
      </c>
      <c r="F18" s="67" t="n">
        <v>0.025</v>
      </c>
      <c r="G18" s="67" t="n">
        <v>0.025</v>
      </c>
      <c r="H18" s="67" t="n">
        <v>0.025</v>
      </c>
      <c r="I18" s="67" t="n">
        <v>0.025</v>
      </c>
      <c r="J18" s="67" t="n">
        <v>0.025</v>
      </c>
      <c r="K18" s="67" t="n">
        <v>0.025</v>
      </c>
      <c r="L18" s="67" t="n">
        <v>0.025</v>
      </c>
    </row>
    <row r="19">
      <c r="A19" t="inlineStr">
        <is>
          <t>Escalation Factor 4 (Annual %)</t>
        </is>
      </c>
      <c r="B19" s="79">
        <f>INDEX($C$19:$L$19,1,Cover!$B$20)</f>
        <v/>
      </c>
      <c r="C19" s="67" t="n">
        <v>0.03</v>
      </c>
      <c r="D19" s="67" t="n">
        <v>0.025</v>
      </c>
      <c r="E19" s="67" t="n">
        <v>0.045</v>
      </c>
      <c r="F19" s="67" t="n">
        <v>0.03</v>
      </c>
      <c r="G19" s="67" t="n">
        <v>0.03</v>
      </c>
      <c r="H19" s="67" t="n">
        <v>0.03</v>
      </c>
      <c r="I19" s="67" t="n">
        <v>0.03</v>
      </c>
      <c r="J19" s="67" t="n">
        <v>0.03</v>
      </c>
      <c r="K19" s="67" t="n">
        <v>0.03</v>
      </c>
      <c r="L19" s="67" t="n">
        <v>0.03</v>
      </c>
    </row>
    <row r="20">
      <c r="A20" t="inlineStr">
        <is>
          <t>Routine Maint Capex (% of Revenue)</t>
        </is>
      </c>
      <c r="B20" s="79">
        <f>INDEX($C$20:$L$20,1,Cover!$B$20)</f>
        <v/>
      </c>
      <c r="C20" s="67" t="n">
        <v>0.015</v>
      </c>
      <c r="D20" s="67" t="n">
        <v>0.012</v>
      </c>
      <c r="E20" s="67" t="n">
        <v>0.02</v>
      </c>
      <c r="F20" s="67" t="n">
        <v>0.015</v>
      </c>
      <c r="G20" s="67" t="n">
        <v>0.015</v>
      </c>
      <c r="H20" s="67" t="n">
        <v>0.015</v>
      </c>
      <c r="I20" s="67" t="n">
        <v>0.015</v>
      </c>
      <c r="J20" s="67" t="n">
        <v>0.015</v>
      </c>
      <c r="K20" s="67" t="n">
        <v>0.015</v>
      </c>
      <c r="L20" s="67" t="n">
        <v>0.015</v>
      </c>
    </row>
    <row r="21">
      <c r="A21" t="inlineStr">
        <is>
          <t>DSRA LC Fee (% p.a. on requirement)</t>
        </is>
      </c>
      <c r="B21" s="79">
        <f>INDEX($C$21:$L$21,1,Cover!$B$20)</f>
        <v/>
      </c>
      <c r="C21" s="67" t="n">
        <v>0.015</v>
      </c>
      <c r="D21" s="67" t="n">
        <v>0.015</v>
      </c>
      <c r="E21" s="67" t="n">
        <v>0.02</v>
      </c>
      <c r="F21" s="67" t="n">
        <v>0.015</v>
      </c>
      <c r="G21" s="67" t="n">
        <v>0.015</v>
      </c>
      <c r="H21" s="67" t="n">
        <v>0.015</v>
      </c>
      <c r="I21" s="67" t="n">
        <v>0.015</v>
      </c>
      <c r="J21" s="67" t="n">
        <v>0.015</v>
      </c>
      <c r="K21" s="67" t="n">
        <v>0.015</v>
      </c>
      <c r="L21" s="67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2">
        <f>IF(AND(ISNUMBER(B6),B6&gt;0),1,0)</f>
        <v/>
      </c>
    </row>
    <row r="25">
      <c r="A25" t="inlineStr">
        <is>
          <t>Check: All scenario cells populated</t>
        </is>
      </c>
      <c r="B25" s="82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Assumptions_Periodic_Capex — Monthly, Scenarios as Row Blocks</t>
        </is>
      </c>
    </row>
    <row r="2">
      <c r="A2" s="62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67" t="n">
        <v>0.06307818833421686</v>
      </c>
      <c r="D8" s="67" t="n">
        <v>0.01655674808200606</v>
      </c>
      <c r="E8" s="67" t="n">
        <v>0.02046169881065777</v>
      </c>
      <c r="F8" s="67" t="n">
        <v>0.02504105082360117</v>
      </c>
      <c r="G8" s="67" t="n">
        <v>0.03028034795128202</v>
      </c>
      <c r="H8" s="67" t="n">
        <v>0.03608992183038291</v>
      </c>
      <c r="I8" s="67" t="n">
        <v>0.04227977003039048</v>
      </c>
      <c r="J8" s="67" t="n">
        <v>0.04854350044015626</v>
      </c>
      <c r="K8" s="67" t="n">
        <v>0.05446282655993522</v>
      </c>
      <c r="L8" s="67" t="n">
        <v>0.05954325902461896</v>
      </c>
      <c r="M8" s="67" t="n">
        <v>0.06328413571041036</v>
      </c>
      <c r="N8" s="67" t="n">
        <v>0.06527208658627384</v>
      </c>
      <c r="O8" s="67" t="n">
        <v>0.06527208658627384</v>
      </c>
      <c r="P8" s="67" t="n">
        <v>0.06328413571041036</v>
      </c>
      <c r="Q8" s="67" t="n">
        <v>0.05954325902461896</v>
      </c>
      <c r="R8" s="67" t="n">
        <v>0.05446282655993522</v>
      </c>
      <c r="S8" s="67" t="n">
        <v>0.04854350044015618</v>
      </c>
      <c r="T8" s="67" t="n">
        <v>0.04227977003039056</v>
      </c>
      <c r="U8" s="67" t="n">
        <v>0.03608992183038297</v>
      </c>
      <c r="V8" s="67" t="n">
        <v>0.03028034795128182</v>
      </c>
      <c r="W8" s="67" t="n">
        <v>0.02504105082360136</v>
      </c>
      <c r="X8" s="67" t="n">
        <v>0.02046169881065782</v>
      </c>
      <c r="Y8" s="67" t="n">
        <v>0.01655674808200598</v>
      </c>
      <c r="Z8" s="67" t="n">
        <v>0.01329111996635305</v>
      </c>
    </row>
    <row r="9">
      <c r="A9" t="inlineStr">
        <is>
          <t>Scenario 2</t>
        </is>
      </c>
      <c r="C9" s="67" t="n">
        <v>0.06307818833421686</v>
      </c>
      <c r="D9" s="67" t="n">
        <v>0.01655674808200606</v>
      </c>
      <c r="E9" s="67" t="n">
        <v>0.02046169881065777</v>
      </c>
      <c r="F9" s="67" t="n">
        <v>0.02504105082360117</v>
      </c>
      <c r="G9" s="67" t="n">
        <v>0.03028034795128202</v>
      </c>
      <c r="H9" s="67" t="n">
        <v>0.03608992183038291</v>
      </c>
      <c r="I9" s="67" t="n">
        <v>0.04227977003039048</v>
      </c>
      <c r="J9" s="67" t="n">
        <v>0.04854350044015626</v>
      </c>
      <c r="K9" s="67" t="n">
        <v>0.05446282655993522</v>
      </c>
      <c r="L9" s="67" t="n">
        <v>0.05954325902461896</v>
      </c>
      <c r="M9" s="67" t="n">
        <v>0.06328413571041036</v>
      </c>
      <c r="N9" s="67" t="n">
        <v>0.06527208658627384</v>
      </c>
      <c r="O9" s="67" t="n">
        <v>0.06527208658627384</v>
      </c>
      <c r="P9" s="67" t="n">
        <v>0.06328413571041036</v>
      </c>
      <c r="Q9" s="67" t="n">
        <v>0.05954325902461896</v>
      </c>
      <c r="R9" s="67" t="n">
        <v>0.05446282655993522</v>
      </c>
      <c r="S9" s="67" t="n">
        <v>0.04854350044015618</v>
      </c>
      <c r="T9" s="67" t="n">
        <v>0.04227977003039056</v>
      </c>
      <c r="U9" s="67" t="n">
        <v>0.03608992183038297</v>
      </c>
      <c r="V9" s="67" t="n">
        <v>0.03028034795128182</v>
      </c>
      <c r="W9" s="67" t="n">
        <v>0.02504105082360136</v>
      </c>
      <c r="X9" s="67" t="n">
        <v>0.02046169881065782</v>
      </c>
      <c r="Y9" s="67" t="n">
        <v>0.01655674808200598</v>
      </c>
      <c r="Z9" s="67" t="n">
        <v>0.01329111996635305</v>
      </c>
    </row>
    <row r="10">
      <c r="A10" t="inlineStr">
        <is>
          <t>Scenario 3</t>
        </is>
      </c>
      <c r="C10" s="67" t="n">
        <v>0.06307818833421686</v>
      </c>
      <c r="D10" s="67" t="n">
        <v>0.01655674808200606</v>
      </c>
      <c r="E10" s="67" t="n">
        <v>0.02046169881065777</v>
      </c>
      <c r="F10" s="67" t="n">
        <v>0.02504105082360117</v>
      </c>
      <c r="G10" s="67" t="n">
        <v>0.03028034795128202</v>
      </c>
      <c r="H10" s="67" t="n">
        <v>0.03608992183038291</v>
      </c>
      <c r="I10" s="67" t="n">
        <v>0.04227977003039048</v>
      </c>
      <c r="J10" s="67" t="n">
        <v>0.04854350044015626</v>
      </c>
      <c r="K10" s="67" t="n">
        <v>0.05446282655993522</v>
      </c>
      <c r="L10" s="67" t="n">
        <v>0.05954325902461896</v>
      </c>
      <c r="M10" s="67" t="n">
        <v>0.06328413571041036</v>
      </c>
      <c r="N10" s="67" t="n">
        <v>0.06527208658627384</v>
      </c>
      <c r="O10" s="67" t="n">
        <v>0.06527208658627384</v>
      </c>
      <c r="P10" s="67" t="n">
        <v>0.06328413571041036</v>
      </c>
      <c r="Q10" s="67" t="n">
        <v>0.05954325902461896</v>
      </c>
      <c r="R10" s="67" t="n">
        <v>0.05446282655993522</v>
      </c>
      <c r="S10" s="67" t="n">
        <v>0.04854350044015618</v>
      </c>
      <c r="T10" s="67" t="n">
        <v>0.04227977003039056</v>
      </c>
      <c r="U10" s="67" t="n">
        <v>0.03608992183038297</v>
      </c>
      <c r="V10" s="67" t="n">
        <v>0.03028034795128182</v>
      </c>
      <c r="W10" s="67" t="n">
        <v>0.02504105082360136</v>
      </c>
      <c r="X10" s="67" t="n">
        <v>0.02046169881065782</v>
      </c>
      <c r="Y10" s="67" t="n">
        <v>0.01655674808200598</v>
      </c>
      <c r="Z10" s="67" t="n">
        <v>0.01329111996635305</v>
      </c>
    </row>
    <row r="11">
      <c r="A11" t="inlineStr">
        <is>
          <t>Scenario 4</t>
        </is>
      </c>
      <c r="C11" s="67" t="n">
        <v>0.06307818833421686</v>
      </c>
      <c r="D11" s="67" t="n">
        <v>0.01655674808200606</v>
      </c>
      <c r="E11" s="67" t="n">
        <v>0.02046169881065777</v>
      </c>
      <c r="F11" s="67" t="n">
        <v>0.02504105082360117</v>
      </c>
      <c r="G11" s="67" t="n">
        <v>0.03028034795128202</v>
      </c>
      <c r="H11" s="67" t="n">
        <v>0.03608992183038291</v>
      </c>
      <c r="I11" s="67" t="n">
        <v>0.04227977003039048</v>
      </c>
      <c r="J11" s="67" t="n">
        <v>0.04854350044015626</v>
      </c>
      <c r="K11" s="67" t="n">
        <v>0.05446282655993522</v>
      </c>
      <c r="L11" s="67" t="n">
        <v>0.05954325902461896</v>
      </c>
      <c r="M11" s="67" t="n">
        <v>0.06328413571041036</v>
      </c>
      <c r="N11" s="67" t="n">
        <v>0.06527208658627384</v>
      </c>
      <c r="O11" s="67" t="n">
        <v>0.06527208658627384</v>
      </c>
      <c r="P11" s="67" t="n">
        <v>0.06328413571041036</v>
      </c>
      <c r="Q11" s="67" t="n">
        <v>0.05954325902461896</v>
      </c>
      <c r="R11" s="67" t="n">
        <v>0.05446282655993522</v>
      </c>
      <c r="S11" s="67" t="n">
        <v>0.04854350044015618</v>
      </c>
      <c r="T11" s="67" t="n">
        <v>0.04227977003039056</v>
      </c>
      <c r="U11" s="67" t="n">
        <v>0.03608992183038297</v>
      </c>
      <c r="V11" s="67" t="n">
        <v>0.03028034795128182</v>
      </c>
      <c r="W11" s="67" t="n">
        <v>0.02504105082360136</v>
      </c>
      <c r="X11" s="67" t="n">
        <v>0.02046169881065782</v>
      </c>
      <c r="Y11" s="67" t="n">
        <v>0.01655674808200598</v>
      </c>
      <c r="Z11" s="67" t="n">
        <v>0.01329111996635305</v>
      </c>
    </row>
    <row r="12">
      <c r="A12" t="inlineStr">
        <is>
          <t>Scenario 5</t>
        </is>
      </c>
      <c r="C12" s="67" t="n">
        <v>0.06307818833421686</v>
      </c>
      <c r="D12" s="67" t="n">
        <v>0.01655674808200606</v>
      </c>
      <c r="E12" s="67" t="n">
        <v>0.02046169881065777</v>
      </c>
      <c r="F12" s="67" t="n">
        <v>0.02504105082360117</v>
      </c>
      <c r="G12" s="67" t="n">
        <v>0.03028034795128202</v>
      </c>
      <c r="H12" s="67" t="n">
        <v>0.03608992183038291</v>
      </c>
      <c r="I12" s="67" t="n">
        <v>0.04227977003039048</v>
      </c>
      <c r="J12" s="67" t="n">
        <v>0.04854350044015626</v>
      </c>
      <c r="K12" s="67" t="n">
        <v>0.05446282655993522</v>
      </c>
      <c r="L12" s="67" t="n">
        <v>0.05954325902461896</v>
      </c>
      <c r="M12" s="67" t="n">
        <v>0.06328413571041036</v>
      </c>
      <c r="N12" s="67" t="n">
        <v>0.06527208658627384</v>
      </c>
      <c r="O12" s="67" t="n">
        <v>0.06527208658627384</v>
      </c>
      <c r="P12" s="67" t="n">
        <v>0.06328413571041036</v>
      </c>
      <c r="Q12" s="67" t="n">
        <v>0.05954325902461896</v>
      </c>
      <c r="R12" s="67" t="n">
        <v>0.05446282655993522</v>
      </c>
      <c r="S12" s="67" t="n">
        <v>0.04854350044015618</v>
      </c>
      <c r="T12" s="67" t="n">
        <v>0.04227977003039056</v>
      </c>
      <c r="U12" s="67" t="n">
        <v>0.03608992183038297</v>
      </c>
      <c r="V12" s="67" t="n">
        <v>0.03028034795128182</v>
      </c>
      <c r="W12" s="67" t="n">
        <v>0.02504105082360136</v>
      </c>
      <c r="X12" s="67" t="n">
        <v>0.02046169881065782</v>
      </c>
      <c r="Y12" s="67" t="n">
        <v>0.01655674808200598</v>
      </c>
      <c r="Z12" s="67" t="n">
        <v>0.01329111996635305</v>
      </c>
    </row>
    <row r="13">
      <c r="A13" t="inlineStr">
        <is>
          <t>Scenario 6</t>
        </is>
      </c>
      <c r="C13" s="67" t="n">
        <v>0.06307818833421686</v>
      </c>
      <c r="D13" s="67" t="n">
        <v>0.01655674808200606</v>
      </c>
      <c r="E13" s="67" t="n">
        <v>0.02046169881065777</v>
      </c>
      <c r="F13" s="67" t="n">
        <v>0.02504105082360117</v>
      </c>
      <c r="G13" s="67" t="n">
        <v>0.03028034795128202</v>
      </c>
      <c r="H13" s="67" t="n">
        <v>0.03608992183038291</v>
      </c>
      <c r="I13" s="67" t="n">
        <v>0.04227977003039048</v>
      </c>
      <c r="J13" s="67" t="n">
        <v>0.04854350044015626</v>
      </c>
      <c r="K13" s="67" t="n">
        <v>0.05446282655993522</v>
      </c>
      <c r="L13" s="67" t="n">
        <v>0.05954325902461896</v>
      </c>
      <c r="M13" s="67" t="n">
        <v>0.06328413571041036</v>
      </c>
      <c r="N13" s="67" t="n">
        <v>0.06527208658627384</v>
      </c>
      <c r="O13" s="67" t="n">
        <v>0.06527208658627384</v>
      </c>
      <c r="P13" s="67" t="n">
        <v>0.06328413571041036</v>
      </c>
      <c r="Q13" s="67" t="n">
        <v>0.05954325902461896</v>
      </c>
      <c r="R13" s="67" t="n">
        <v>0.05446282655993522</v>
      </c>
      <c r="S13" s="67" t="n">
        <v>0.04854350044015618</v>
      </c>
      <c r="T13" s="67" t="n">
        <v>0.04227977003039056</v>
      </c>
      <c r="U13" s="67" t="n">
        <v>0.03608992183038297</v>
      </c>
      <c r="V13" s="67" t="n">
        <v>0.03028034795128182</v>
      </c>
      <c r="W13" s="67" t="n">
        <v>0.02504105082360136</v>
      </c>
      <c r="X13" s="67" t="n">
        <v>0.02046169881065782</v>
      </c>
      <c r="Y13" s="67" t="n">
        <v>0.01655674808200598</v>
      </c>
      <c r="Z13" s="67" t="n">
        <v>0.01329111996635305</v>
      </c>
    </row>
    <row r="14">
      <c r="A14" t="inlineStr">
        <is>
          <t>Scenario 7</t>
        </is>
      </c>
      <c r="C14" s="67" t="n">
        <v>0.06307818833421686</v>
      </c>
      <c r="D14" s="67" t="n">
        <v>0.01655674808200606</v>
      </c>
      <c r="E14" s="67" t="n">
        <v>0.02046169881065777</v>
      </c>
      <c r="F14" s="67" t="n">
        <v>0.02504105082360117</v>
      </c>
      <c r="G14" s="67" t="n">
        <v>0.03028034795128202</v>
      </c>
      <c r="H14" s="67" t="n">
        <v>0.03608992183038291</v>
      </c>
      <c r="I14" s="67" t="n">
        <v>0.04227977003039048</v>
      </c>
      <c r="J14" s="67" t="n">
        <v>0.04854350044015626</v>
      </c>
      <c r="K14" s="67" t="n">
        <v>0.05446282655993522</v>
      </c>
      <c r="L14" s="67" t="n">
        <v>0.05954325902461896</v>
      </c>
      <c r="M14" s="67" t="n">
        <v>0.06328413571041036</v>
      </c>
      <c r="N14" s="67" t="n">
        <v>0.06527208658627384</v>
      </c>
      <c r="O14" s="67" t="n">
        <v>0.06527208658627384</v>
      </c>
      <c r="P14" s="67" t="n">
        <v>0.06328413571041036</v>
      </c>
      <c r="Q14" s="67" t="n">
        <v>0.05954325902461896</v>
      </c>
      <c r="R14" s="67" t="n">
        <v>0.05446282655993522</v>
      </c>
      <c r="S14" s="67" t="n">
        <v>0.04854350044015618</v>
      </c>
      <c r="T14" s="67" t="n">
        <v>0.04227977003039056</v>
      </c>
      <c r="U14" s="67" t="n">
        <v>0.03608992183038297</v>
      </c>
      <c r="V14" s="67" t="n">
        <v>0.03028034795128182</v>
      </c>
      <c r="W14" s="67" t="n">
        <v>0.02504105082360136</v>
      </c>
      <c r="X14" s="67" t="n">
        <v>0.02046169881065782</v>
      </c>
      <c r="Y14" s="67" t="n">
        <v>0.01655674808200598</v>
      </c>
      <c r="Z14" s="67" t="n">
        <v>0.01329111996635305</v>
      </c>
    </row>
    <row r="15">
      <c r="A15" t="inlineStr">
        <is>
          <t>Scenario 8</t>
        </is>
      </c>
      <c r="C15" s="67" t="n">
        <v>0.06307818833421686</v>
      </c>
      <c r="D15" s="67" t="n">
        <v>0.01655674808200606</v>
      </c>
      <c r="E15" s="67" t="n">
        <v>0.02046169881065777</v>
      </c>
      <c r="F15" s="67" t="n">
        <v>0.02504105082360117</v>
      </c>
      <c r="G15" s="67" t="n">
        <v>0.03028034795128202</v>
      </c>
      <c r="H15" s="67" t="n">
        <v>0.03608992183038291</v>
      </c>
      <c r="I15" s="67" t="n">
        <v>0.04227977003039048</v>
      </c>
      <c r="J15" s="67" t="n">
        <v>0.04854350044015626</v>
      </c>
      <c r="K15" s="67" t="n">
        <v>0.05446282655993522</v>
      </c>
      <c r="L15" s="67" t="n">
        <v>0.05954325902461896</v>
      </c>
      <c r="M15" s="67" t="n">
        <v>0.06328413571041036</v>
      </c>
      <c r="N15" s="67" t="n">
        <v>0.06527208658627384</v>
      </c>
      <c r="O15" s="67" t="n">
        <v>0.06527208658627384</v>
      </c>
      <c r="P15" s="67" t="n">
        <v>0.06328413571041036</v>
      </c>
      <c r="Q15" s="67" t="n">
        <v>0.05954325902461896</v>
      </c>
      <c r="R15" s="67" t="n">
        <v>0.05446282655993522</v>
      </c>
      <c r="S15" s="67" t="n">
        <v>0.04854350044015618</v>
      </c>
      <c r="T15" s="67" t="n">
        <v>0.04227977003039056</v>
      </c>
      <c r="U15" s="67" t="n">
        <v>0.03608992183038297</v>
      </c>
      <c r="V15" s="67" t="n">
        <v>0.03028034795128182</v>
      </c>
      <c r="W15" s="67" t="n">
        <v>0.02504105082360136</v>
      </c>
      <c r="X15" s="67" t="n">
        <v>0.02046169881065782</v>
      </c>
      <c r="Y15" s="67" t="n">
        <v>0.01655674808200598</v>
      </c>
      <c r="Z15" s="67" t="n">
        <v>0.01329111996635305</v>
      </c>
    </row>
    <row r="16">
      <c r="A16" t="inlineStr">
        <is>
          <t>Scenario 9</t>
        </is>
      </c>
      <c r="C16" s="67" t="n">
        <v>0.06307818833421686</v>
      </c>
      <c r="D16" s="67" t="n">
        <v>0.01655674808200606</v>
      </c>
      <c r="E16" s="67" t="n">
        <v>0.02046169881065777</v>
      </c>
      <c r="F16" s="67" t="n">
        <v>0.02504105082360117</v>
      </c>
      <c r="G16" s="67" t="n">
        <v>0.03028034795128202</v>
      </c>
      <c r="H16" s="67" t="n">
        <v>0.03608992183038291</v>
      </c>
      <c r="I16" s="67" t="n">
        <v>0.04227977003039048</v>
      </c>
      <c r="J16" s="67" t="n">
        <v>0.04854350044015626</v>
      </c>
      <c r="K16" s="67" t="n">
        <v>0.05446282655993522</v>
      </c>
      <c r="L16" s="67" t="n">
        <v>0.05954325902461896</v>
      </c>
      <c r="M16" s="67" t="n">
        <v>0.06328413571041036</v>
      </c>
      <c r="N16" s="67" t="n">
        <v>0.06527208658627384</v>
      </c>
      <c r="O16" s="67" t="n">
        <v>0.06527208658627384</v>
      </c>
      <c r="P16" s="67" t="n">
        <v>0.06328413571041036</v>
      </c>
      <c r="Q16" s="67" t="n">
        <v>0.05954325902461896</v>
      </c>
      <c r="R16" s="67" t="n">
        <v>0.05446282655993522</v>
      </c>
      <c r="S16" s="67" t="n">
        <v>0.04854350044015618</v>
      </c>
      <c r="T16" s="67" t="n">
        <v>0.04227977003039056</v>
      </c>
      <c r="U16" s="67" t="n">
        <v>0.03608992183038297</v>
      </c>
      <c r="V16" s="67" t="n">
        <v>0.03028034795128182</v>
      </c>
      <c r="W16" s="67" t="n">
        <v>0.02504105082360136</v>
      </c>
      <c r="X16" s="67" t="n">
        <v>0.02046169881065782</v>
      </c>
      <c r="Y16" s="67" t="n">
        <v>0.01655674808200598</v>
      </c>
      <c r="Z16" s="67" t="n">
        <v>0.01329111996635305</v>
      </c>
    </row>
    <row r="17">
      <c r="A17" t="inlineStr">
        <is>
          <t>Scenario 10</t>
        </is>
      </c>
      <c r="C17" s="67" t="n">
        <v>0.06307818833421686</v>
      </c>
      <c r="D17" s="67" t="n">
        <v>0.01655674808200606</v>
      </c>
      <c r="E17" s="67" t="n">
        <v>0.02046169881065777</v>
      </c>
      <c r="F17" s="67" t="n">
        <v>0.02504105082360117</v>
      </c>
      <c r="G17" s="67" t="n">
        <v>0.03028034795128202</v>
      </c>
      <c r="H17" s="67" t="n">
        <v>0.03608992183038291</v>
      </c>
      <c r="I17" s="67" t="n">
        <v>0.04227977003039048</v>
      </c>
      <c r="J17" s="67" t="n">
        <v>0.04854350044015626</v>
      </c>
      <c r="K17" s="67" t="n">
        <v>0.05446282655993522</v>
      </c>
      <c r="L17" s="67" t="n">
        <v>0.05954325902461896</v>
      </c>
      <c r="M17" s="67" t="n">
        <v>0.06328413571041036</v>
      </c>
      <c r="N17" s="67" t="n">
        <v>0.06527208658627384</v>
      </c>
      <c r="O17" s="67" t="n">
        <v>0.06527208658627384</v>
      </c>
      <c r="P17" s="67" t="n">
        <v>0.06328413571041036</v>
      </c>
      <c r="Q17" s="67" t="n">
        <v>0.05954325902461896</v>
      </c>
      <c r="R17" s="67" t="n">
        <v>0.05446282655993522</v>
      </c>
      <c r="S17" s="67" t="n">
        <v>0.04854350044015618</v>
      </c>
      <c r="T17" s="67" t="n">
        <v>0.04227977003039056</v>
      </c>
      <c r="U17" s="67" t="n">
        <v>0.03608992183038297</v>
      </c>
      <c r="V17" s="67" t="n">
        <v>0.03028034795128182</v>
      </c>
      <c r="W17" s="67" t="n">
        <v>0.02504105082360136</v>
      </c>
      <c r="X17" s="67" t="n">
        <v>0.02046169881065782</v>
      </c>
      <c r="Y17" s="67" t="n">
        <v>0.01655674808200598</v>
      </c>
      <c r="Z17" s="67" t="n">
        <v>0.01329111996635305</v>
      </c>
    </row>
    <row r="18">
      <c r="A18" s="51" t="inlineStr">
        <is>
          <t>ACTIVE — Capex Phasing %</t>
        </is>
      </c>
      <c r="C18" s="79">
        <f>INDEX(C$8:C$17,Cover!$B$20)</f>
        <v/>
      </c>
      <c r="D18" s="79">
        <f>INDEX(D$8:D$17,Cover!$B$20)</f>
        <v/>
      </c>
      <c r="E18" s="79">
        <f>INDEX(E$8:E$17,Cover!$B$20)</f>
        <v/>
      </c>
      <c r="F18" s="79">
        <f>INDEX(F$8:F$17,Cover!$B$20)</f>
        <v/>
      </c>
      <c r="G18" s="79">
        <f>INDEX(G$8:G$17,Cover!$B$20)</f>
        <v/>
      </c>
      <c r="H18" s="79">
        <f>INDEX(H$8:H$17,Cover!$B$20)</f>
        <v/>
      </c>
      <c r="I18" s="79">
        <f>INDEX(I$8:I$17,Cover!$B$20)</f>
        <v/>
      </c>
      <c r="J18" s="79">
        <f>INDEX(J$8:J$17,Cover!$B$20)</f>
        <v/>
      </c>
      <c r="K18" s="79">
        <f>INDEX(K$8:K$17,Cover!$B$20)</f>
        <v/>
      </c>
      <c r="L18" s="79">
        <f>INDEX(L$8:L$17,Cover!$B$20)</f>
        <v/>
      </c>
      <c r="M18" s="79">
        <f>INDEX(M$8:M$17,Cover!$B$20)</f>
        <v/>
      </c>
      <c r="N18" s="79">
        <f>INDEX(N$8:N$17,Cover!$B$20)</f>
        <v/>
      </c>
      <c r="O18" s="79">
        <f>INDEX(O$8:O$17,Cover!$B$20)</f>
        <v/>
      </c>
      <c r="P18" s="79">
        <f>INDEX(P$8:P$17,Cover!$B$20)</f>
        <v/>
      </c>
      <c r="Q18" s="79">
        <f>INDEX(Q$8:Q$17,Cover!$B$20)</f>
        <v/>
      </c>
      <c r="R18" s="79">
        <f>INDEX(R$8:R$17,Cover!$B$20)</f>
        <v/>
      </c>
      <c r="S18" s="79">
        <f>INDEX(S$8:S$17,Cover!$B$20)</f>
        <v/>
      </c>
      <c r="T18" s="79">
        <f>INDEX(T$8:T$17,Cover!$B$20)</f>
        <v/>
      </c>
      <c r="U18" s="79">
        <f>INDEX(U$8:U$17,Cover!$B$20)</f>
        <v/>
      </c>
      <c r="V18" s="79">
        <f>INDEX(V$8:V$17,Cover!$B$20)</f>
        <v/>
      </c>
      <c r="W18" s="79">
        <f>INDEX(W$8:W$17,Cover!$B$20)</f>
        <v/>
      </c>
      <c r="X18" s="79">
        <f>INDEX(X$8:X$17,Cover!$B$20)</f>
        <v/>
      </c>
      <c r="Y18" s="79">
        <f>INDEX(Y$8:Y$17,Cover!$B$20)</f>
        <v/>
      </c>
      <c r="Z18" s="79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3">
        <f>SUM(C8:Z8)</f>
        <v/>
      </c>
    </row>
    <row r="22">
      <c r="A22" t="inlineStr">
        <is>
          <t>Scenario 2 sum</t>
        </is>
      </c>
      <c r="B22" s="83">
        <f>SUM(C9:Z9)</f>
        <v/>
      </c>
    </row>
    <row r="23">
      <c r="A23" t="inlineStr">
        <is>
          <t>Scenario 3 sum</t>
        </is>
      </c>
      <c r="B23" s="83">
        <f>SUM(C10:Z10)</f>
        <v/>
      </c>
    </row>
    <row r="24">
      <c r="A24" t="inlineStr">
        <is>
          <t>Scenario 4 sum</t>
        </is>
      </c>
      <c r="B24" s="83">
        <f>SUM(C11:Z11)</f>
        <v/>
      </c>
    </row>
    <row r="25">
      <c r="A25" t="inlineStr">
        <is>
          <t>Scenario 5 sum</t>
        </is>
      </c>
      <c r="B25" s="83">
        <f>SUM(C12:Z12)</f>
        <v/>
      </c>
    </row>
    <row r="26">
      <c r="A26" t="inlineStr">
        <is>
          <t>Scenario 6 sum</t>
        </is>
      </c>
      <c r="B26" s="83">
        <f>SUM(C13:Z13)</f>
        <v/>
      </c>
    </row>
    <row r="27">
      <c r="A27" t="inlineStr">
        <is>
          <t>Scenario 7 sum</t>
        </is>
      </c>
      <c r="B27" s="83">
        <f>SUM(C14:Z14)</f>
        <v/>
      </c>
    </row>
    <row r="28">
      <c r="A28" t="inlineStr">
        <is>
          <t>Scenario 8 sum</t>
        </is>
      </c>
      <c r="B28" s="83">
        <f>SUM(C15:Z15)</f>
        <v/>
      </c>
    </row>
    <row r="29">
      <c r="A29" t="inlineStr">
        <is>
          <t>Scenario 9 sum</t>
        </is>
      </c>
      <c r="B29" s="83">
        <f>SUM(C16:Z16)</f>
        <v/>
      </c>
    </row>
    <row r="30">
      <c r="A30" t="inlineStr">
        <is>
          <t>Scenario 10 sum</t>
        </is>
      </c>
      <c r="B30" s="83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2">
        <f>IF(ROUND(SUM(C18:Z18)-1,6)=0,1,0)</f>
        <v/>
      </c>
    </row>
    <row r="35">
      <c r="A35" t="inlineStr">
        <is>
          <t>Check: All 10 scenario phasings sum to 100%</t>
        </is>
      </c>
      <c r="B35" s="82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3" t="inlineStr">
        <is>
          <t>Assumptions_Periodic_Ops — Quarterly, Scenarios as Row Blocks</t>
        </is>
      </c>
    </row>
    <row r="2">
      <c r="A2" s="62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4" t="n">
        <v>1</v>
      </c>
      <c r="D8" s="84" t="n">
        <v>1</v>
      </c>
      <c r="E8" s="84" t="n">
        <v>1</v>
      </c>
      <c r="F8" s="84" t="n">
        <v>1</v>
      </c>
      <c r="G8" s="84" t="n">
        <v>1</v>
      </c>
      <c r="H8" s="84" t="n">
        <v>1</v>
      </c>
      <c r="I8" s="84" t="n">
        <v>1</v>
      </c>
      <c r="J8" s="84" t="n">
        <v>1</v>
      </c>
      <c r="K8" s="84" t="n">
        <v>1</v>
      </c>
      <c r="L8" s="84" t="n">
        <v>1</v>
      </c>
      <c r="M8" s="84" t="n">
        <v>1</v>
      </c>
      <c r="N8" s="84" t="n">
        <v>1</v>
      </c>
      <c r="O8" s="84" t="n">
        <v>1</v>
      </c>
      <c r="P8" s="84" t="n">
        <v>1</v>
      </c>
      <c r="Q8" s="84" t="n">
        <v>1</v>
      </c>
      <c r="R8" s="84" t="n">
        <v>1</v>
      </c>
      <c r="S8" s="84" t="n">
        <v>1</v>
      </c>
      <c r="T8" s="84" t="n">
        <v>1</v>
      </c>
      <c r="U8" s="84" t="n">
        <v>1</v>
      </c>
      <c r="V8" s="84" t="n">
        <v>1</v>
      </c>
      <c r="W8" s="84" t="n">
        <v>1</v>
      </c>
      <c r="X8" s="84" t="n">
        <v>1</v>
      </c>
      <c r="Y8" s="84" t="n">
        <v>1</v>
      </c>
      <c r="Z8" s="84" t="n">
        <v>1</v>
      </c>
      <c r="AA8" s="84" t="n">
        <v>1</v>
      </c>
      <c r="AB8" s="84" t="n">
        <v>1</v>
      </c>
      <c r="AC8" s="84" t="n">
        <v>1</v>
      </c>
      <c r="AD8" s="84" t="n">
        <v>1</v>
      </c>
      <c r="AE8" s="84" t="n">
        <v>1</v>
      </c>
      <c r="AF8" s="84" t="n">
        <v>1</v>
      </c>
      <c r="AG8" s="84" t="n">
        <v>1</v>
      </c>
      <c r="AH8" s="84" t="n">
        <v>1</v>
      </c>
      <c r="AI8" s="84" t="n">
        <v>1</v>
      </c>
      <c r="AJ8" s="84" t="n">
        <v>1</v>
      </c>
      <c r="AK8" s="84" t="n">
        <v>1</v>
      </c>
      <c r="AL8" s="84" t="n">
        <v>1</v>
      </c>
      <c r="AM8" s="84" t="n">
        <v>1</v>
      </c>
      <c r="AN8" s="84" t="n">
        <v>1</v>
      </c>
      <c r="AO8" s="84" t="n">
        <v>1</v>
      </c>
      <c r="AP8" s="84" t="n">
        <v>1</v>
      </c>
      <c r="AQ8" s="84" t="n">
        <v>1</v>
      </c>
      <c r="AR8" s="84" t="n">
        <v>1</v>
      </c>
      <c r="AS8" s="84" t="n">
        <v>1</v>
      </c>
      <c r="AT8" s="84" t="n">
        <v>1</v>
      </c>
      <c r="AU8" s="84" t="n">
        <v>1</v>
      </c>
      <c r="AV8" s="84" t="n">
        <v>1</v>
      </c>
      <c r="AW8" s="84" t="n">
        <v>1</v>
      </c>
      <c r="AX8" s="84" t="n">
        <v>1</v>
      </c>
      <c r="AY8" s="84" t="n">
        <v>1</v>
      </c>
      <c r="AZ8" s="84" t="n">
        <v>1</v>
      </c>
      <c r="BA8" s="84" t="n">
        <v>1</v>
      </c>
      <c r="BB8" s="84" t="n">
        <v>1</v>
      </c>
      <c r="BC8" s="84" t="n">
        <v>1</v>
      </c>
      <c r="BD8" s="84" t="n">
        <v>1</v>
      </c>
      <c r="BE8" s="84" t="n">
        <v>1</v>
      </c>
      <c r="BF8" s="84" t="n">
        <v>1</v>
      </c>
      <c r="BG8" s="84" t="n">
        <v>1</v>
      </c>
      <c r="BH8" s="84" t="n">
        <v>1</v>
      </c>
      <c r="BI8" s="84" t="n">
        <v>1</v>
      </c>
      <c r="BJ8" s="84" t="n">
        <v>1</v>
      </c>
      <c r="BK8" s="84" t="n">
        <v>1</v>
      </c>
      <c r="BL8" s="84" t="n">
        <v>1</v>
      </c>
      <c r="BM8" s="84" t="n">
        <v>1</v>
      </c>
      <c r="BN8" s="84" t="n">
        <v>1</v>
      </c>
      <c r="BO8" s="84" t="n">
        <v>1</v>
      </c>
      <c r="BP8" s="84" t="n">
        <v>1</v>
      </c>
      <c r="BQ8" s="84" t="n">
        <v>1</v>
      </c>
      <c r="BR8" s="84" t="n">
        <v>1</v>
      </c>
      <c r="BS8" s="84" t="n">
        <v>1</v>
      </c>
      <c r="BT8" s="84" t="n">
        <v>1</v>
      </c>
      <c r="BU8" s="84" t="n">
        <v>1</v>
      </c>
      <c r="BV8" s="84" t="n">
        <v>1</v>
      </c>
      <c r="BW8" s="84" t="n">
        <v>1</v>
      </c>
      <c r="BX8" s="84" t="n">
        <v>1</v>
      </c>
      <c r="BY8" s="84" t="n">
        <v>1</v>
      </c>
      <c r="BZ8" s="84" t="n">
        <v>1</v>
      </c>
      <c r="CA8" s="84" t="n">
        <v>1</v>
      </c>
      <c r="CB8" s="84" t="n">
        <v>1</v>
      </c>
      <c r="CC8" s="84" t="n">
        <v>1</v>
      </c>
      <c r="CD8" s="84" t="n">
        <v>1</v>
      </c>
    </row>
    <row r="9">
      <c r="A9" t="inlineStr">
        <is>
          <t>Scenario 2</t>
        </is>
      </c>
      <c r="C9" s="84" t="n">
        <v>1</v>
      </c>
      <c r="D9" s="84" t="n">
        <v>1</v>
      </c>
      <c r="E9" s="84" t="n">
        <v>1</v>
      </c>
      <c r="F9" s="84" t="n">
        <v>1</v>
      </c>
      <c r="G9" s="84" t="n">
        <v>1</v>
      </c>
      <c r="H9" s="84" t="n">
        <v>1</v>
      </c>
      <c r="I9" s="84" t="n">
        <v>1</v>
      </c>
      <c r="J9" s="84" t="n">
        <v>1</v>
      </c>
      <c r="K9" s="84" t="n">
        <v>1</v>
      </c>
      <c r="L9" s="84" t="n">
        <v>1</v>
      </c>
      <c r="M9" s="84" t="n">
        <v>1</v>
      </c>
      <c r="N9" s="84" t="n">
        <v>1</v>
      </c>
      <c r="O9" s="84" t="n">
        <v>1</v>
      </c>
      <c r="P9" s="84" t="n">
        <v>1</v>
      </c>
      <c r="Q9" s="84" t="n">
        <v>1</v>
      </c>
      <c r="R9" s="84" t="n">
        <v>1</v>
      </c>
      <c r="S9" s="84" t="n">
        <v>1</v>
      </c>
      <c r="T9" s="84" t="n">
        <v>1</v>
      </c>
      <c r="U9" s="84" t="n">
        <v>1</v>
      </c>
      <c r="V9" s="84" t="n">
        <v>1</v>
      </c>
      <c r="W9" s="84" t="n">
        <v>1</v>
      </c>
      <c r="X9" s="84" t="n">
        <v>1</v>
      </c>
      <c r="Y9" s="84" t="n">
        <v>1</v>
      </c>
      <c r="Z9" s="84" t="n">
        <v>1</v>
      </c>
      <c r="AA9" s="84" t="n">
        <v>1</v>
      </c>
      <c r="AB9" s="84" t="n">
        <v>1</v>
      </c>
      <c r="AC9" s="84" t="n">
        <v>1</v>
      </c>
      <c r="AD9" s="84" t="n">
        <v>1</v>
      </c>
      <c r="AE9" s="84" t="n">
        <v>1</v>
      </c>
      <c r="AF9" s="84" t="n">
        <v>1</v>
      </c>
      <c r="AG9" s="84" t="n">
        <v>1</v>
      </c>
      <c r="AH9" s="84" t="n">
        <v>1</v>
      </c>
      <c r="AI9" s="84" t="n">
        <v>1</v>
      </c>
      <c r="AJ9" s="84" t="n">
        <v>1</v>
      </c>
      <c r="AK9" s="84" t="n">
        <v>1</v>
      </c>
      <c r="AL9" s="84" t="n">
        <v>1</v>
      </c>
      <c r="AM9" s="84" t="n">
        <v>1</v>
      </c>
      <c r="AN9" s="84" t="n">
        <v>1</v>
      </c>
      <c r="AO9" s="84" t="n">
        <v>1</v>
      </c>
      <c r="AP9" s="84" t="n">
        <v>1</v>
      </c>
      <c r="AQ9" s="84" t="n">
        <v>1</v>
      </c>
      <c r="AR9" s="84" t="n">
        <v>1</v>
      </c>
      <c r="AS9" s="84" t="n">
        <v>1</v>
      </c>
      <c r="AT9" s="84" t="n">
        <v>1</v>
      </c>
      <c r="AU9" s="84" t="n">
        <v>1</v>
      </c>
      <c r="AV9" s="84" t="n">
        <v>1</v>
      </c>
      <c r="AW9" s="84" t="n">
        <v>1</v>
      </c>
      <c r="AX9" s="84" t="n">
        <v>1</v>
      </c>
      <c r="AY9" s="84" t="n">
        <v>1</v>
      </c>
      <c r="AZ9" s="84" t="n">
        <v>1</v>
      </c>
      <c r="BA9" s="84" t="n">
        <v>1</v>
      </c>
      <c r="BB9" s="84" t="n">
        <v>1</v>
      </c>
      <c r="BC9" s="84" t="n">
        <v>1</v>
      </c>
      <c r="BD9" s="84" t="n">
        <v>1</v>
      </c>
      <c r="BE9" s="84" t="n">
        <v>1</v>
      </c>
      <c r="BF9" s="84" t="n">
        <v>1</v>
      </c>
      <c r="BG9" s="84" t="n">
        <v>1</v>
      </c>
      <c r="BH9" s="84" t="n">
        <v>1</v>
      </c>
      <c r="BI9" s="84" t="n">
        <v>1</v>
      </c>
      <c r="BJ9" s="84" t="n">
        <v>1</v>
      </c>
      <c r="BK9" s="84" t="n">
        <v>1</v>
      </c>
      <c r="BL9" s="84" t="n">
        <v>1</v>
      </c>
      <c r="BM9" s="84" t="n">
        <v>1</v>
      </c>
      <c r="BN9" s="84" t="n">
        <v>1</v>
      </c>
      <c r="BO9" s="84" t="n">
        <v>1</v>
      </c>
      <c r="BP9" s="84" t="n">
        <v>1</v>
      </c>
      <c r="BQ9" s="84" t="n">
        <v>1</v>
      </c>
      <c r="BR9" s="84" t="n">
        <v>1</v>
      </c>
      <c r="BS9" s="84" t="n">
        <v>1</v>
      </c>
      <c r="BT9" s="84" t="n">
        <v>1</v>
      </c>
      <c r="BU9" s="84" t="n">
        <v>1</v>
      </c>
      <c r="BV9" s="84" t="n">
        <v>1</v>
      </c>
      <c r="BW9" s="84" t="n">
        <v>1</v>
      </c>
      <c r="BX9" s="84" t="n">
        <v>1</v>
      </c>
      <c r="BY9" s="84" t="n">
        <v>1</v>
      </c>
      <c r="BZ9" s="84" t="n">
        <v>1</v>
      </c>
      <c r="CA9" s="84" t="n">
        <v>1</v>
      </c>
      <c r="CB9" s="84" t="n">
        <v>1</v>
      </c>
      <c r="CC9" s="84" t="n">
        <v>1</v>
      </c>
      <c r="CD9" s="84" t="n">
        <v>1</v>
      </c>
    </row>
    <row r="10">
      <c r="A10" t="inlineStr">
        <is>
          <t>Scenario 3</t>
        </is>
      </c>
      <c r="C10" s="84" t="n">
        <v>1</v>
      </c>
      <c r="D10" s="84" t="n">
        <v>1</v>
      </c>
      <c r="E10" s="84" t="n">
        <v>1</v>
      </c>
      <c r="F10" s="84" t="n">
        <v>1</v>
      </c>
      <c r="G10" s="84" t="n">
        <v>1</v>
      </c>
      <c r="H10" s="84" t="n">
        <v>1</v>
      </c>
      <c r="I10" s="84" t="n">
        <v>1</v>
      </c>
      <c r="J10" s="84" t="n">
        <v>1</v>
      </c>
      <c r="K10" s="84" t="n">
        <v>1</v>
      </c>
      <c r="L10" s="84" t="n">
        <v>1</v>
      </c>
      <c r="M10" s="84" t="n">
        <v>1</v>
      </c>
      <c r="N10" s="84" t="n">
        <v>1</v>
      </c>
      <c r="O10" s="84" t="n">
        <v>1</v>
      </c>
      <c r="P10" s="84" t="n">
        <v>1</v>
      </c>
      <c r="Q10" s="84" t="n">
        <v>1</v>
      </c>
      <c r="R10" s="84" t="n">
        <v>1</v>
      </c>
      <c r="S10" s="84" t="n">
        <v>1</v>
      </c>
      <c r="T10" s="84" t="n">
        <v>1</v>
      </c>
      <c r="U10" s="84" t="n">
        <v>1</v>
      </c>
      <c r="V10" s="84" t="n">
        <v>1</v>
      </c>
      <c r="W10" s="84" t="n">
        <v>1</v>
      </c>
      <c r="X10" s="84" t="n">
        <v>1</v>
      </c>
      <c r="Y10" s="84" t="n">
        <v>1</v>
      </c>
      <c r="Z10" s="84" t="n">
        <v>1</v>
      </c>
      <c r="AA10" s="84" t="n">
        <v>1</v>
      </c>
      <c r="AB10" s="84" t="n">
        <v>1</v>
      </c>
      <c r="AC10" s="84" t="n">
        <v>1</v>
      </c>
      <c r="AD10" s="84" t="n">
        <v>1</v>
      </c>
      <c r="AE10" s="84" t="n">
        <v>1</v>
      </c>
      <c r="AF10" s="84" t="n">
        <v>1</v>
      </c>
      <c r="AG10" s="84" t="n">
        <v>1</v>
      </c>
      <c r="AH10" s="84" t="n">
        <v>1</v>
      </c>
      <c r="AI10" s="84" t="n">
        <v>1</v>
      </c>
      <c r="AJ10" s="84" t="n">
        <v>1</v>
      </c>
      <c r="AK10" s="84" t="n">
        <v>1</v>
      </c>
      <c r="AL10" s="84" t="n">
        <v>1</v>
      </c>
      <c r="AM10" s="84" t="n">
        <v>1</v>
      </c>
      <c r="AN10" s="84" t="n">
        <v>1</v>
      </c>
      <c r="AO10" s="84" t="n">
        <v>1</v>
      </c>
      <c r="AP10" s="84" t="n">
        <v>1</v>
      </c>
      <c r="AQ10" s="84" t="n">
        <v>1</v>
      </c>
      <c r="AR10" s="84" t="n">
        <v>1</v>
      </c>
      <c r="AS10" s="84" t="n">
        <v>1</v>
      </c>
      <c r="AT10" s="84" t="n">
        <v>1</v>
      </c>
      <c r="AU10" s="84" t="n">
        <v>1</v>
      </c>
      <c r="AV10" s="84" t="n">
        <v>1</v>
      </c>
      <c r="AW10" s="84" t="n">
        <v>1</v>
      </c>
      <c r="AX10" s="84" t="n">
        <v>1</v>
      </c>
      <c r="AY10" s="84" t="n">
        <v>1</v>
      </c>
      <c r="AZ10" s="84" t="n">
        <v>1</v>
      </c>
      <c r="BA10" s="84" t="n">
        <v>1</v>
      </c>
      <c r="BB10" s="84" t="n">
        <v>1</v>
      </c>
      <c r="BC10" s="84" t="n">
        <v>1</v>
      </c>
      <c r="BD10" s="84" t="n">
        <v>1</v>
      </c>
      <c r="BE10" s="84" t="n">
        <v>1</v>
      </c>
      <c r="BF10" s="84" t="n">
        <v>1</v>
      </c>
      <c r="BG10" s="84" t="n">
        <v>1</v>
      </c>
      <c r="BH10" s="84" t="n">
        <v>1</v>
      </c>
      <c r="BI10" s="84" t="n">
        <v>1</v>
      </c>
      <c r="BJ10" s="84" t="n">
        <v>1</v>
      </c>
      <c r="BK10" s="84" t="n">
        <v>1</v>
      </c>
      <c r="BL10" s="84" t="n">
        <v>1</v>
      </c>
      <c r="BM10" s="84" t="n">
        <v>1</v>
      </c>
      <c r="BN10" s="84" t="n">
        <v>1</v>
      </c>
      <c r="BO10" s="84" t="n">
        <v>1</v>
      </c>
      <c r="BP10" s="84" t="n">
        <v>1</v>
      </c>
      <c r="BQ10" s="84" t="n">
        <v>1</v>
      </c>
      <c r="BR10" s="84" t="n">
        <v>1</v>
      </c>
      <c r="BS10" s="84" t="n">
        <v>1</v>
      </c>
      <c r="BT10" s="84" t="n">
        <v>1</v>
      </c>
      <c r="BU10" s="84" t="n">
        <v>1</v>
      </c>
      <c r="BV10" s="84" t="n">
        <v>1</v>
      </c>
      <c r="BW10" s="84" t="n">
        <v>1</v>
      </c>
      <c r="BX10" s="84" t="n">
        <v>1</v>
      </c>
      <c r="BY10" s="84" t="n">
        <v>1</v>
      </c>
      <c r="BZ10" s="84" t="n">
        <v>1</v>
      </c>
      <c r="CA10" s="84" t="n">
        <v>1</v>
      </c>
      <c r="CB10" s="84" t="n">
        <v>1</v>
      </c>
      <c r="CC10" s="84" t="n">
        <v>1</v>
      </c>
      <c r="CD10" s="84" t="n">
        <v>1</v>
      </c>
    </row>
    <row r="11">
      <c r="A11" t="inlineStr">
        <is>
          <t>Scenario 4</t>
        </is>
      </c>
      <c r="C11" s="84" t="n">
        <v>1</v>
      </c>
      <c r="D11" s="84" t="n">
        <v>1</v>
      </c>
      <c r="E11" s="84" t="n">
        <v>1</v>
      </c>
      <c r="F11" s="84" t="n">
        <v>1</v>
      </c>
      <c r="G11" s="84" t="n">
        <v>1</v>
      </c>
      <c r="H11" s="84" t="n">
        <v>1</v>
      </c>
      <c r="I11" s="84" t="n">
        <v>1</v>
      </c>
      <c r="J11" s="84" t="n">
        <v>1</v>
      </c>
      <c r="K11" s="84" t="n">
        <v>1</v>
      </c>
      <c r="L11" s="84" t="n">
        <v>1</v>
      </c>
      <c r="M11" s="84" t="n">
        <v>1</v>
      </c>
      <c r="N11" s="84" t="n">
        <v>1</v>
      </c>
      <c r="O11" s="84" t="n">
        <v>1</v>
      </c>
      <c r="P11" s="84" t="n">
        <v>1</v>
      </c>
      <c r="Q11" s="84" t="n">
        <v>1</v>
      </c>
      <c r="R11" s="84" t="n">
        <v>1</v>
      </c>
      <c r="S11" s="84" t="n">
        <v>1</v>
      </c>
      <c r="T11" s="84" t="n">
        <v>1</v>
      </c>
      <c r="U11" s="84" t="n">
        <v>1</v>
      </c>
      <c r="V11" s="84" t="n">
        <v>1</v>
      </c>
      <c r="W11" s="84" t="n">
        <v>1</v>
      </c>
      <c r="X11" s="84" t="n">
        <v>1</v>
      </c>
      <c r="Y11" s="84" t="n">
        <v>1</v>
      </c>
      <c r="Z11" s="84" t="n">
        <v>1</v>
      </c>
      <c r="AA11" s="84" t="n">
        <v>1</v>
      </c>
      <c r="AB11" s="84" t="n">
        <v>1</v>
      </c>
      <c r="AC11" s="84" t="n">
        <v>1</v>
      </c>
      <c r="AD11" s="84" t="n">
        <v>1</v>
      </c>
      <c r="AE11" s="84" t="n">
        <v>1</v>
      </c>
      <c r="AF11" s="84" t="n">
        <v>1</v>
      </c>
      <c r="AG11" s="84" t="n">
        <v>1</v>
      </c>
      <c r="AH11" s="84" t="n">
        <v>1</v>
      </c>
      <c r="AI11" s="84" t="n">
        <v>1</v>
      </c>
      <c r="AJ11" s="84" t="n">
        <v>1</v>
      </c>
      <c r="AK11" s="84" t="n">
        <v>1</v>
      </c>
      <c r="AL11" s="84" t="n">
        <v>1</v>
      </c>
      <c r="AM11" s="84" t="n">
        <v>1</v>
      </c>
      <c r="AN11" s="84" t="n">
        <v>1</v>
      </c>
      <c r="AO11" s="84" t="n">
        <v>1</v>
      </c>
      <c r="AP11" s="84" t="n">
        <v>1</v>
      </c>
      <c r="AQ11" s="84" t="n">
        <v>1</v>
      </c>
      <c r="AR11" s="84" t="n">
        <v>1</v>
      </c>
      <c r="AS11" s="84" t="n">
        <v>1</v>
      </c>
      <c r="AT11" s="84" t="n">
        <v>1</v>
      </c>
      <c r="AU11" s="84" t="n">
        <v>1</v>
      </c>
      <c r="AV11" s="84" t="n">
        <v>1</v>
      </c>
      <c r="AW11" s="84" t="n">
        <v>1</v>
      </c>
      <c r="AX11" s="84" t="n">
        <v>1</v>
      </c>
      <c r="AY11" s="84" t="n">
        <v>1</v>
      </c>
      <c r="AZ11" s="84" t="n">
        <v>1</v>
      </c>
      <c r="BA11" s="84" t="n">
        <v>1</v>
      </c>
      <c r="BB11" s="84" t="n">
        <v>1</v>
      </c>
      <c r="BC11" s="84" t="n">
        <v>1</v>
      </c>
      <c r="BD11" s="84" t="n">
        <v>1</v>
      </c>
      <c r="BE11" s="84" t="n">
        <v>1</v>
      </c>
      <c r="BF11" s="84" t="n">
        <v>1</v>
      </c>
      <c r="BG11" s="84" t="n">
        <v>1</v>
      </c>
      <c r="BH11" s="84" t="n">
        <v>1</v>
      </c>
      <c r="BI11" s="84" t="n">
        <v>1</v>
      </c>
      <c r="BJ11" s="84" t="n">
        <v>1</v>
      </c>
      <c r="BK11" s="84" t="n">
        <v>1</v>
      </c>
      <c r="BL11" s="84" t="n">
        <v>1</v>
      </c>
      <c r="BM11" s="84" t="n">
        <v>1</v>
      </c>
      <c r="BN11" s="84" t="n">
        <v>1</v>
      </c>
      <c r="BO11" s="84" t="n">
        <v>1</v>
      </c>
      <c r="BP11" s="84" t="n">
        <v>1</v>
      </c>
      <c r="BQ11" s="84" t="n">
        <v>1</v>
      </c>
      <c r="BR11" s="84" t="n">
        <v>1</v>
      </c>
      <c r="BS11" s="84" t="n">
        <v>1</v>
      </c>
      <c r="BT11" s="84" t="n">
        <v>1</v>
      </c>
      <c r="BU11" s="84" t="n">
        <v>1</v>
      </c>
      <c r="BV11" s="84" t="n">
        <v>1</v>
      </c>
      <c r="BW11" s="84" t="n">
        <v>1</v>
      </c>
      <c r="BX11" s="84" t="n">
        <v>1</v>
      </c>
      <c r="BY11" s="84" t="n">
        <v>1</v>
      </c>
      <c r="BZ11" s="84" t="n">
        <v>1</v>
      </c>
      <c r="CA11" s="84" t="n">
        <v>1</v>
      </c>
      <c r="CB11" s="84" t="n">
        <v>1</v>
      </c>
      <c r="CC11" s="84" t="n">
        <v>1</v>
      </c>
      <c r="CD11" s="84" t="n">
        <v>1</v>
      </c>
    </row>
    <row r="12">
      <c r="A12" t="inlineStr">
        <is>
          <t>Scenario 5</t>
        </is>
      </c>
      <c r="C12" s="84" t="n">
        <v>1</v>
      </c>
      <c r="D12" s="84" t="n">
        <v>1</v>
      </c>
      <c r="E12" s="84" t="n">
        <v>1</v>
      </c>
      <c r="F12" s="84" t="n">
        <v>1</v>
      </c>
      <c r="G12" s="84" t="n">
        <v>1</v>
      </c>
      <c r="H12" s="84" t="n">
        <v>1</v>
      </c>
      <c r="I12" s="84" t="n">
        <v>1</v>
      </c>
      <c r="J12" s="84" t="n">
        <v>1</v>
      </c>
      <c r="K12" s="84" t="n">
        <v>1</v>
      </c>
      <c r="L12" s="84" t="n">
        <v>1</v>
      </c>
      <c r="M12" s="84" t="n">
        <v>1</v>
      </c>
      <c r="N12" s="84" t="n">
        <v>1</v>
      </c>
      <c r="O12" s="84" t="n">
        <v>1</v>
      </c>
      <c r="P12" s="84" t="n">
        <v>1</v>
      </c>
      <c r="Q12" s="84" t="n">
        <v>1</v>
      </c>
      <c r="R12" s="84" t="n">
        <v>1</v>
      </c>
      <c r="S12" s="84" t="n">
        <v>1</v>
      </c>
      <c r="T12" s="84" t="n">
        <v>1</v>
      </c>
      <c r="U12" s="84" t="n">
        <v>1</v>
      </c>
      <c r="V12" s="84" t="n">
        <v>1</v>
      </c>
      <c r="W12" s="84" t="n">
        <v>1</v>
      </c>
      <c r="X12" s="84" t="n">
        <v>1</v>
      </c>
      <c r="Y12" s="84" t="n">
        <v>1</v>
      </c>
      <c r="Z12" s="84" t="n">
        <v>1</v>
      </c>
      <c r="AA12" s="84" t="n">
        <v>1</v>
      </c>
      <c r="AB12" s="84" t="n">
        <v>1</v>
      </c>
      <c r="AC12" s="84" t="n">
        <v>1</v>
      </c>
      <c r="AD12" s="84" t="n">
        <v>1</v>
      </c>
      <c r="AE12" s="84" t="n">
        <v>1</v>
      </c>
      <c r="AF12" s="84" t="n">
        <v>1</v>
      </c>
      <c r="AG12" s="84" t="n">
        <v>1</v>
      </c>
      <c r="AH12" s="84" t="n">
        <v>1</v>
      </c>
      <c r="AI12" s="84" t="n">
        <v>1</v>
      </c>
      <c r="AJ12" s="84" t="n">
        <v>1</v>
      </c>
      <c r="AK12" s="84" t="n">
        <v>1</v>
      </c>
      <c r="AL12" s="84" t="n">
        <v>1</v>
      </c>
      <c r="AM12" s="84" t="n">
        <v>1</v>
      </c>
      <c r="AN12" s="84" t="n">
        <v>1</v>
      </c>
      <c r="AO12" s="84" t="n">
        <v>1</v>
      </c>
      <c r="AP12" s="84" t="n">
        <v>1</v>
      </c>
      <c r="AQ12" s="84" t="n">
        <v>1</v>
      </c>
      <c r="AR12" s="84" t="n">
        <v>1</v>
      </c>
      <c r="AS12" s="84" t="n">
        <v>1</v>
      </c>
      <c r="AT12" s="84" t="n">
        <v>1</v>
      </c>
      <c r="AU12" s="84" t="n">
        <v>1</v>
      </c>
      <c r="AV12" s="84" t="n">
        <v>1</v>
      </c>
      <c r="AW12" s="84" t="n">
        <v>1</v>
      </c>
      <c r="AX12" s="84" t="n">
        <v>1</v>
      </c>
      <c r="AY12" s="84" t="n">
        <v>1</v>
      </c>
      <c r="AZ12" s="84" t="n">
        <v>1</v>
      </c>
      <c r="BA12" s="84" t="n">
        <v>1</v>
      </c>
      <c r="BB12" s="84" t="n">
        <v>1</v>
      </c>
      <c r="BC12" s="84" t="n">
        <v>1</v>
      </c>
      <c r="BD12" s="84" t="n">
        <v>1</v>
      </c>
      <c r="BE12" s="84" t="n">
        <v>1</v>
      </c>
      <c r="BF12" s="84" t="n">
        <v>1</v>
      </c>
      <c r="BG12" s="84" t="n">
        <v>1</v>
      </c>
      <c r="BH12" s="84" t="n">
        <v>1</v>
      </c>
      <c r="BI12" s="84" t="n">
        <v>1</v>
      </c>
      <c r="BJ12" s="84" t="n">
        <v>1</v>
      </c>
      <c r="BK12" s="84" t="n">
        <v>1</v>
      </c>
      <c r="BL12" s="84" t="n">
        <v>1</v>
      </c>
      <c r="BM12" s="84" t="n">
        <v>1</v>
      </c>
      <c r="BN12" s="84" t="n">
        <v>1</v>
      </c>
      <c r="BO12" s="84" t="n">
        <v>1</v>
      </c>
      <c r="BP12" s="84" t="n">
        <v>1</v>
      </c>
      <c r="BQ12" s="84" t="n">
        <v>1</v>
      </c>
      <c r="BR12" s="84" t="n">
        <v>1</v>
      </c>
      <c r="BS12" s="84" t="n">
        <v>1</v>
      </c>
      <c r="BT12" s="84" t="n">
        <v>1</v>
      </c>
      <c r="BU12" s="84" t="n">
        <v>1</v>
      </c>
      <c r="BV12" s="84" t="n">
        <v>1</v>
      </c>
      <c r="BW12" s="84" t="n">
        <v>1</v>
      </c>
      <c r="BX12" s="84" t="n">
        <v>1</v>
      </c>
      <c r="BY12" s="84" t="n">
        <v>1</v>
      </c>
      <c r="BZ12" s="84" t="n">
        <v>1</v>
      </c>
      <c r="CA12" s="84" t="n">
        <v>1</v>
      </c>
      <c r="CB12" s="84" t="n">
        <v>1</v>
      </c>
      <c r="CC12" s="84" t="n">
        <v>1</v>
      </c>
      <c r="CD12" s="84" t="n">
        <v>1</v>
      </c>
    </row>
    <row r="13">
      <c r="A13" t="inlineStr">
        <is>
          <t>Scenario 6</t>
        </is>
      </c>
      <c r="C13" s="84" t="n">
        <v>1</v>
      </c>
      <c r="D13" s="84" t="n">
        <v>1</v>
      </c>
      <c r="E13" s="84" t="n">
        <v>1</v>
      </c>
      <c r="F13" s="84" t="n">
        <v>1</v>
      </c>
      <c r="G13" s="84" t="n">
        <v>1</v>
      </c>
      <c r="H13" s="84" t="n">
        <v>1</v>
      </c>
      <c r="I13" s="84" t="n">
        <v>1</v>
      </c>
      <c r="J13" s="84" t="n">
        <v>1</v>
      </c>
      <c r="K13" s="84" t="n">
        <v>1</v>
      </c>
      <c r="L13" s="84" t="n">
        <v>1</v>
      </c>
      <c r="M13" s="84" t="n">
        <v>1</v>
      </c>
      <c r="N13" s="84" t="n">
        <v>1</v>
      </c>
      <c r="O13" s="84" t="n">
        <v>1</v>
      </c>
      <c r="P13" s="84" t="n">
        <v>1</v>
      </c>
      <c r="Q13" s="84" t="n">
        <v>1</v>
      </c>
      <c r="R13" s="84" t="n">
        <v>1</v>
      </c>
      <c r="S13" s="84" t="n">
        <v>1</v>
      </c>
      <c r="T13" s="84" t="n">
        <v>1</v>
      </c>
      <c r="U13" s="84" t="n">
        <v>1</v>
      </c>
      <c r="V13" s="84" t="n">
        <v>1</v>
      </c>
      <c r="W13" s="84" t="n">
        <v>1</v>
      </c>
      <c r="X13" s="84" t="n">
        <v>1</v>
      </c>
      <c r="Y13" s="84" t="n">
        <v>1</v>
      </c>
      <c r="Z13" s="84" t="n">
        <v>1</v>
      </c>
      <c r="AA13" s="84" t="n">
        <v>1</v>
      </c>
      <c r="AB13" s="84" t="n">
        <v>1</v>
      </c>
      <c r="AC13" s="84" t="n">
        <v>1</v>
      </c>
      <c r="AD13" s="84" t="n">
        <v>1</v>
      </c>
      <c r="AE13" s="84" t="n">
        <v>1</v>
      </c>
      <c r="AF13" s="84" t="n">
        <v>1</v>
      </c>
      <c r="AG13" s="84" t="n">
        <v>1</v>
      </c>
      <c r="AH13" s="84" t="n">
        <v>1</v>
      </c>
      <c r="AI13" s="84" t="n">
        <v>1</v>
      </c>
      <c r="AJ13" s="84" t="n">
        <v>1</v>
      </c>
      <c r="AK13" s="84" t="n">
        <v>1</v>
      </c>
      <c r="AL13" s="84" t="n">
        <v>1</v>
      </c>
      <c r="AM13" s="84" t="n">
        <v>1</v>
      </c>
      <c r="AN13" s="84" t="n">
        <v>1</v>
      </c>
      <c r="AO13" s="84" t="n">
        <v>1</v>
      </c>
      <c r="AP13" s="84" t="n">
        <v>1</v>
      </c>
      <c r="AQ13" s="84" t="n">
        <v>1</v>
      </c>
      <c r="AR13" s="84" t="n">
        <v>1</v>
      </c>
      <c r="AS13" s="84" t="n">
        <v>1</v>
      </c>
      <c r="AT13" s="84" t="n">
        <v>1</v>
      </c>
      <c r="AU13" s="84" t="n">
        <v>1</v>
      </c>
      <c r="AV13" s="84" t="n">
        <v>1</v>
      </c>
      <c r="AW13" s="84" t="n">
        <v>1</v>
      </c>
      <c r="AX13" s="84" t="n">
        <v>1</v>
      </c>
      <c r="AY13" s="84" t="n">
        <v>1</v>
      </c>
      <c r="AZ13" s="84" t="n">
        <v>1</v>
      </c>
      <c r="BA13" s="84" t="n">
        <v>1</v>
      </c>
      <c r="BB13" s="84" t="n">
        <v>1</v>
      </c>
      <c r="BC13" s="84" t="n">
        <v>1</v>
      </c>
      <c r="BD13" s="84" t="n">
        <v>1</v>
      </c>
      <c r="BE13" s="84" t="n">
        <v>1</v>
      </c>
      <c r="BF13" s="84" t="n">
        <v>1</v>
      </c>
      <c r="BG13" s="84" t="n">
        <v>1</v>
      </c>
      <c r="BH13" s="84" t="n">
        <v>1</v>
      </c>
      <c r="BI13" s="84" t="n">
        <v>1</v>
      </c>
      <c r="BJ13" s="84" t="n">
        <v>1</v>
      </c>
      <c r="BK13" s="84" t="n">
        <v>1</v>
      </c>
      <c r="BL13" s="84" t="n">
        <v>1</v>
      </c>
      <c r="BM13" s="84" t="n">
        <v>1</v>
      </c>
      <c r="BN13" s="84" t="n">
        <v>1</v>
      </c>
      <c r="BO13" s="84" t="n">
        <v>1</v>
      </c>
      <c r="BP13" s="84" t="n">
        <v>1</v>
      </c>
      <c r="BQ13" s="84" t="n">
        <v>1</v>
      </c>
      <c r="BR13" s="84" t="n">
        <v>1</v>
      </c>
      <c r="BS13" s="84" t="n">
        <v>1</v>
      </c>
      <c r="BT13" s="84" t="n">
        <v>1</v>
      </c>
      <c r="BU13" s="84" t="n">
        <v>1</v>
      </c>
      <c r="BV13" s="84" t="n">
        <v>1</v>
      </c>
      <c r="BW13" s="84" t="n">
        <v>1</v>
      </c>
      <c r="BX13" s="84" t="n">
        <v>1</v>
      </c>
      <c r="BY13" s="84" t="n">
        <v>1</v>
      </c>
      <c r="BZ13" s="84" t="n">
        <v>1</v>
      </c>
      <c r="CA13" s="84" t="n">
        <v>1</v>
      </c>
      <c r="CB13" s="84" t="n">
        <v>1</v>
      </c>
      <c r="CC13" s="84" t="n">
        <v>1</v>
      </c>
      <c r="CD13" s="84" t="n">
        <v>1</v>
      </c>
    </row>
    <row r="14">
      <c r="A14" t="inlineStr">
        <is>
          <t>Scenario 7</t>
        </is>
      </c>
      <c r="C14" s="84" t="n">
        <v>1</v>
      </c>
      <c r="D14" s="84" t="n">
        <v>1</v>
      </c>
      <c r="E14" s="84" t="n">
        <v>1</v>
      </c>
      <c r="F14" s="84" t="n">
        <v>1</v>
      </c>
      <c r="G14" s="84" t="n">
        <v>1</v>
      </c>
      <c r="H14" s="84" t="n">
        <v>1</v>
      </c>
      <c r="I14" s="84" t="n">
        <v>1</v>
      </c>
      <c r="J14" s="84" t="n">
        <v>1</v>
      </c>
      <c r="K14" s="84" t="n">
        <v>1</v>
      </c>
      <c r="L14" s="84" t="n">
        <v>1</v>
      </c>
      <c r="M14" s="84" t="n">
        <v>1</v>
      </c>
      <c r="N14" s="84" t="n">
        <v>1</v>
      </c>
      <c r="O14" s="84" t="n">
        <v>1</v>
      </c>
      <c r="P14" s="84" t="n">
        <v>1</v>
      </c>
      <c r="Q14" s="84" t="n">
        <v>1</v>
      </c>
      <c r="R14" s="84" t="n">
        <v>1</v>
      </c>
      <c r="S14" s="84" t="n">
        <v>1</v>
      </c>
      <c r="T14" s="84" t="n">
        <v>1</v>
      </c>
      <c r="U14" s="84" t="n">
        <v>1</v>
      </c>
      <c r="V14" s="84" t="n">
        <v>1</v>
      </c>
      <c r="W14" s="84" t="n">
        <v>1</v>
      </c>
      <c r="X14" s="84" t="n">
        <v>1</v>
      </c>
      <c r="Y14" s="84" t="n">
        <v>1</v>
      </c>
      <c r="Z14" s="84" t="n">
        <v>1</v>
      </c>
      <c r="AA14" s="84" t="n">
        <v>1</v>
      </c>
      <c r="AB14" s="84" t="n">
        <v>1</v>
      </c>
      <c r="AC14" s="84" t="n">
        <v>1</v>
      </c>
      <c r="AD14" s="84" t="n">
        <v>1</v>
      </c>
      <c r="AE14" s="84" t="n">
        <v>1</v>
      </c>
      <c r="AF14" s="84" t="n">
        <v>1</v>
      </c>
      <c r="AG14" s="84" t="n">
        <v>1</v>
      </c>
      <c r="AH14" s="84" t="n">
        <v>1</v>
      </c>
      <c r="AI14" s="84" t="n">
        <v>1</v>
      </c>
      <c r="AJ14" s="84" t="n">
        <v>1</v>
      </c>
      <c r="AK14" s="84" t="n">
        <v>1</v>
      </c>
      <c r="AL14" s="84" t="n">
        <v>1</v>
      </c>
      <c r="AM14" s="84" t="n">
        <v>1</v>
      </c>
      <c r="AN14" s="84" t="n">
        <v>1</v>
      </c>
      <c r="AO14" s="84" t="n">
        <v>1</v>
      </c>
      <c r="AP14" s="84" t="n">
        <v>1</v>
      </c>
      <c r="AQ14" s="84" t="n">
        <v>1</v>
      </c>
      <c r="AR14" s="84" t="n">
        <v>1</v>
      </c>
      <c r="AS14" s="84" t="n">
        <v>1</v>
      </c>
      <c r="AT14" s="84" t="n">
        <v>1</v>
      </c>
      <c r="AU14" s="84" t="n">
        <v>1</v>
      </c>
      <c r="AV14" s="84" t="n">
        <v>1</v>
      </c>
      <c r="AW14" s="84" t="n">
        <v>1</v>
      </c>
      <c r="AX14" s="84" t="n">
        <v>1</v>
      </c>
      <c r="AY14" s="84" t="n">
        <v>1</v>
      </c>
      <c r="AZ14" s="84" t="n">
        <v>1</v>
      </c>
      <c r="BA14" s="84" t="n">
        <v>1</v>
      </c>
      <c r="BB14" s="84" t="n">
        <v>1</v>
      </c>
      <c r="BC14" s="84" t="n">
        <v>1</v>
      </c>
      <c r="BD14" s="84" t="n">
        <v>1</v>
      </c>
      <c r="BE14" s="84" t="n">
        <v>1</v>
      </c>
      <c r="BF14" s="84" t="n">
        <v>1</v>
      </c>
      <c r="BG14" s="84" t="n">
        <v>1</v>
      </c>
      <c r="BH14" s="84" t="n">
        <v>1</v>
      </c>
      <c r="BI14" s="84" t="n">
        <v>1</v>
      </c>
      <c r="BJ14" s="84" t="n">
        <v>1</v>
      </c>
      <c r="BK14" s="84" t="n">
        <v>1</v>
      </c>
      <c r="BL14" s="84" t="n">
        <v>1</v>
      </c>
      <c r="BM14" s="84" t="n">
        <v>1</v>
      </c>
      <c r="BN14" s="84" t="n">
        <v>1</v>
      </c>
      <c r="BO14" s="84" t="n">
        <v>1</v>
      </c>
      <c r="BP14" s="84" t="n">
        <v>1</v>
      </c>
      <c r="BQ14" s="84" t="n">
        <v>1</v>
      </c>
      <c r="BR14" s="84" t="n">
        <v>1</v>
      </c>
      <c r="BS14" s="84" t="n">
        <v>1</v>
      </c>
      <c r="BT14" s="84" t="n">
        <v>1</v>
      </c>
      <c r="BU14" s="84" t="n">
        <v>1</v>
      </c>
      <c r="BV14" s="84" t="n">
        <v>1</v>
      </c>
      <c r="BW14" s="84" t="n">
        <v>1</v>
      </c>
      <c r="BX14" s="84" t="n">
        <v>1</v>
      </c>
      <c r="BY14" s="84" t="n">
        <v>1</v>
      </c>
      <c r="BZ14" s="84" t="n">
        <v>1</v>
      </c>
      <c r="CA14" s="84" t="n">
        <v>1</v>
      </c>
      <c r="CB14" s="84" t="n">
        <v>1</v>
      </c>
      <c r="CC14" s="84" t="n">
        <v>1</v>
      </c>
      <c r="CD14" s="84" t="n">
        <v>1</v>
      </c>
    </row>
    <row r="15">
      <c r="A15" t="inlineStr">
        <is>
          <t>Scenario 8</t>
        </is>
      </c>
      <c r="C15" s="84" t="n">
        <v>1</v>
      </c>
      <c r="D15" s="84" t="n">
        <v>1</v>
      </c>
      <c r="E15" s="84" t="n">
        <v>1</v>
      </c>
      <c r="F15" s="84" t="n">
        <v>1</v>
      </c>
      <c r="G15" s="84" t="n">
        <v>1</v>
      </c>
      <c r="H15" s="84" t="n">
        <v>1</v>
      </c>
      <c r="I15" s="84" t="n">
        <v>1</v>
      </c>
      <c r="J15" s="84" t="n">
        <v>1</v>
      </c>
      <c r="K15" s="84" t="n">
        <v>1</v>
      </c>
      <c r="L15" s="84" t="n">
        <v>1</v>
      </c>
      <c r="M15" s="84" t="n">
        <v>1</v>
      </c>
      <c r="N15" s="84" t="n">
        <v>1</v>
      </c>
      <c r="O15" s="84" t="n">
        <v>1</v>
      </c>
      <c r="P15" s="84" t="n">
        <v>1</v>
      </c>
      <c r="Q15" s="84" t="n">
        <v>1</v>
      </c>
      <c r="R15" s="84" t="n">
        <v>1</v>
      </c>
      <c r="S15" s="84" t="n">
        <v>1</v>
      </c>
      <c r="T15" s="84" t="n">
        <v>1</v>
      </c>
      <c r="U15" s="84" t="n">
        <v>1</v>
      </c>
      <c r="V15" s="84" t="n">
        <v>1</v>
      </c>
      <c r="W15" s="84" t="n">
        <v>1</v>
      </c>
      <c r="X15" s="84" t="n">
        <v>1</v>
      </c>
      <c r="Y15" s="84" t="n">
        <v>1</v>
      </c>
      <c r="Z15" s="84" t="n">
        <v>1</v>
      </c>
      <c r="AA15" s="84" t="n">
        <v>1</v>
      </c>
      <c r="AB15" s="84" t="n">
        <v>1</v>
      </c>
      <c r="AC15" s="84" t="n">
        <v>1</v>
      </c>
      <c r="AD15" s="84" t="n">
        <v>1</v>
      </c>
      <c r="AE15" s="84" t="n">
        <v>1</v>
      </c>
      <c r="AF15" s="84" t="n">
        <v>1</v>
      </c>
      <c r="AG15" s="84" t="n">
        <v>1</v>
      </c>
      <c r="AH15" s="84" t="n">
        <v>1</v>
      </c>
      <c r="AI15" s="84" t="n">
        <v>1</v>
      </c>
      <c r="AJ15" s="84" t="n">
        <v>1</v>
      </c>
      <c r="AK15" s="84" t="n">
        <v>1</v>
      </c>
      <c r="AL15" s="84" t="n">
        <v>1</v>
      </c>
      <c r="AM15" s="84" t="n">
        <v>1</v>
      </c>
      <c r="AN15" s="84" t="n">
        <v>1</v>
      </c>
      <c r="AO15" s="84" t="n">
        <v>1</v>
      </c>
      <c r="AP15" s="84" t="n">
        <v>1</v>
      </c>
      <c r="AQ15" s="84" t="n">
        <v>1</v>
      </c>
      <c r="AR15" s="84" t="n">
        <v>1</v>
      </c>
      <c r="AS15" s="84" t="n">
        <v>1</v>
      </c>
      <c r="AT15" s="84" t="n">
        <v>1</v>
      </c>
      <c r="AU15" s="84" t="n">
        <v>1</v>
      </c>
      <c r="AV15" s="84" t="n">
        <v>1</v>
      </c>
      <c r="AW15" s="84" t="n">
        <v>1</v>
      </c>
      <c r="AX15" s="84" t="n">
        <v>1</v>
      </c>
      <c r="AY15" s="84" t="n">
        <v>1</v>
      </c>
      <c r="AZ15" s="84" t="n">
        <v>1</v>
      </c>
      <c r="BA15" s="84" t="n">
        <v>1</v>
      </c>
      <c r="BB15" s="84" t="n">
        <v>1</v>
      </c>
      <c r="BC15" s="84" t="n">
        <v>1</v>
      </c>
      <c r="BD15" s="84" t="n">
        <v>1</v>
      </c>
      <c r="BE15" s="84" t="n">
        <v>1</v>
      </c>
      <c r="BF15" s="84" t="n">
        <v>1</v>
      </c>
      <c r="BG15" s="84" t="n">
        <v>1</v>
      </c>
      <c r="BH15" s="84" t="n">
        <v>1</v>
      </c>
      <c r="BI15" s="84" t="n">
        <v>1</v>
      </c>
      <c r="BJ15" s="84" t="n">
        <v>1</v>
      </c>
      <c r="BK15" s="84" t="n">
        <v>1</v>
      </c>
      <c r="BL15" s="84" t="n">
        <v>1</v>
      </c>
      <c r="BM15" s="84" t="n">
        <v>1</v>
      </c>
      <c r="BN15" s="84" t="n">
        <v>1</v>
      </c>
      <c r="BO15" s="84" t="n">
        <v>1</v>
      </c>
      <c r="BP15" s="84" t="n">
        <v>1</v>
      </c>
      <c r="BQ15" s="84" t="n">
        <v>1</v>
      </c>
      <c r="BR15" s="84" t="n">
        <v>1</v>
      </c>
      <c r="BS15" s="84" t="n">
        <v>1</v>
      </c>
      <c r="BT15" s="84" t="n">
        <v>1</v>
      </c>
      <c r="BU15" s="84" t="n">
        <v>1</v>
      </c>
      <c r="BV15" s="84" t="n">
        <v>1</v>
      </c>
      <c r="BW15" s="84" t="n">
        <v>1</v>
      </c>
      <c r="BX15" s="84" t="n">
        <v>1</v>
      </c>
      <c r="BY15" s="84" t="n">
        <v>1</v>
      </c>
      <c r="BZ15" s="84" t="n">
        <v>1</v>
      </c>
      <c r="CA15" s="84" t="n">
        <v>1</v>
      </c>
      <c r="CB15" s="84" t="n">
        <v>1</v>
      </c>
      <c r="CC15" s="84" t="n">
        <v>1</v>
      </c>
      <c r="CD15" s="84" t="n">
        <v>1</v>
      </c>
    </row>
    <row r="16">
      <c r="A16" t="inlineStr">
        <is>
          <t>Scenario 9</t>
        </is>
      </c>
      <c r="C16" s="84" t="n">
        <v>1</v>
      </c>
      <c r="D16" s="84" t="n">
        <v>1</v>
      </c>
      <c r="E16" s="84" t="n">
        <v>1</v>
      </c>
      <c r="F16" s="84" t="n">
        <v>1</v>
      </c>
      <c r="G16" s="84" t="n">
        <v>1</v>
      </c>
      <c r="H16" s="84" t="n">
        <v>1</v>
      </c>
      <c r="I16" s="84" t="n">
        <v>1</v>
      </c>
      <c r="J16" s="84" t="n">
        <v>1</v>
      </c>
      <c r="K16" s="84" t="n">
        <v>1</v>
      </c>
      <c r="L16" s="84" t="n">
        <v>1</v>
      </c>
      <c r="M16" s="84" t="n">
        <v>1</v>
      </c>
      <c r="N16" s="84" t="n">
        <v>1</v>
      </c>
      <c r="O16" s="84" t="n">
        <v>1</v>
      </c>
      <c r="P16" s="84" t="n">
        <v>1</v>
      </c>
      <c r="Q16" s="84" t="n">
        <v>1</v>
      </c>
      <c r="R16" s="84" t="n">
        <v>1</v>
      </c>
      <c r="S16" s="84" t="n">
        <v>1</v>
      </c>
      <c r="T16" s="84" t="n">
        <v>1</v>
      </c>
      <c r="U16" s="84" t="n">
        <v>1</v>
      </c>
      <c r="V16" s="84" t="n">
        <v>1</v>
      </c>
      <c r="W16" s="84" t="n">
        <v>1</v>
      </c>
      <c r="X16" s="84" t="n">
        <v>1</v>
      </c>
      <c r="Y16" s="84" t="n">
        <v>1</v>
      </c>
      <c r="Z16" s="84" t="n">
        <v>1</v>
      </c>
      <c r="AA16" s="84" t="n">
        <v>1</v>
      </c>
      <c r="AB16" s="84" t="n">
        <v>1</v>
      </c>
      <c r="AC16" s="84" t="n">
        <v>1</v>
      </c>
      <c r="AD16" s="84" t="n">
        <v>1</v>
      </c>
      <c r="AE16" s="84" t="n">
        <v>1</v>
      </c>
      <c r="AF16" s="84" t="n">
        <v>1</v>
      </c>
      <c r="AG16" s="84" t="n">
        <v>1</v>
      </c>
      <c r="AH16" s="84" t="n">
        <v>1</v>
      </c>
      <c r="AI16" s="84" t="n">
        <v>1</v>
      </c>
      <c r="AJ16" s="84" t="n">
        <v>1</v>
      </c>
      <c r="AK16" s="84" t="n">
        <v>1</v>
      </c>
      <c r="AL16" s="84" t="n">
        <v>1</v>
      </c>
      <c r="AM16" s="84" t="n">
        <v>1</v>
      </c>
      <c r="AN16" s="84" t="n">
        <v>1</v>
      </c>
      <c r="AO16" s="84" t="n">
        <v>1</v>
      </c>
      <c r="AP16" s="84" t="n">
        <v>1</v>
      </c>
      <c r="AQ16" s="84" t="n">
        <v>1</v>
      </c>
      <c r="AR16" s="84" t="n">
        <v>1</v>
      </c>
      <c r="AS16" s="84" t="n">
        <v>1</v>
      </c>
      <c r="AT16" s="84" t="n">
        <v>1</v>
      </c>
      <c r="AU16" s="84" t="n">
        <v>1</v>
      </c>
      <c r="AV16" s="84" t="n">
        <v>1</v>
      </c>
      <c r="AW16" s="84" t="n">
        <v>1</v>
      </c>
      <c r="AX16" s="84" t="n">
        <v>1</v>
      </c>
      <c r="AY16" s="84" t="n">
        <v>1</v>
      </c>
      <c r="AZ16" s="84" t="n">
        <v>1</v>
      </c>
      <c r="BA16" s="84" t="n">
        <v>1</v>
      </c>
      <c r="BB16" s="84" t="n">
        <v>1</v>
      </c>
      <c r="BC16" s="84" t="n">
        <v>1</v>
      </c>
      <c r="BD16" s="84" t="n">
        <v>1</v>
      </c>
      <c r="BE16" s="84" t="n">
        <v>1</v>
      </c>
      <c r="BF16" s="84" t="n">
        <v>1</v>
      </c>
      <c r="BG16" s="84" t="n">
        <v>1</v>
      </c>
      <c r="BH16" s="84" t="n">
        <v>1</v>
      </c>
      <c r="BI16" s="84" t="n">
        <v>1</v>
      </c>
      <c r="BJ16" s="84" t="n">
        <v>1</v>
      </c>
      <c r="BK16" s="84" t="n">
        <v>1</v>
      </c>
      <c r="BL16" s="84" t="n">
        <v>1</v>
      </c>
      <c r="BM16" s="84" t="n">
        <v>1</v>
      </c>
      <c r="BN16" s="84" t="n">
        <v>1</v>
      </c>
      <c r="BO16" s="84" t="n">
        <v>1</v>
      </c>
      <c r="BP16" s="84" t="n">
        <v>1</v>
      </c>
      <c r="BQ16" s="84" t="n">
        <v>1</v>
      </c>
      <c r="BR16" s="84" t="n">
        <v>1</v>
      </c>
      <c r="BS16" s="84" t="n">
        <v>1</v>
      </c>
      <c r="BT16" s="84" t="n">
        <v>1</v>
      </c>
      <c r="BU16" s="84" t="n">
        <v>1</v>
      </c>
      <c r="BV16" s="84" t="n">
        <v>1</v>
      </c>
      <c r="BW16" s="84" t="n">
        <v>1</v>
      </c>
      <c r="BX16" s="84" t="n">
        <v>1</v>
      </c>
      <c r="BY16" s="84" t="n">
        <v>1</v>
      </c>
      <c r="BZ16" s="84" t="n">
        <v>1</v>
      </c>
      <c r="CA16" s="84" t="n">
        <v>1</v>
      </c>
      <c r="CB16" s="84" t="n">
        <v>1</v>
      </c>
      <c r="CC16" s="84" t="n">
        <v>1</v>
      </c>
      <c r="CD16" s="84" t="n">
        <v>1</v>
      </c>
    </row>
    <row r="17">
      <c r="A17" t="inlineStr">
        <is>
          <t>Scenario 10</t>
        </is>
      </c>
      <c r="C17" s="84" t="n">
        <v>1</v>
      </c>
      <c r="D17" s="84" t="n">
        <v>1</v>
      </c>
      <c r="E17" s="84" t="n">
        <v>1</v>
      </c>
      <c r="F17" s="84" t="n">
        <v>1</v>
      </c>
      <c r="G17" s="84" t="n">
        <v>1</v>
      </c>
      <c r="H17" s="84" t="n">
        <v>1</v>
      </c>
      <c r="I17" s="84" t="n">
        <v>1</v>
      </c>
      <c r="J17" s="84" t="n">
        <v>1</v>
      </c>
      <c r="K17" s="84" t="n">
        <v>1</v>
      </c>
      <c r="L17" s="84" t="n">
        <v>1</v>
      </c>
      <c r="M17" s="84" t="n">
        <v>1</v>
      </c>
      <c r="N17" s="84" t="n">
        <v>1</v>
      </c>
      <c r="O17" s="84" t="n">
        <v>1</v>
      </c>
      <c r="P17" s="84" t="n">
        <v>1</v>
      </c>
      <c r="Q17" s="84" t="n">
        <v>1</v>
      </c>
      <c r="R17" s="84" t="n">
        <v>1</v>
      </c>
      <c r="S17" s="84" t="n">
        <v>1</v>
      </c>
      <c r="T17" s="84" t="n">
        <v>1</v>
      </c>
      <c r="U17" s="84" t="n">
        <v>1</v>
      </c>
      <c r="V17" s="84" t="n">
        <v>1</v>
      </c>
      <c r="W17" s="84" t="n">
        <v>1</v>
      </c>
      <c r="X17" s="84" t="n">
        <v>1</v>
      </c>
      <c r="Y17" s="84" t="n">
        <v>1</v>
      </c>
      <c r="Z17" s="84" t="n">
        <v>1</v>
      </c>
      <c r="AA17" s="84" t="n">
        <v>1</v>
      </c>
      <c r="AB17" s="84" t="n">
        <v>1</v>
      </c>
      <c r="AC17" s="84" t="n">
        <v>1</v>
      </c>
      <c r="AD17" s="84" t="n">
        <v>1</v>
      </c>
      <c r="AE17" s="84" t="n">
        <v>1</v>
      </c>
      <c r="AF17" s="84" t="n">
        <v>1</v>
      </c>
      <c r="AG17" s="84" t="n">
        <v>1</v>
      </c>
      <c r="AH17" s="84" t="n">
        <v>1</v>
      </c>
      <c r="AI17" s="84" t="n">
        <v>1</v>
      </c>
      <c r="AJ17" s="84" t="n">
        <v>1</v>
      </c>
      <c r="AK17" s="84" t="n">
        <v>1</v>
      </c>
      <c r="AL17" s="84" t="n">
        <v>1</v>
      </c>
      <c r="AM17" s="84" t="n">
        <v>1</v>
      </c>
      <c r="AN17" s="84" t="n">
        <v>1</v>
      </c>
      <c r="AO17" s="84" t="n">
        <v>1</v>
      </c>
      <c r="AP17" s="84" t="n">
        <v>1</v>
      </c>
      <c r="AQ17" s="84" t="n">
        <v>1</v>
      </c>
      <c r="AR17" s="84" t="n">
        <v>1</v>
      </c>
      <c r="AS17" s="84" t="n">
        <v>1</v>
      </c>
      <c r="AT17" s="84" t="n">
        <v>1</v>
      </c>
      <c r="AU17" s="84" t="n">
        <v>1</v>
      </c>
      <c r="AV17" s="84" t="n">
        <v>1</v>
      </c>
      <c r="AW17" s="84" t="n">
        <v>1</v>
      </c>
      <c r="AX17" s="84" t="n">
        <v>1</v>
      </c>
      <c r="AY17" s="84" t="n">
        <v>1</v>
      </c>
      <c r="AZ17" s="84" t="n">
        <v>1</v>
      </c>
      <c r="BA17" s="84" t="n">
        <v>1</v>
      </c>
      <c r="BB17" s="84" t="n">
        <v>1</v>
      </c>
      <c r="BC17" s="84" t="n">
        <v>1</v>
      </c>
      <c r="BD17" s="84" t="n">
        <v>1</v>
      </c>
      <c r="BE17" s="84" t="n">
        <v>1</v>
      </c>
      <c r="BF17" s="84" t="n">
        <v>1</v>
      </c>
      <c r="BG17" s="84" t="n">
        <v>1</v>
      </c>
      <c r="BH17" s="84" t="n">
        <v>1</v>
      </c>
      <c r="BI17" s="84" t="n">
        <v>1</v>
      </c>
      <c r="BJ17" s="84" t="n">
        <v>1</v>
      </c>
      <c r="BK17" s="84" t="n">
        <v>1</v>
      </c>
      <c r="BL17" s="84" t="n">
        <v>1</v>
      </c>
      <c r="BM17" s="84" t="n">
        <v>1</v>
      </c>
      <c r="BN17" s="84" t="n">
        <v>1</v>
      </c>
      <c r="BO17" s="84" t="n">
        <v>1</v>
      </c>
      <c r="BP17" s="84" t="n">
        <v>1</v>
      </c>
      <c r="BQ17" s="84" t="n">
        <v>1</v>
      </c>
      <c r="BR17" s="84" t="n">
        <v>1</v>
      </c>
      <c r="BS17" s="84" t="n">
        <v>1</v>
      </c>
      <c r="BT17" s="84" t="n">
        <v>1</v>
      </c>
      <c r="BU17" s="84" t="n">
        <v>1</v>
      </c>
      <c r="BV17" s="84" t="n">
        <v>1</v>
      </c>
      <c r="BW17" s="84" t="n">
        <v>1</v>
      </c>
      <c r="BX17" s="84" t="n">
        <v>1</v>
      </c>
      <c r="BY17" s="84" t="n">
        <v>1</v>
      </c>
      <c r="BZ17" s="84" t="n">
        <v>1</v>
      </c>
      <c r="CA17" s="84" t="n">
        <v>1</v>
      </c>
      <c r="CB17" s="84" t="n">
        <v>1</v>
      </c>
      <c r="CC17" s="84" t="n">
        <v>1</v>
      </c>
      <c r="CD17" s="84" t="n">
        <v>1</v>
      </c>
    </row>
    <row r="18">
      <c r="A18" s="51" t="inlineStr">
        <is>
          <t>ACTIVE — Revenue Volume Index</t>
        </is>
      </c>
      <c r="C18" s="85">
        <f>INDEX(C$8:C$17,Cover!$B$20)</f>
        <v/>
      </c>
      <c r="D18" s="85">
        <f>INDEX(D$8:D$17,Cover!$B$20)</f>
        <v/>
      </c>
      <c r="E18" s="85">
        <f>INDEX(E$8:E$17,Cover!$B$20)</f>
        <v/>
      </c>
      <c r="F18" s="85">
        <f>INDEX(F$8:F$17,Cover!$B$20)</f>
        <v/>
      </c>
      <c r="G18" s="85">
        <f>INDEX(G$8:G$17,Cover!$B$20)</f>
        <v/>
      </c>
      <c r="H18" s="85">
        <f>INDEX(H$8:H$17,Cover!$B$20)</f>
        <v/>
      </c>
      <c r="I18" s="85">
        <f>INDEX(I$8:I$17,Cover!$B$20)</f>
        <v/>
      </c>
      <c r="J18" s="85">
        <f>INDEX(J$8:J$17,Cover!$B$20)</f>
        <v/>
      </c>
      <c r="K18" s="85">
        <f>INDEX(K$8:K$17,Cover!$B$20)</f>
        <v/>
      </c>
      <c r="L18" s="85">
        <f>INDEX(L$8:L$17,Cover!$B$20)</f>
        <v/>
      </c>
      <c r="M18" s="85">
        <f>INDEX(M$8:M$17,Cover!$B$20)</f>
        <v/>
      </c>
      <c r="N18" s="85">
        <f>INDEX(N$8:N$17,Cover!$B$20)</f>
        <v/>
      </c>
      <c r="O18" s="85">
        <f>INDEX(O$8:O$17,Cover!$B$20)</f>
        <v/>
      </c>
      <c r="P18" s="85">
        <f>INDEX(P$8:P$17,Cover!$B$20)</f>
        <v/>
      </c>
      <c r="Q18" s="85">
        <f>INDEX(Q$8:Q$17,Cover!$B$20)</f>
        <v/>
      </c>
      <c r="R18" s="85">
        <f>INDEX(R$8:R$17,Cover!$B$20)</f>
        <v/>
      </c>
      <c r="S18" s="85">
        <f>INDEX(S$8:S$17,Cover!$B$20)</f>
        <v/>
      </c>
      <c r="T18" s="85">
        <f>INDEX(T$8:T$17,Cover!$B$20)</f>
        <v/>
      </c>
      <c r="U18" s="85">
        <f>INDEX(U$8:U$17,Cover!$B$20)</f>
        <v/>
      </c>
      <c r="V18" s="85">
        <f>INDEX(V$8:V$17,Cover!$B$20)</f>
        <v/>
      </c>
      <c r="W18" s="85">
        <f>INDEX(W$8:W$17,Cover!$B$20)</f>
        <v/>
      </c>
      <c r="X18" s="85">
        <f>INDEX(X$8:X$17,Cover!$B$20)</f>
        <v/>
      </c>
      <c r="Y18" s="85">
        <f>INDEX(Y$8:Y$17,Cover!$B$20)</f>
        <v/>
      </c>
      <c r="Z18" s="85">
        <f>INDEX(Z$8:Z$17,Cover!$B$20)</f>
        <v/>
      </c>
      <c r="AA18" s="85">
        <f>INDEX(AA$8:AA$17,Cover!$B$20)</f>
        <v/>
      </c>
      <c r="AB18" s="85">
        <f>INDEX(AB$8:AB$17,Cover!$B$20)</f>
        <v/>
      </c>
      <c r="AC18" s="85">
        <f>INDEX(AC$8:AC$17,Cover!$B$20)</f>
        <v/>
      </c>
      <c r="AD18" s="85">
        <f>INDEX(AD$8:AD$17,Cover!$B$20)</f>
        <v/>
      </c>
      <c r="AE18" s="85">
        <f>INDEX(AE$8:AE$17,Cover!$B$20)</f>
        <v/>
      </c>
      <c r="AF18" s="85">
        <f>INDEX(AF$8:AF$17,Cover!$B$20)</f>
        <v/>
      </c>
      <c r="AG18" s="85">
        <f>INDEX(AG$8:AG$17,Cover!$B$20)</f>
        <v/>
      </c>
      <c r="AH18" s="85">
        <f>INDEX(AH$8:AH$17,Cover!$B$20)</f>
        <v/>
      </c>
      <c r="AI18" s="85">
        <f>INDEX(AI$8:AI$17,Cover!$B$20)</f>
        <v/>
      </c>
      <c r="AJ18" s="85">
        <f>INDEX(AJ$8:AJ$17,Cover!$B$20)</f>
        <v/>
      </c>
      <c r="AK18" s="85">
        <f>INDEX(AK$8:AK$17,Cover!$B$20)</f>
        <v/>
      </c>
      <c r="AL18" s="85">
        <f>INDEX(AL$8:AL$17,Cover!$B$20)</f>
        <v/>
      </c>
      <c r="AM18" s="85">
        <f>INDEX(AM$8:AM$17,Cover!$B$20)</f>
        <v/>
      </c>
      <c r="AN18" s="85">
        <f>INDEX(AN$8:AN$17,Cover!$B$20)</f>
        <v/>
      </c>
      <c r="AO18" s="85">
        <f>INDEX(AO$8:AO$17,Cover!$B$20)</f>
        <v/>
      </c>
      <c r="AP18" s="85">
        <f>INDEX(AP$8:AP$17,Cover!$B$20)</f>
        <v/>
      </c>
      <c r="AQ18" s="85">
        <f>INDEX(AQ$8:AQ$17,Cover!$B$20)</f>
        <v/>
      </c>
      <c r="AR18" s="85">
        <f>INDEX(AR$8:AR$17,Cover!$B$20)</f>
        <v/>
      </c>
      <c r="AS18" s="85">
        <f>INDEX(AS$8:AS$17,Cover!$B$20)</f>
        <v/>
      </c>
      <c r="AT18" s="85">
        <f>INDEX(AT$8:AT$17,Cover!$B$20)</f>
        <v/>
      </c>
      <c r="AU18" s="85">
        <f>INDEX(AU$8:AU$17,Cover!$B$20)</f>
        <v/>
      </c>
      <c r="AV18" s="85">
        <f>INDEX(AV$8:AV$17,Cover!$B$20)</f>
        <v/>
      </c>
      <c r="AW18" s="85">
        <f>INDEX(AW$8:AW$17,Cover!$B$20)</f>
        <v/>
      </c>
      <c r="AX18" s="85">
        <f>INDEX(AX$8:AX$17,Cover!$B$20)</f>
        <v/>
      </c>
      <c r="AY18" s="85">
        <f>INDEX(AY$8:AY$17,Cover!$B$20)</f>
        <v/>
      </c>
      <c r="AZ18" s="85">
        <f>INDEX(AZ$8:AZ$17,Cover!$B$20)</f>
        <v/>
      </c>
      <c r="BA18" s="85">
        <f>INDEX(BA$8:BA$17,Cover!$B$20)</f>
        <v/>
      </c>
      <c r="BB18" s="85">
        <f>INDEX(BB$8:BB$17,Cover!$B$20)</f>
        <v/>
      </c>
      <c r="BC18" s="85">
        <f>INDEX(BC$8:BC$17,Cover!$B$20)</f>
        <v/>
      </c>
      <c r="BD18" s="85">
        <f>INDEX(BD$8:BD$17,Cover!$B$20)</f>
        <v/>
      </c>
      <c r="BE18" s="85">
        <f>INDEX(BE$8:BE$17,Cover!$B$20)</f>
        <v/>
      </c>
      <c r="BF18" s="85">
        <f>INDEX(BF$8:BF$17,Cover!$B$20)</f>
        <v/>
      </c>
      <c r="BG18" s="85">
        <f>INDEX(BG$8:BG$17,Cover!$B$20)</f>
        <v/>
      </c>
      <c r="BH18" s="85">
        <f>INDEX(BH$8:BH$17,Cover!$B$20)</f>
        <v/>
      </c>
      <c r="BI18" s="85">
        <f>INDEX(BI$8:BI$17,Cover!$B$20)</f>
        <v/>
      </c>
      <c r="BJ18" s="85">
        <f>INDEX(BJ$8:BJ$17,Cover!$B$20)</f>
        <v/>
      </c>
      <c r="BK18" s="85">
        <f>INDEX(BK$8:BK$17,Cover!$B$20)</f>
        <v/>
      </c>
      <c r="BL18" s="85">
        <f>INDEX(BL$8:BL$17,Cover!$B$20)</f>
        <v/>
      </c>
      <c r="BM18" s="85">
        <f>INDEX(BM$8:BM$17,Cover!$B$20)</f>
        <v/>
      </c>
      <c r="BN18" s="85">
        <f>INDEX(BN$8:BN$17,Cover!$B$20)</f>
        <v/>
      </c>
      <c r="BO18" s="85">
        <f>INDEX(BO$8:BO$17,Cover!$B$20)</f>
        <v/>
      </c>
      <c r="BP18" s="85">
        <f>INDEX(BP$8:BP$17,Cover!$B$20)</f>
        <v/>
      </c>
      <c r="BQ18" s="85">
        <f>INDEX(BQ$8:BQ$17,Cover!$B$20)</f>
        <v/>
      </c>
      <c r="BR18" s="85">
        <f>INDEX(BR$8:BR$17,Cover!$B$20)</f>
        <v/>
      </c>
      <c r="BS18" s="85">
        <f>INDEX(BS$8:BS$17,Cover!$B$20)</f>
        <v/>
      </c>
      <c r="BT18" s="85">
        <f>INDEX(BT$8:BT$17,Cover!$B$20)</f>
        <v/>
      </c>
      <c r="BU18" s="85">
        <f>INDEX(BU$8:BU$17,Cover!$B$20)</f>
        <v/>
      </c>
      <c r="BV18" s="85">
        <f>INDEX(BV$8:BV$17,Cover!$B$20)</f>
        <v/>
      </c>
      <c r="BW18" s="85">
        <f>INDEX(BW$8:BW$17,Cover!$B$20)</f>
        <v/>
      </c>
      <c r="BX18" s="85">
        <f>INDEX(BX$8:BX$17,Cover!$B$20)</f>
        <v/>
      </c>
      <c r="BY18" s="85">
        <f>INDEX(BY$8:BY$17,Cover!$B$20)</f>
        <v/>
      </c>
      <c r="BZ18" s="85">
        <f>INDEX(BZ$8:BZ$17,Cover!$B$20)</f>
        <v/>
      </c>
      <c r="CA18" s="85">
        <f>INDEX(CA$8:CA$17,Cover!$B$20)</f>
        <v/>
      </c>
      <c r="CB18" s="85">
        <f>INDEX(CB$8:CB$17,Cover!$B$20)</f>
        <v/>
      </c>
      <c r="CC18" s="85">
        <f>INDEX(CC$8:CC$17,Cover!$B$20)</f>
        <v/>
      </c>
      <c r="CD18" s="85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4" t="n">
        <v>1</v>
      </c>
      <c r="D21" s="84" t="n">
        <v>1</v>
      </c>
      <c r="E21" s="84" t="n">
        <v>1</v>
      </c>
      <c r="F21" s="84" t="n">
        <v>1</v>
      </c>
      <c r="G21" s="84" t="n">
        <v>1</v>
      </c>
      <c r="H21" s="84" t="n">
        <v>1</v>
      </c>
      <c r="I21" s="84" t="n">
        <v>1</v>
      </c>
      <c r="J21" s="84" t="n">
        <v>1</v>
      </c>
      <c r="K21" s="84" t="n">
        <v>1</v>
      </c>
      <c r="L21" s="84" t="n">
        <v>1</v>
      </c>
      <c r="M21" s="84" t="n">
        <v>1</v>
      </c>
      <c r="N21" s="84" t="n">
        <v>1</v>
      </c>
      <c r="O21" s="84" t="n">
        <v>1</v>
      </c>
      <c r="P21" s="84" t="n">
        <v>1</v>
      </c>
      <c r="Q21" s="84" t="n">
        <v>1</v>
      </c>
      <c r="R21" s="84" t="n">
        <v>1</v>
      </c>
      <c r="S21" s="84" t="n">
        <v>1</v>
      </c>
      <c r="T21" s="84" t="n">
        <v>1</v>
      </c>
      <c r="U21" s="84" t="n">
        <v>1</v>
      </c>
      <c r="V21" s="84" t="n">
        <v>1</v>
      </c>
      <c r="W21" s="84" t="n">
        <v>1</v>
      </c>
      <c r="X21" s="84" t="n">
        <v>1</v>
      </c>
      <c r="Y21" s="84" t="n">
        <v>1</v>
      </c>
      <c r="Z21" s="84" t="n">
        <v>1</v>
      </c>
      <c r="AA21" s="84" t="n">
        <v>1</v>
      </c>
      <c r="AB21" s="84" t="n">
        <v>1</v>
      </c>
      <c r="AC21" s="84" t="n">
        <v>1</v>
      </c>
      <c r="AD21" s="84" t="n">
        <v>1</v>
      </c>
      <c r="AE21" s="84" t="n">
        <v>1</v>
      </c>
      <c r="AF21" s="84" t="n">
        <v>1</v>
      </c>
      <c r="AG21" s="84" t="n">
        <v>1</v>
      </c>
      <c r="AH21" s="84" t="n">
        <v>1</v>
      </c>
      <c r="AI21" s="84" t="n">
        <v>1</v>
      </c>
      <c r="AJ21" s="84" t="n">
        <v>1</v>
      </c>
      <c r="AK21" s="84" t="n">
        <v>1</v>
      </c>
      <c r="AL21" s="84" t="n">
        <v>1</v>
      </c>
      <c r="AM21" s="84" t="n">
        <v>1</v>
      </c>
      <c r="AN21" s="84" t="n">
        <v>1</v>
      </c>
      <c r="AO21" s="84" t="n">
        <v>1</v>
      </c>
      <c r="AP21" s="84" t="n">
        <v>1</v>
      </c>
      <c r="AQ21" s="84" t="n">
        <v>1</v>
      </c>
      <c r="AR21" s="84" t="n">
        <v>1</v>
      </c>
      <c r="AS21" s="84" t="n">
        <v>1</v>
      </c>
      <c r="AT21" s="84" t="n">
        <v>1</v>
      </c>
      <c r="AU21" s="84" t="n">
        <v>1</v>
      </c>
      <c r="AV21" s="84" t="n">
        <v>1</v>
      </c>
      <c r="AW21" s="84" t="n">
        <v>1</v>
      </c>
      <c r="AX21" s="84" t="n">
        <v>1</v>
      </c>
      <c r="AY21" s="84" t="n">
        <v>1</v>
      </c>
      <c r="AZ21" s="84" t="n">
        <v>1</v>
      </c>
      <c r="BA21" s="84" t="n">
        <v>1</v>
      </c>
      <c r="BB21" s="84" t="n">
        <v>1</v>
      </c>
      <c r="BC21" s="84" t="n">
        <v>1</v>
      </c>
      <c r="BD21" s="84" t="n">
        <v>1</v>
      </c>
      <c r="BE21" s="84" t="n">
        <v>1</v>
      </c>
      <c r="BF21" s="84" t="n">
        <v>1</v>
      </c>
      <c r="BG21" s="84" t="n">
        <v>1</v>
      </c>
      <c r="BH21" s="84" t="n">
        <v>1</v>
      </c>
      <c r="BI21" s="84" t="n">
        <v>1</v>
      </c>
      <c r="BJ21" s="84" t="n">
        <v>1</v>
      </c>
      <c r="BK21" s="84" t="n">
        <v>1</v>
      </c>
      <c r="BL21" s="84" t="n">
        <v>1</v>
      </c>
      <c r="BM21" s="84" t="n">
        <v>1</v>
      </c>
      <c r="BN21" s="84" t="n">
        <v>1</v>
      </c>
      <c r="BO21" s="84" t="n">
        <v>1</v>
      </c>
      <c r="BP21" s="84" t="n">
        <v>1</v>
      </c>
      <c r="BQ21" s="84" t="n">
        <v>1</v>
      </c>
      <c r="BR21" s="84" t="n">
        <v>1</v>
      </c>
      <c r="BS21" s="84" t="n">
        <v>1</v>
      </c>
      <c r="BT21" s="84" t="n">
        <v>1</v>
      </c>
      <c r="BU21" s="84" t="n">
        <v>1</v>
      </c>
      <c r="BV21" s="84" t="n">
        <v>1</v>
      </c>
      <c r="BW21" s="84" t="n">
        <v>1</v>
      </c>
      <c r="BX21" s="84" t="n">
        <v>1</v>
      </c>
      <c r="BY21" s="84" t="n">
        <v>1</v>
      </c>
      <c r="BZ21" s="84" t="n">
        <v>1</v>
      </c>
      <c r="CA21" s="84" t="n">
        <v>1</v>
      </c>
      <c r="CB21" s="84" t="n">
        <v>1</v>
      </c>
      <c r="CC21" s="84" t="n">
        <v>1</v>
      </c>
      <c r="CD21" s="84" t="n">
        <v>1</v>
      </c>
    </row>
    <row r="22">
      <c r="A22" t="inlineStr">
        <is>
          <t>Scenario 2</t>
        </is>
      </c>
      <c r="C22" s="84" t="n">
        <v>1</v>
      </c>
      <c r="D22" s="84" t="n">
        <v>1</v>
      </c>
      <c r="E22" s="84" t="n">
        <v>1</v>
      </c>
      <c r="F22" s="84" t="n">
        <v>1</v>
      </c>
      <c r="G22" s="84" t="n">
        <v>1</v>
      </c>
      <c r="H22" s="84" t="n">
        <v>1</v>
      </c>
      <c r="I22" s="84" t="n">
        <v>1</v>
      </c>
      <c r="J22" s="84" t="n">
        <v>1</v>
      </c>
      <c r="K22" s="84" t="n">
        <v>1</v>
      </c>
      <c r="L22" s="84" t="n">
        <v>1</v>
      </c>
      <c r="M22" s="84" t="n">
        <v>1</v>
      </c>
      <c r="N22" s="84" t="n">
        <v>1</v>
      </c>
      <c r="O22" s="84" t="n">
        <v>1</v>
      </c>
      <c r="P22" s="84" t="n">
        <v>1</v>
      </c>
      <c r="Q22" s="84" t="n">
        <v>1</v>
      </c>
      <c r="R22" s="84" t="n">
        <v>1</v>
      </c>
      <c r="S22" s="84" t="n">
        <v>1</v>
      </c>
      <c r="T22" s="84" t="n">
        <v>1</v>
      </c>
      <c r="U22" s="84" t="n">
        <v>1</v>
      </c>
      <c r="V22" s="84" t="n">
        <v>1</v>
      </c>
      <c r="W22" s="84" t="n">
        <v>1</v>
      </c>
      <c r="X22" s="84" t="n">
        <v>1</v>
      </c>
      <c r="Y22" s="84" t="n">
        <v>1</v>
      </c>
      <c r="Z22" s="84" t="n">
        <v>1</v>
      </c>
      <c r="AA22" s="84" t="n">
        <v>1</v>
      </c>
      <c r="AB22" s="84" t="n">
        <v>1</v>
      </c>
      <c r="AC22" s="84" t="n">
        <v>1</v>
      </c>
      <c r="AD22" s="84" t="n">
        <v>1</v>
      </c>
      <c r="AE22" s="84" t="n">
        <v>1</v>
      </c>
      <c r="AF22" s="84" t="n">
        <v>1</v>
      </c>
      <c r="AG22" s="84" t="n">
        <v>1</v>
      </c>
      <c r="AH22" s="84" t="n">
        <v>1</v>
      </c>
      <c r="AI22" s="84" t="n">
        <v>1</v>
      </c>
      <c r="AJ22" s="84" t="n">
        <v>1</v>
      </c>
      <c r="AK22" s="84" t="n">
        <v>1</v>
      </c>
      <c r="AL22" s="84" t="n">
        <v>1</v>
      </c>
      <c r="AM22" s="84" t="n">
        <v>1</v>
      </c>
      <c r="AN22" s="84" t="n">
        <v>1</v>
      </c>
      <c r="AO22" s="84" t="n">
        <v>1</v>
      </c>
      <c r="AP22" s="84" t="n">
        <v>1</v>
      </c>
      <c r="AQ22" s="84" t="n">
        <v>1</v>
      </c>
      <c r="AR22" s="84" t="n">
        <v>1</v>
      </c>
      <c r="AS22" s="84" t="n">
        <v>1</v>
      </c>
      <c r="AT22" s="84" t="n">
        <v>1</v>
      </c>
      <c r="AU22" s="84" t="n">
        <v>1</v>
      </c>
      <c r="AV22" s="84" t="n">
        <v>1</v>
      </c>
      <c r="AW22" s="84" t="n">
        <v>1</v>
      </c>
      <c r="AX22" s="84" t="n">
        <v>1</v>
      </c>
      <c r="AY22" s="84" t="n">
        <v>1</v>
      </c>
      <c r="AZ22" s="84" t="n">
        <v>1</v>
      </c>
      <c r="BA22" s="84" t="n">
        <v>1</v>
      </c>
      <c r="BB22" s="84" t="n">
        <v>1</v>
      </c>
      <c r="BC22" s="84" t="n">
        <v>1</v>
      </c>
      <c r="BD22" s="84" t="n">
        <v>1</v>
      </c>
      <c r="BE22" s="84" t="n">
        <v>1</v>
      </c>
      <c r="BF22" s="84" t="n">
        <v>1</v>
      </c>
      <c r="BG22" s="84" t="n">
        <v>1</v>
      </c>
      <c r="BH22" s="84" t="n">
        <v>1</v>
      </c>
      <c r="BI22" s="84" t="n">
        <v>1</v>
      </c>
      <c r="BJ22" s="84" t="n">
        <v>1</v>
      </c>
      <c r="BK22" s="84" t="n">
        <v>1</v>
      </c>
      <c r="BL22" s="84" t="n">
        <v>1</v>
      </c>
      <c r="BM22" s="84" t="n">
        <v>1</v>
      </c>
      <c r="BN22" s="84" t="n">
        <v>1</v>
      </c>
      <c r="BO22" s="84" t="n">
        <v>1</v>
      </c>
      <c r="BP22" s="84" t="n">
        <v>1</v>
      </c>
      <c r="BQ22" s="84" t="n">
        <v>1</v>
      </c>
      <c r="BR22" s="84" t="n">
        <v>1</v>
      </c>
      <c r="BS22" s="84" t="n">
        <v>1</v>
      </c>
      <c r="BT22" s="84" t="n">
        <v>1</v>
      </c>
      <c r="BU22" s="84" t="n">
        <v>1</v>
      </c>
      <c r="BV22" s="84" t="n">
        <v>1</v>
      </c>
      <c r="BW22" s="84" t="n">
        <v>1</v>
      </c>
      <c r="BX22" s="84" t="n">
        <v>1</v>
      </c>
      <c r="BY22" s="84" t="n">
        <v>1</v>
      </c>
      <c r="BZ22" s="84" t="n">
        <v>1</v>
      </c>
      <c r="CA22" s="84" t="n">
        <v>1</v>
      </c>
      <c r="CB22" s="84" t="n">
        <v>1</v>
      </c>
      <c r="CC22" s="84" t="n">
        <v>1</v>
      </c>
      <c r="CD22" s="84" t="n">
        <v>1</v>
      </c>
    </row>
    <row r="23">
      <c r="A23" t="inlineStr">
        <is>
          <t>Scenario 3</t>
        </is>
      </c>
      <c r="C23" s="84" t="n">
        <v>1</v>
      </c>
      <c r="D23" s="84" t="n">
        <v>1</v>
      </c>
      <c r="E23" s="84" t="n">
        <v>1</v>
      </c>
      <c r="F23" s="84" t="n">
        <v>1</v>
      </c>
      <c r="G23" s="84" t="n">
        <v>1</v>
      </c>
      <c r="H23" s="84" t="n">
        <v>1</v>
      </c>
      <c r="I23" s="84" t="n">
        <v>1</v>
      </c>
      <c r="J23" s="84" t="n">
        <v>1</v>
      </c>
      <c r="K23" s="84" t="n">
        <v>1</v>
      </c>
      <c r="L23" s="84" t="n">
        <v>1</v>
      </c>
      <c r="M23" s="84" t="n">
        <v>1</v>
      </c>
      <c r="N23" s="84" t="n">
        <v>1</v>
      </c>
      <c r="O23" s="84" t="n">
        <v>1</v>
      </c>
      <c r="P23" s="84" t="n">
        <v>1</v>
      </c>
      <c r="Q23" s="84" t="n">
        <v>1</v>
      </c>
      <c r="R23" s="84" t="n">
        <v>1</v>
      </c>
      <c r="S23" s="84" t="n">
        <v>1</v>
      </c>
      <c r="T23" s="84" t="n">
        <v>1</v>
      </c>
      <c r="U23" s="84" t="n">
        <v>1</v>
      </c>
      <c r="V23" s="84" t="n">
        <v>1</v>
      </c>
      <c r="W23" s="84" t="n">
        <v>1</v>
      </c>
      <c r="X23" s="84" t="n">
        <v>1</v>
      </c>
      <c r="Y23" s="84" t="n">
        <v>1</v>
      </c>
      <c r="Z23" s="84" t="n">
        <v>1</v>
      </c>
      <c r="AA23" s="84" t="n">
        <v>1</v>
      </c>
      <c r="AB23" s="84" t="n">
        <v>1</v>
      </c>
      <c r="AC23" s="84" t="n">
        <v>1</v>
      </c>
      <c r="AD23" s="84" t="n">
        <v>1</v>
      </c>
      <c r="AE23" s="84" t="n">
        <v>1</v>
      </c>
      <c r="AF23" s="84" t="n">
        <v>1</v>
      </c>
      <c r="AG23" s="84" t="n">
        <v>1</v>
      </c>
      <c r="AH23" s="84" t="n">
        <v>1</v>
      </c>
      <c r="AI23" s="84" t="n">
        <v>1</v>
      </c>
      <c r="AJ23" s="84" t="n">
        <v>1</v>
      </c>
      <c r="AK23" s="84" t="n">
        <v>1</v>
      </c>
      <c r="AL23" s="84" t="n">
        <v>1</v>
      </c>
      <c r="AM23" s="84" t="n">
        <v>1</v>
      </c>
      <c r="AN23" s="84" t="n">
        <v>1</v>
      </c>
      <c r="AO23" s="84" t="n">
        <v>1</v>
      </c>
      <c r="AP23" s="84" t="n">
        <v>1</v>
      </c>
      <c r="AQ23" s="84" t="n">
        <v>1</v>
      </c>
      <c r="AR23" s="84" t="n">
        <v>1</v>
      </c>
      <c r="AS23" s="84" t="n">
        <v>1</v>
      </c>
      <c r="AT23" s="84" t="n">
        <v>1</v>
      </c>
      <c r="AU23" s="84" t="n">
        <v>1</v>
      </c>
      <c r="AV23" s="84" t="n">
        <v>1</v>
      </c>
      <c r="AW23" s="84" t="n">
        <v>1</v>
      </c>
      <c r="AX23" s="84" t="n">
        <v>1</v>
      </c>
      <c r="AY23" s="84" t="n">
        <v>1</v>
      </c>
      <c r="AZ23" s="84" t="n">
        <v>1</v>
      </c>
      <c r="BA23" s="84" t="n">
        <v>1</v>
      </c>
      <c r="BB23" s="84" t="n">
        <v>1</v>
      </c>
      <c r="BC23" s="84" t="n">
        <v>1</v>
      </c>
      <c r="BD23" s="84" t="n">
        <v>1</v>
      </c>
      <c r="BE23" s="84" t="n">
        <v>1</v>
      </c>
      <c r="BF23" s="84" t="n">
        <v>1</v>
      </c>
      <c r="BG23" s="84" t="n">
        <v>1</v>
      </c>
      <c r="BH23" s="84" t="n">
        <v>1</v>
      </c>
      <c r="BI23" s="84" t="n">
        <v>1</v>
      </c>
      <c r="BJ23" s="84" t="n">
        <v>1</v>
      </c>
      <c r="BK23" s="84" t="n">
        <v>1</v>
      </c>
      <c r="BL23" s="84" t="n">
        <v>1</v>
      </c>
      <c r="BM23" s="84" t="n">
        <v>1</v>
      </c>
      <c r="BN23" s="84" t="n">
        <v>1</v>
      </c>
      <c r="BO23" s="84" t="n">
        <v>1</v>
      </c>
      <c r="BP23" s="84" t="n">
        <v>1</v>
      </c>
      <c r="BQ23" s="84" t="n">
        <v>1</v>
      </c>
      <c r="BR23" s="84" t="n">
        <v>1</v>
      </c>
      <c r="BS23" s="84" t="n">
        <v>1</v>
      </c>
      <c r="BT23" s="84" t="n">
        <v>1</v>
      </c>
      <c r="BU23" s="84" t="n">
        <v>1</v>
      </c>
      <c r="BV23" s="84" t="n">
        <v>1</v>
      </c>
      <c r="BW23" s="84" t="n">
        <v>1</v>
      </c>
      <c r="BX23" s="84" t="n">
        <v>1</v>
      </c>
      <c r="BY23" s="84" t="n">
        <v>1</v>
      </c>
      <c r="BZ23" s="84" t="n">
        <v>1</v>
      </c>
      <c r="CA23" s="84" t="n">
        <v>1</v>
      </c>
      <c r="CB23" s="84" t="n">
        <v>1</v>
      </c>
      <c r="CC23" s="84" t="n">
        <v>1</v>
      </c>
      <c r="CD23" s="84" t="n">
        <v>1</v>
      </c>
    </row>
    <row r="24">
      <c r="A24" t="inlineStr">
        <is>
          <t>Scenario 4</t>
        </is>
      </c>
      <c r="C24" s="84" t="n">
        <v>1</v>
      </c>
      <c r="D24" s="84" t="n">
        <v>1</v>
      </c>
      <c r="E24" s="84" t="n">
        <v>1</v>
      </c>
      <c r="F24" s="84" t="n">
        <v>1</v>
      </c>
      <c r="G24" s="84" t="n">
        <v>1</v>
      </c>
      <c r="H24" s="84" t="n">
        <v>1</v>
      </c>
      <c r="I24" s="84" t="n">
        <v>1</v>
      </c>
      <c r="J24" s="84" t="n">
        <v>1</v>
      </c>
      <c r="K24" s="84" t="n">
        <v>1</v>
      </c>
      <c r="L24" s="84" t="n">
        <v>1</v>
      </c>
      <c r="M24" s="84" t="n">
        <v>1</v>
      </c>
      <c r="N24" s="84" t="n">
        <v>1</v>
      </c>
      <c r="O24" s="84" t="n">
        <v>1</v>
      </c>
      <c r="P24" s="84" t="n">
        <v>1</v>
      </c>
      <c r="Q24" s="84" t="n">
        <v>1</v>
      </c>
      <c r="R24" s="84" t="n">
        <v>1</v>
      </c>
      <c r="S24" s="84" t="n">
        <v>1</v>
      </c>
      <c r="T24" s="84" t="n">
        <v>1</v>
      </c>
      <c r="U24" s="84" t="n">
        <v>1</v>
      </c>
      <c r="V24" s="84" t="n">
        <v>1</v>
      </c>
      <c r="W24" s="84" t="n">
        <v>1</v>
      </c>
      <c r="X24" s="84" t="n">
        <v>1</v>
      </c>
      <c r="Y24" s="84" t="n">
        <v>1</v>
      </c>
      <c r="Z24" s="84" t="n">
        <v>1</v>
      </c>
      <c r="AA24" s="84" t="n">
        <v>1</v>
      </c>
      <c r="AB24" s="84" t="n">
        <v>1</v>
      </c>
      <c r="AC24" s="84" t="n">
        <v>1</v>
      </c>
      <c r="AD24" s="84" t="n">
        <v>1</v>
      </c>
      <c r="AE24" s="84" t="n">
        <v>1</v>
      </c>
      <c r="AF24" s="84" t="n">
        <v>1</v>
      </c>
      <c r="AG24" s="84" t="n">
        <v>1</v>
      </c>
      <c r="AH24" s="84" t="n">
        <v>1</v>
      </c>
      <c r="AI24" s="84" t="n">
        <v>1</v>
      </c>
      <c r="AJ24" s="84" t="n">
        <v>1</v>
      </c>
      <c r="AK24" s="84" t="n">
        <v>1</v>
      </c>
      <c r="AL24" s="84" t="n">
        <v>1</v>
      </c>
      <c r="AM24" s="84" t="n">
        <v>1</v>
      </c>
      <c r="AN24" s="84" t="n">
        <v>1</v>
      </c>
      <c r="AO24" s="84" t="n">
        <v>1</v>
      </c>
      <c r="AP24" s="84" t="n">
        <v>1</v>
      </c>
      <c r="AQ24" s="84" t="n">
        <v>1</v>
      </c>
      <c r="AR24" s="84" t="n">
        <v>1</v>
      </c>
      <c r="AS24" s="84" t="n">
        <v>1</v>
      </c>
      <c r="AT24" s="84" t="n">
        <v>1</v>
      </c>
      <c r="AU24" s="84" t="n">
        <v>1</v>
      </c>
      <c r="AV24" s="84" t="n">
        <v>1</v>
      </c>
      <c r="AW24" s="84" t="n">
        <v>1</v>
      </c>
      <c r="AX24" s="84" t="n">
        <v>1</v>
      </c>
      <c r="AY24" s="84" t="n">
        <v>1</v>
      </c>
      <c r="AZ24" s="84" t="n">
        <v>1</v>
      </c>
      <c r="BA24" s="84" t="n">
        <v>1</v>
      </c>
      <c r="BB24" s="84" t="n">
        <v>1</v>
      </c>
      <c r="BC24" s="84" t="n">
        <v>1</v>
      </c>
      <c r="BD24" s="84" t="n">
        <v>1</v>
      </c>
      <c r="BE24" s="84" t="n">
        <v>1</v>
      </c>
      <c r="BF24" s="84" t="n">
        <v>1</v>
      </c>
      <c r="BG24" s="84" t="n">
        <v>1</v>
      </c>
      <c r="BH24" s="84" t="n">
        <v>1</v>
      </c>
      <c r="BI24" s="84" t="n">
        <v>1</v>
      </c>
      <c r="BJ24" s="84" t="n">
        <v>1</v>
      </c>
      <c r="BK24" s="84" t="n">
        <v>1</v>
      </c>
      <c r="BL24" s="84" t="n">
        <v>1</v>
      </c>
      <c r="BM24" s="84" t="n">
        <v>1</v>
      </c>
      <c r="BN24" s="84" t="n">
        <v>1</v>
      </c>
      <c r="BO24" s="84" t="n">
        <v>1</v>
      </c>
      <c r="BP24" s="84" t="n">
        <v>1</v>
      </c>
      <c r="BQ24" s="84" t="n">
        <v>1</v>
      </c>
      <c r="BR24" s="84" t="n">
        <v>1</v>
      </c>
      <c r="BS24" s="84" t="n">
        <v>1</v>
      </c>
      <c r="BT24" s="84" t="n">
        <v>1</v>
      </c>
      <c r="BU24" s="84" t="n">
        <v>1</v>
      </c>
      <c r="BV24" s="84" t="n">
        <v>1</v>
      </c>
      <c r="BW24" s="84" t="n">
        <v>1</v>
      </c>
      <c r="BX24" s="84" t="n">
        <v>1</v>
      </c>
      <c r="BY24" s="84" t="n">
        <v>1</v>
      </c>
      <c r="BZ24" s="84" t="n">
        <v>1</v>
      </c>
      <c r="CA24" s="84" t="n">
        <v>1</v>
      </c>
      <c r="CB24" s="84" t="n">
        <v>1</v>
      </c>
      <c r="CC24" s="84" t="n">
        <v>1</v>
      </c>
      <c r="CD24" s="84" t="n">
        <v>1</v>
      </c>
    </row>
    <row r="25">
      <c r="A25" t="inlineStr">
        <is>
          <t>Scenario 5</t>
        </is>
      </c>
      <c r="C25" s="84" t="n">
        <v>1</v>
      </c>
      <c r="D25" s="84" t="n">
        <v>1</v>
      </c>
      <c r="E25" s="84" t="n">
        <v>1</v>
      </c>
      <c r="F25" s="84" t="n">
        <v>1</v>
      </c>
      <c r="G25" s="84" t="n">
        <v>1</v>
      </c>
      <c r="H25" s="84" t="n">
        <v>1</v>
      </c>
      <c r="I25" s="84" t="n">
        <v>1</v>
      </c>
      <c r="J25" s="84" t="n">
        <v>1</v>
      </c>
      <c r="K25" s="84" t="n">
        <v>1</v>
      </c>
      <c r="L25" s="84" t="n">
        <v>1</v>
      </c>
      <c r="M25" s="84" t="n">
        <v>1</v>
      </c>
      <c r="N25" s="84" t="n">
        <v>1</v>
      </c>
      <c r="O25" s="84" t="n">
        <v>1</v>
      </c>
      <c r="P25" s="84" t="n">
        <v>1</v>
      </c>
      <c r="Q25" s="84" t="n">
        <v>1</v>
      </c>
      <c r="R25" s="84" t="n">
        <v>1</v>
      </c>
      <c r="S25" s="84" t="n">
        <v>1</v>
      </c>
      <c r="T25" s="84" t="n">
        <v>1</v>
      </c>
      <c r="U25" s="84" t="n">
        <v>1</v>
      </c>
      <c r="V25" s="84" t="n">
        <v>1</v>
      </c>
      <c r="W25" s="84" t="n">
        <v>1</v>
      </c>
      <c r="X25" s="84" t="n">
        <v>1</v>
      </c>
      <c r="Y25" s="84" t="n">
        <v>1</v>
      </c>
      <c r="Z25" s="84" t="n">
        <v>1</v>
      </c>
      <c r="AA25" s="84" t="n">
        <v>1</v>
      </c>
      <c r="AB25" s="84" t="n">
        <v>1</v>
      </c>
      <c r="AC25" s="84" t="n">
        <v>1</v>
      </c>
      <c r="AD25" s="84" t="n">
        <v>1</v>
      </c>
      <c r="AE25" s="84" t="n">
        <v>1</v>
      </c>
      <c r="AF25" s="84" t="n">
        <v>1</v>
      </c>
      <c r="AG25" s="84" t="n">
        <v>1</v>
      </c>
      <c r="AH25" s="84" t="n">
        <v>1</v>
      </c>
      <c r="AI25" s="84" t="n">
        <v>1</v>
      </c>
      <c r="AJ25" s="84" t="n">
        <v>1</v>
      </c>
      <c r="AK25" s="84" t="n">
        <v>1</v>
      </c>
      <c r="AL25" s="84" t="n">
        <v>1</v>
      </c>
      <c r="AM25" s="84" t="n">
        <v>1</v>
      </c>
      <c r="AN25" s="84" t="n">
        <v>1</v>
      </c>
      <c r="AO25" s="84" t="n">
        <v>1</v>
      </c>
      <c r="AP25" s="84" t="n">
        <v>1</v>
      </c>
      <c r="AQ25" s="84" t="n">
        <v>1</v>
      </c>
      <c r="AR25" s="84" t="n">
        <v>1</v>
      </c>
      <c r="AS25" s="84" t="n">
        <v>1</v>
      </c>
      <c r="AT25" s="84" t="n">
        <v>1</v>
      </c>
      <c r="AU25" s="84" t="n">
        <v>1</v>
      </c>
      <c r="AV25" s="84" t="n">
        <v>1</v>
      </c>
      <c r="AW25" s="84" t="n">
        <v>1</v>
      </c>
      <c r="AX25" s="84" t="n">
        <v>1</v>
      </c>
      <c r="AY25" s="84" t="n">
        <v>1</v>
      </c>
      <c r="AZ25" s="84" t="n">
        <v>1</v>
      </c>
      <c r="BA25" s="84" t="n">
        <v>1</v>
      </c>
      <c r="BB25" s="84" t="n">
        <v>1</v>
      </c>
      <c r="BC25" s="84" t="n">
        <v>1</v>
      </c>
      <c r="BD25" s="84" t="n">
        <v>1</v>
      </c>
      <c r="BE25" s="84" t="n">
        <v>1</v>
      </c>
      <c r="BF25" s="84" t="n">
        <v>1</v>
      </c>
      <c r="BG25" s="84" t="n">
        <v>1</v>
      </c>
      <c r="BH25" s="84" t="n">
        <v>1</v>
      </c>
      <c r="BI25" s="84" t="n">
        <v>1</v>
      </c>
      <c r="BJ25" s="84" t="n">
        <v>1</v>
      </c>
      <c r="BK25" s="84" t="n">
        <v>1</v>
      </c>
      <c r="BL25" s="84" t="n">
        <v>1</v>
      </c>
      <c r="BM25" s="84" t="n">
        <v>1</v>
      </c>
      <c r="BN25" s="84" t="n">
        <v>1</v>
      </c>
      <c r="BO25" s="84" t="n">
        <v>1</v>
      </c>
      <c r="BP25" s="84" t="n">
        <v>1</v>
      </c>
      <c r="BQ25" s="84" t="n">
        <v>1</v>
      </c>
      <c r="BR25" s="84" t="n">
        <v>1</v>
      </c>
      <c r="BS25" s="84" t="n">
        <v>1</v>
      </c>
      <c r="BT25" s="84" t="n">
        <v>1</v>
      </c>
      <c r="BU25" s="84" t="n">
        <v>1</v>
      </c>
      <c r="BV25" s="84" t="n">
        <v>1</v>
      </c>
      <c r="BW25" s="84" t="n">
        <v>1</v>
      </c>
      <c r="BX25" s="84" t="n">
        <v>1</v>
      </c>
      <c r="BY25" s="84" t="n">
        <v>1</v>
      </c>
      <c r="BZ25" s="84" t="n">
        <v>1</v>
      </c>
      <c r="CA25" s="84" t="n">
        <v>1</v>
      </c>
      <c r="CB25" s="84" t="n">
        <v>1</v>
      </c>
      <c r="CC25" s="84" t="n">
        <v>1</v>
      </c>
      <c r="CD25" s="84" t="n">
        <v>1</v>
      </c>
    </row>
    <row r="26">
      <c r="A26" t="inlineStr">
        <is>
          <t>Scenario 6</t>
        </is>
      </c>
      <c r="C26" s="84" t="n">
        <v>1</v>
      </c>
      <c r="D26" s="84" t="n">
        <v>1</v>
      </c>
      <c r="E26" s="84" t="n">
        <v>1</v>
      </c>
      <c r="F26" s="84" t="n">
        <v>1</v>
      </c>
      <c r="G26" s="84" t="n">
        <v>1</v>
      </c>
      <c r="H26" s="84" t="n">
        <v>1</v>
      </c>
      <c r="I26" s="84" t="n">
        <v>1</v>
      </c>
      <c r="J26" s="84" t="n">
        <v>1</v>
      </c>
      <c r="K26" s="84" t="n">
        <v>1</v>
      </c>
      <c r="L26" s="84" t="n">
        <v>1</v>
      </c>
      <c r="M26" s="84" t="n">
        <v>1</v>
      </c>
      <c r="N26" s="84" t="n">
        <v>1</v>
      </c>
      <c r="O26" s="84" t="n">
        <v>1</v>
      </c>
      <c r="P26" s="84" t="n">
        <v>1</v>
      </c>
      <c r="Q26" s="84" t="n">
        <v>1</v>
      </c>
      <c r="R26" s="84" t="n">
        <v>1</v>
      </c>
      <c r="S26" s="84" t="n">
        <v>1</v>
      </c>
      <c r="T26" s="84" t="n">
        <v>1</v>
      </c>
      <c r="U26" s="84" t="n">
        <v>1</v>
      </c>
      <c r="V26" s="84" t="n">
        <v>1</v>
      </c>
      <c r="W26" s="84" t="n">
        <v>1</v>
      </c>
      <c r="X26" s="84" t="n">
        <v>1</v>
      </c>
      <c r="Y26" s="84" t="n">
        <v>1</v>
      </c>
      <c r="Z26" s="84" t="n">
        <v>1</v>
      </c>
      <c r="AA26" s="84" t="n">
        <v>1</v>
      </c>
      <c r="AB26" s="84" t="n">
        <v>1</v>
      </c>
      <c r="AC26" s="84" t="n">
        <v>1</v>
      </c>
      <c r="AD26" s="84" t="n">
        <v>1</v>
      </c>
      <c r="AE26" s="84" t="n">
        <v>1</v>
      </c>
      <c r="AF26" s="84" t="n">
        <v>1</v>
      </c>
      <c r="AG26" s="84" t="n">
        <v>1</v>
      </c>
      <c r="AH26" s="84" t="n">
        <v>1</v>
      </c>
      <c r="AI26" s="84" t="n">
        <v>1</v>
      </c>
      <c r="AJ26" s="84" t="n">
        <v>1</v>
      </c>
      <c r="AK26" s="84" t="n">
        <v>1</v>
      </c>
      <c r="AL26" s="84" t="n">
        <v>1</v>
      </c>
      <c r="AM26" s="84" t="n">
        <v>1</v>
      </c>
      <c r="AN26" s="84" t="n">
        <v>1</v>
      </c>
      <c r="AO26" s="84" t="n">
        <v>1</v>
      </c>
      <c r="AP26" s="84" t="n">
        <v>1</v>
      </c>
      <c r="AQ26" s="84" t="n">
        <v>1</v>
      </c>
      <c r="AR26" s="84" t="n">
        <v>1</v>
      </c>
      <c r="AS26" s="84" t="n">
        <v>1</v>
      </c>
      <c r="AT26" s="84" t="n">
        <v>1</v>
      </c>
      <c r="AU26" s="84" t="n">
        <v>1</v>
      </c>
      <c r="AV26" s="84" t="n">
        <v>1</v>
      </c>
      <c r="AW26" s="84" t="n">
        <v>1</v>
      </c>
      <c r="AX26" s="84" t="n">
        <v>1</v>
      </c>
      <c r="AY26" s="84" t="n">
        <v>1</v>
      </c>
      <c r="AZ26" s="84" t="n">
        <v>1</v>
      </c>
      <c r="BA26" s="84" t="n">
        <v>1</v>
      </c>
      <c r="BB26" s="84" t="n">
        <v>1</v>
      </c>
      <c r="BC26" s="84" t="n">
        <v>1</v>
      </c>
      <c r="BD26" s="84" t="n">
        <v>1</v>
      </c>
      <c r="BE26" s="84" t="n">
        <v>1</v>
      </c>
      <c r="BF26" s="84" t="n">
        <v>1</v>
      </c>
      <c r="BG26" s="84" t="n">
        <v>1</v>
      </c>
      <c r="BH26" s="84" t="n">
        <v>1</v>
      </c>
      <c r="BI26" s="84" t="n">
        <v>1</v>
      </c>
      <c r="BJ26" s="84" t="n">
        <v>1</v>
      </c>
      <c r="BK26" s="84" t="n">
        <v>1</v>
      </c>
      <c r="BL26" s="84" t="n">
        <v>1</v>
      </c>
      <c r="BM26" s="84" t="n">
        <v>1</v>
      </c>
      <c r="BN26" s="84" t="n">
        <v>1</v>
      </c>
      <c r="BO26" s="84" t="n">
        <v>1</v>
      </c>
      <c r="BP26" s="84" t="n">
        <v>1</v>
      </c>
      <c r="BQ26" s="84" t="n">
        <v>1</v>
      </c>
      <c r="BR26" s="84" t="n">
        <v>1</v>
      </c>
      <c r="BS26" s="84" t="n">
        <v>1</v>
      </c>
      <c r="BT26" s="84" t="n">
        <v>1</v>
      </c>
      <c r="BU26" s="84" t="n">
        <v>1</v>
      </c>
      <c r="BV26" s="84" t="n">
        <v>1</v>
      </c>
      <c r="BW26" s="84" t="n">
        <v>1</v>
      </c>
      <c r="BX26" s="84" t="n">
        <v>1</v>
      </c>
      <c r="BY26" s="84" t="n">
        <v>1</v>
      </c>
      <c r="BZ26" s="84" t="n">
        <v>1</v>
      </c>
      <c r="CA26" s="84" t="n">
        <v>1</v>
      </c>
      <c r="CB26" s="84" t="n">
        <v>1</v>
      </c>
      <c r="CC26" s="84" t="n">
        <v>1</v>
      </c>
      <c r="CD26" s="84" t="n">
        <v>1</v>
      </c>
    </row>
    <row r="27">
      <c r="A27" t="inlineStr">
        <is>
          <t>Scenario 7</t>
        </is>
      </c>
      <c r="C27" s="84" t="n">
        <v>1</v>
      </c>
      <c r="D27" s="84" t="n">
        <v>1</v>
      </c>
      <c r="E27" s="84" t="n">
        <v>1</v>
      </c>
      <c r="F27" s="84" t="n">
        <v>1</v>
      </c>
      <c r="G27" s="84" t="n">
        <v>1</v>
      </c>
      <c r="H27" s="84" t="n">
        <v>1</v>
      </c>
      <c r="I27" s="84" t="n">
        <v>1</v>
      </c>
      <c r="J27" s="84" t="n">
        <v>1</v>
      </c>
      <c r="K27" s="84" t="n">
        <v>1</v>
      </c>
      <c r="L27" s="84" t="n">
        <v>1</v>
      </c>
      <c r="M27" s="84" t="n">
        <v>1</v>
      </c>
      <c r="N27" s="84" t="n">
        <v>1</v>
      </c>
      <c r="O27" s="84" t="n">
        <v>1</v>
      </c>
      <c r="P27" s="84" t="n">
        <v>1</v>
      </c>
      <c r="Q27" s="84" t="n">
        <v>1</v>
      </c>
      <c r="R27" s="84" t="n">
        <v>1</v>
      </c>
      <c r="S27" s="84" t="n">
        <v>1</v>
      </c>
      <c r="T27" s="84" t="n">
        <v>1</v>
      </c>
      <c r="U27" s="84" t="n">
        <v>1</v>
      </c>
      <c r="V27" s="84" t="n">
        <v>1</v>
      </c>
      <c r="W27" s="84" t="n">
        <v>1</v>
      </c>
      <c r="X27" s="84" t="n">
        <v>1</v>
      </c>
      <c r="Y27" s="84" t="n">
        <v>1</v>
      </c>
      <c r="Z27" s="84" t="n">
        <v>1</v>
      </c>
      <c r="AA27" s="84" t="n">
        <v>1</v>
      </c>
      <c r="AB27" s="84" t="n">
        <v>1</v>
      </c>
      <c r="AC27" s="84" t="n">
        <v>1</v>
      </c>
      <c r="AD27" s="84" t="n">
        <v>1</v>
      </c>
      <c r="AE27" s="84" t="n">
        <v>1</v>
      </c>
      <c r="AF27" s="84" t="n">
        <v>1</v>
      </c>
      <c r="AG27" s="84" t="n">
        <v>1</v>
      </c>
      <c r="AH27" s="84" t="n">
        <v>1</v>
      </c>
      <c r="AI27" s="84" t="n">
        <v>1</v>
      </c>
      <c r="AJ27" s="84" t="n">
        <v>1</v>
      </c>
      <c r="AK27" s="84" t="n">
        <v>1</v>
      </c>
      <c r="AL27" s="84" t="n">
        <v>1</v>
      </c>
      <c r="AM27" s="84" t="n">
        <v>1</v>
      </c>
      <c r="AN27" s="84" t="n">
        <v>1</v>
      </c>
      <c r="AO27" s="84" t="n">
        <v>1</v>
      </c>
      <c r="AP27" s="84" t="n">
        <v>1</v>
      </c>
      <c r="AQ27" s="84" t="n">
        <v>1</v>
      </c>
      <c r="AR27" s="84" t="n">
        <v>1</v>
      </c>
      <c r="AS27" s="84" t="n">
        <v>1</v>
      </c>
      <c r="AT27" s="84" t="n">
        <v>1</v>
      </c>
      <c r="AU27" s="84" t="n">
        <v>1</v>
      </c>
      <c r="AV27" s="84" t="n">
        <v>1</v>
      </c>
      <c r="AW27" s="84" t="n">
        <v>1</v>
      </c>
      <c r="AX27" s="84" t="n">
        <v>1</v>
      </c>
      <c r="AY27" s="84" t="n">
        <v>1</v>
      </c>
      <c r="AZ27" s="84" t="n">
        <v>1</v>
      </c>
      <c r="BA27" s="84" t="n">
        <v>1</v>
      </c>
      <c r="BB27" s="84" t="n">
        <v>1</v>
      </c>
      <c r="BC27" s="84" t="n">
        <v>1</v>
      </c>
      <c r="BD27" s="84" t="n">
        <v>1</v>
      </c>
      <c r="BE27" s="84" t="n">
        <v>1</v>
      </c>
      <c r="BF27" s="84" t="n">
        <v>1</v>
      </c>
      <c r="BG27" s="84" t="n">
        <v>1</v>
      </c>
      <c r="BH27" s="84" t="n">
        <v>1</v>
      </c>
      <c r="BI27" s="84" t="n">
        <v>1</v>
      </c>
      <c r="BJ27" s="84" t="n">
        <v>1</v>
      </c>
      <c r="BK27" s="84" t="n">
        <v>1</v>
      </c>
      <c r="BL27" s="84" t="n">
        <v>1</v>
      </c>
      <c r="BM27" s="84" t="n">
        <v>1</v>
      </c>
      <c r="BN27" s="84" t="n">
        <v>1</v>
      </c>
      <c r="BO27" s="84" t="n">
        <v>1</v>
      </c>
      <c r="BP27" s="84" t="n">
        <v>1</v>
      </c>
      <c r="BQ27" s="84" t="n">
        <v>1</v>
      </c>
      <c r="BR27" s="84" t="n">
        <v>1</v>
      </c>
      <c r="BS27" s="84" t="n">
        <v>1</v>
      </c>
      <c r="BT27" s="84" t="n">
        <v>1</v>
      </c>
      <c r="BU27" s="84" t="n">
        <v>1</v>
      </c>
      <c r="BV27" s="84" t="n">
        <v>1</v>
      </c>
      <c r="BW27" s="84" t="n">
        <v>1</v>
      </c>
      <c r="BX27" s="84" t="n">
        <v>1</v>
      </c>
      <c r="BY27" s="84" t="n">
        <v>1</v>
      </c>
      <c r="BZ27" s="84" t="n">
        <v>1</v>
      </c>
      <c r="CA27" s="84" t="n">
        <v>1</v>
      </c>
      <c r="CB27" s="84" t="n">
        <v>1</v>
      </c>
      <c r="CC27" s="84" t="n">
        <v>1</v>
      </c>
      <c r="CD27" s="84" t="n">
        <v>1</v>
      </c>
    </row>
    <row r="28">
      <c r="A28" t="inlineStr">
        <is>
          <t>Scenario 8</t>
        </is>
      </c>
      <c r="C28" s="84" t="n">
        <v>1</v>
      </c>
      <c r="D28" s="84" t="n">
        <v>1</v>
      </c>
      <c r="E28" s="84" t="n">
        <v>1</v>
      </c>
      <c r="F28" s="84" t="n">
        <v>1</v>
      </c>
      <c r="G28" s="84" t="n">
        <v>1</v>
      </c>
      <c r="H28" s="84" t="n">
        <v>1</v>
      </c>
      <c r="I28" s="84" t="n">
        <v>1</v>
      </c>
      <c r="J28" s="84" t="n">
        <v>1</v>
      </c>
      <c r="K28" s="84" t="n">
        <v>1</v>
      </c>
      <c r="L28" s="84" t="n">
        <v>1</v>
      </c>
      <c r="M28" s="84" t="n">
        <v>1</v>
      </c>
      <c r="N28" s="84" t="n">
        <v>1</v>
      </c>
      <c r="O28" s="84" t="n">
        <v>1</v>
      </c>
      <c r="P28" s="84" t="n">
        <v>1</v>
      </c>
      <c r="Q28" s="84" t="n">
        <v>1</v>
      </c>
      <c r="R28" s="84" t="n">
        <v>1</v>
      </c>
      <c r="S28" s="84" t="n">
        <v>1</v>
      </c>
      <c r="T28" s="84" t="n">
        <v>1</v>
      </c>
      <c r="U28" s="84" t="n">
        <v>1</v>
      </c>
      <c r="V28" s="84" t="n">
        <v>1</v>
      </c>
      <c r="W28" s="84" t="n">
        <v>1</v>
      </c>
      <c r="X28" s="84" t="n">
        <v>1</v>
      </c>
      <c r="Y28" s="84" t="n">
        <v>1</v>
      </c>
      <c r="Z28" s="84" t="n">
        <v>1</v>
      </c>
      <c r="AA28" s="84" t="n">
        <v>1</v>
      </c>
      <c r="AB28" s="84" t="n">
        <v>1</v>
      </c>
      <c r="AC28" s="84" t="n">
        <v>1</v>
      </c>
      <c r="AD28" s="84" t="n">
        <v>1</v>
      </c>
      <c r="AE28" s="84" t="n">
        <v>1</v>
      </c>
      <c r="AF28" s="84" t="n">
        <v>1</v>
      </c>
      <c r="AG28" s="84" t="n">
        <v>1</v>
      </c>
      <c r="AH28" s="84" t="n">
        <v>1</v>
      </c>
      <c r="AI28" s="84" t="n">
        <v>1</v>
      </c>
      <c r="AJ28" s="84" t="n">
        <v>1</v>
      </c>
      <c r="AK28" s="84" t="n">
        <v>1</v>
      </c>
      <c r="AL28" s="84" t="n">
        <v>1</v>
      </c>
      <c r="AM28" s="84" t="n">
        <v>1</v>
      </c>
      <c r="AN28" s="84" t="n">
        <v>1</v>
      </c>
      <c r="AO28" s="84" t="n">
        <v>1</v>
      </c>
      <c r="AP28" s="84" t="n">
        <v>1</v>
      </c>
      <c r="AQ28" s="84" t="n">
        <v>1</v>
      </c>
      <c r="AR28" s="84" t="n">
        <v>1</v>
      </c>
      <c r="AS28" s="84" t="n">
        <v>1</v>
      </c>
      <c r="AT28" s="84" t="n">
        <v>1</v>
      </c>
      <c r="AU28" s="84" t="n">
        <v>1</v>
      </c>
      <c r="AV28" s="84" t="n">
        <v>1</v>
      </c>
      <c r="AW28" s="84" t="n">
        <v>1</v>
      </c>
      <c r="AX28" s="84" t="n">
        <v>1</v>
      </c>
      <c r="AY28" s="84" t="n">
        <v>1</v>
      </c>
      <c r="AZ28" s="84" t="n">
        <v>1</v>
      </c>
      <c r="BA28" s="84" t="n">
        <v>1</v>
      </c>
      <c r="BB28" s="84" t="n">
        <v>1</v>
      </c>
      <c r="BC28" s="84" t="n">
        <v>1</v>
      </c>
      <c r="BD28" s="84" t="n">
        <v>1</v>
      </c>
      <c r="BE28" s="84" t="n">
        <v>1</v>
      </c>
      <c r="BF28" s="84" t="n">
        <v>1</v>
      </c>
      <c r="BG28" s="84" t="n">
        <v>1</v>
      </c>
      <c r="BH28" s="84" t="n">
        <v>1</v>
      </c>
      <c r="BI28" s="84" t="n">
        <v>1</v>
      </c>
      <c r="BJ28" s="84" t="n">
        <v>1</v>
      </c>
      <c r="BK28" s="84" t="n">
        <v>1</v>
      </c>
      <c r="BL28" s="84" t="n">
        <v>1</v>
      </c>
      <c r="BM28" s="84" t="n">
        <v>1</v>
      </c>
      <c r="BN28" s="84" t="n">
        <v>1</v>
      </c>
      <c r="BO28" s="84" t="n">
        <v>1</v>
      </c>
      <c r="BP28" s="84" t="n">
        <v>1</v>
      </c>
      <c r="BQ28" s="84" t="n">
        <v>1</v>
      </c>
      <c r="BR28" s="84" t="n">
        <v>1</v>
      </c>
      <c r="BS28" s="84" t="n">
        <v>1</v>
      </c>
      <c r="BT28" s="84" t="n">
        <v>1</v>
      </c>
      <c r="BU28" s="84" t="n">
        <v>1</v>
      </c>
      <c r="BV28" s="84" t="n">
        <v>1</v>
      </c>
      <c r="BW28" s="84" t="n">
        <v>1</v>
      </c>
      <c r="BX28" s="84" t="n">
        <v>1</v>
      </c>
      <c r="BY28" s="84" t="n">
        <v>1</v>
      </c>
      <c r="BZ28" s="84" t="n">
        <v>1</v>
      </c>
      <c r="CA28" s="84" t="n">
        <v>1</v>
      </c>
      <c r="CB28" s="84" t="n">
        <v>1</v>
      </c>
      <c r="CC28" s="84" t="n">
        <v>1</v>
      </c>
      <c r="CD28" s="84" t="n">
        <v>1</v>
      </c>
    </row>
    <row r="29">
      <c r="A29" t="inlineStr">
        <is>
          <t>Scenario 9</t>
        </is>
      </c>
      <c r="C29" s="84" t="n">
        <v>1</v>
      </c>
      <c r="D29" s="84" t="n">
        <v>1</v>
      </c>
      <c r="E29" s="84" t="n">
        <v>1</v>
      </c>
      <c r="F29" s="84" t="n">
        <v>1</v>
      </c>
      <c r="G29" s="84" t="n">
        <v>1</v>
      </c>
      <c r="H29" s="84" t="n">
        <v>1</v>
      </c>
      <c r="I29" s="84" t="n">
        <v>1</v>
      </c>
      <c r="J29" s="84" t="n">
        <v>1</v>
      </c>
      <c r="K29" s="84" t="n">
        <v>1</v>
      </c>
      <c r="L29" s="84" t="n">
        <v>1</v>
      </c>
      <c r="M29" s="84" t="n">
        <v>1</v>
      </c>
      <c r="N29" s="84" t="n">
        <v>1</v>
      </c>
      <c r="O29" s="84" t="n">
        <v>1</v>
      </c>
      <c r="P29" s="84" t="n">
        <v>1</v>
      </c>
      <c r="Q29" s="84" t="n">
        <v>1</v>
      </c>
      <c r="R29" s="84" t="n">
        <v>1</v>
      </c>
      <c r="S29" s="84" t="n">
        <v>1</v>
      </c>
      <c r="T29" s="84" t="n">
        <v>1</v>
      </c>
      <c r="U29" s="84" t="n">
        <v>1</v>
      </c>
      <c r="V29" s="84" t="n">
        <v>1</v>
      </c>
      <c r="W29" s="84" t="n">
        <v>1</v>
      </c>
      <c r="X29" s="84" t="n">
        <v>1</v>
      </c>
      <c r="Y29" s="84" t="n">
        <v>1</v>
      </c>
      <c r="Z29" s="84" t="n">
        <v>1</v>
      </c>
      <c r="AA29" s="84" t="n">
        <v>1</v>
      </c>
      <c r="AB29" s="84" t="n">
        <v>1</v>
      </c>
      <c r="AC29" s="84" t="n">
        <v>1</v>
      </c>
      <c r="AD29" s="84" t="n">
        <v>1</v>
      </c>
      <c r="AE29" s="84" t="n">
        <v>1</v>
      </c>
      <c r="AF29" s="84" t="n">
        <v>1</v>
      </c>
      <c r="AG29" s="84" t="n">
        <v>1</v>
      </c>
      <c r="AH29" s="84" t="n">
        <v>1</v>
      </c>
      <c r="AI29" s="84" t="n">
        <v>1</v>
      </c>
      <c r="AJ29" s="84" t="n">
        <v>1</v>
      </c>
      <c r="AK29" s="84" t="n">
        <v>1</v>
      </c>
      <c r="AL29" s="84" t="n">
        <v>1</v>
      </c>
      <c r="AM29" s="84" t="n">
        <v>1</v>
      </c>
      <c r="AN29" s="84" t="n">
        <v>1</v>
      </c>
      <c r="AO29" s="84" t="n">
        <v>1</v>
      </c>
      <c r="AP29" s="84" t="n">
        <v>1</v>
      </c>
      <c r="AQ29" s="84" t="n">
        <v>1</v>
      </c>
      <c r="AR29" s="84" t="n">
        <v>1</v>
      </c>
      <c r="AS29" s="84" t="n">
        <v>1</v>
      </c>
      <c r="AT29" s="84" t="n">
        <v>1</v>
      </c>
      <c r="AU29" s="84" t="n">
        <v>1</v>
      </c>
      <c r="AV29" s="84" t="n">
        <v>1</v>
      </c>
      <c r="AW29" s="84" t="n">
        <v>1</v>
      </c>
      <c r="AX29" s="84" t="n">
        <v>1</v>
      </c>
      <c r="AY29" s="84" t="n">
        <v>1</v>
      </c>
      <c r="AZ29" s="84" t="n">
        <v>1</v>
      </c>
      <c r="BA29" s="84" t="n">
        <v>1</v>
      </c>
      <c r="BB29" s="84" t="n">
        <v>1</v>
      </c>
      <c r="BC29" s="84" t="n">
        <v>1</v>
      </c>
      <c r="BD29" s="84" t="n">
        <v>1</v>
      </c>
      <c r="BE29" s="84" t="n">
        <v>1</v>
      </c>
      <c r="BF29" s="84" t="n">
        <v>1</v>
      </c>
      <c r="BG29" s="84" t="n">
        <v>1</v>
      </c>
      <c r="BH29" s="84" t="n">
        <v>1</v>
      </c>
      <c r="BI29" s="84" t="n">
        <v>1</v>
      </c>
      <c r="BJ29" s="84" t="n">
        <v>1</v>
      </c>
      <c r="BK29" s="84" t="n">
        <v>1</v>
      </c>
      <c r="BL29" s="84" t="n">
        <v>1</v>
      </c>
      <c r="BM29" s="84" t="n">
        <v>1</v>
      </c>
      <c r="BN29" s="84" t="n">
        <v>1</v>
      </c>
      <c r="BO29" s="84" t="n">
        <v>1</v>
      </c>
      <c r="BP29" s="84" t="n">
        <v>1</v>
      </c>
      <c r="BQ29" s="84" t="n">
        <v>1</v>
      </c>
      <c r="BR29" s="84" t="n">
        <v>1</v>
      </c>
      <c r="BS29" s="84" t="n">
        <v>1</v>
      </c>
      <c r="BT29" s="84" t="n">
        <v>1</v>
      </c>
      <c r="BU29" s="84" t="n">
        <v>1</v>
      </c>
      <c r="BV29" s="84" t="n">
        <v>1</v>
      </c>
      <c r="BW29" s="84" t="n">
        <v>1</v>
      </c>
      <c r="BX29" s="84" t="n">
        <v>1</v>
      </c>
      <c r="BY29" s="84" t="n">
        <v>1</v>
      </c>
      <c r="BZ29" s="84" t="n">
        <v>1</v>
      </c>
      <c r="CA29" s="84" t="n">
        <v>1</v>
      </c>
      <c r="CB29" s="84" t="n">
        <v>1</v>
      </c>
      <c r="CC29" s="84" t="n">
        <v>1</v>
      </c>
      <c r="CD29" s="84" t="n">
        <v>1</v>
      </c>
    </row>
    <row r="30">
      <c r="A30" t="inlineStr">
        <is>
          <t>Scenario 10</t>
        </is>
      </c>
      <c r="C30" s="84" t="n">
        <v>1</v>
      </c>
      <c r="D30" s="84" t="n">
        <v>1</v>
      </c>
      <c r="E30" s="84" t="n">
        <v>1</v>
      </c>
      <c r="F30" s="84" t="n">
        <v>1</v>
      </c>
      <c r="G30" s="84" t="n">
        <v>1</v>
      </c>
      <c r="H30" s="84" t="n">
        <v>1</v>
      </c>
      <c r="I30" s="84" t="n">
        <v>1</v>
      </c>
      <c r="J30" s="84" t="n">
        <v>1</v>
      </c>
      <c r="K30" s="84" t="n">
        <v>1</v>
      </c>
      <c r="L30" s="84" t="n">
        <v>1</v>
      </c>
      <c r="M30" s="84" t="n">
        <v>1</v>
      </c>
      <c r="N30" s="84" t="n">
        <v>1</v>
      </c>
      <c r="O30" s="84" t="n">
        <v>1</v>
      </c>
      <c r="P30" s="84" t="n">
        <v>1</v>
      </c>
      <c r="Q30" s="84" t="n">
        <v>1</v>
      </c>
      <c r="R30" s="84" t="n">
        <v>1</v>
      </c>
      <c r="S30" s="84" t="n">
        <v>1</v>
      </c>
      <c r="T30" s="84" t="n">
        <v>1</v>
      </c>
      <c r="U30" s="84" t="n">
        <v>1</v>
      </c>
      <c r="V30" s="84" t="n">
        <v>1</v>
      </c>
      <c r="W30" s="84" t="n">
        <v>1</v>
      </c>
      <c r="X30" s="84" t="n">
        <v>1</v>
      </c>
      <c r="Y30" s="84" t="n">
        <v>1</v>
      </c>
      <c r="Z30" s="84" t="n">
        <v>1</v>
      </c>
      <c r="AA30" s="84" t="n">
        <v>1</v>
      </c>
      <c r="AB30" s="84" t="n">
        <v>1</v>
      </c>
      <c r="AC30" s="84" t="n">
        <v>1</v>
      </c>
      <c r="AD30" s="84" t="n">
        <v>1</v>
      </c>
      <c r="AE30" s="84" t="n">
        <v>1</v>
      </c>
      <c r="AF30" s="84" t="n">
        <v>1</v>
      </c>
      <c r="AG30" s="84" t="n">
        <v>1</v>
      </c>
      <c r="AH30" s="84" t="n">
        <v>1</v>
      </c>
      <c r="AI30" s="84" t="n">
        <v>1</v>
      </c>
      <c r="AJ30" s="84" t="n">
        <v>1</v>
      </c>
      <c r="AK30" s="84" t="n">
        <v>1</v>
      </c>
      <c r="AL30" s="84" t="n">
        <v>1</v>
      </c>
      <c r="AM30" s="84" t="n">
        <v>1</v>
      </c>
      <c r="AN30" s="84" t="n">
        <v>1</v>
      </c>
      <c r="AO30" s="84" t="n">
        <v>1</v>
      </c>
      <c r="AP30" s="84" t="n">
        <v>1</v>
      </c>
      <c r="AQ30" s="84" t="n">
        <v>1</v>
      </c>
      <c r="AR30" s="84" t="n">
        <v>1</v>
      </c>
      <c r="AS30" s="84" t="n">
        <v>1</v>
      </c>
      <c r="AT30" s="84" t="n">
        <v>1</v>
      </c>
      <c r="AU30" s="84" t="n">
        <v>1</v>
      </c>
      <c r="AV30" s="84" t="n">
        <v>1</v>
      </c>
      <c r="AW30" s="84" t="n">
        <v>1</v>
      </c>
      <c r="AX30" s="84" t="n">
        <v>1</v>
      </c>
      <c r="AY30" s="84" t="n">
        <v>1</v>
      </c>
      <c r="AZ30" s="84" t="n">
        <v>1</v>
      </c>
      <c r="BA30" s="84" t="n">
        <v>1</v>
      </c>
      <c r="BB30" s="84" t="n">
        <v>1</v>
      </c>
      <c r="BC30" s="84" t="n">
        <v>1</v>
      </c>
      <c r="BD30" s="84" t="n">
        <v>1</v>
      </c>
      <c r="BE30" s="84" t="n">
        <v>1</v>
      </c>
      <c r="BF30" s="84" t="n">
        <v>1</v>
      </c>
      <c r="BG30" s="84" t="n">
        <v>1</v>
      </c>
      <c r="BH30" s="84" t="n">
        <v>1</v>
      </c>
      <c r="BI30" s="84" t="n">
        <v>1</v>
      </c>
      <c r="BJ30" s="84" t="n">
        <v>1</v>
      </c>
      <c r="BK30" s="84" t="n">
        <v>1</v>
      </c>
      <c r="BL30" s="84" t="n">
        <v>1</v>
      </c>
      <c r="BM30" s="84" t="n">
        <v>1</v>
      </c>
      <c r="BN30" s="84" t="n">
        <v>1</v>
      </c>
      <c r="BO30" s="84" t="n">
        <v>1</v>
      </c>
      <c r="BP30" s="84" t="n">
        <v>1</v>
      </c>
      <c r="BQ30" s="84" t="n">
        <v>1</v>
      </c>
      <c r="BR30" s="84" t="n">
        <v>1</v>
      </c>
      <c r="BS30" s="84" t="n">
        <v>1</v>
      </c>
      <c r="BT30" s="84" t="n">
        <v>1</v>
      </c>
      <c r="BU30" s="84" t="n">
        <v>1</v>
      </c>
      <c r="BV30" s="84" t="n">
        <v>1</v>
      </c>
      <c r="BW30" s="84" t="n">
        <v>1</v>
      </c>
      <c r="BX30" s="84" t="n">
        <v>1</v>
      </c>
      <c r="BY30" s="84" t="n">
        <v>1</v>
      </c>
      <c r="BZ30" s="84" t="n">
        <v>1</v>
      </c>
      <c r="CA30" s="84" t="n">
        <v>1</v>
      </c>
      <c r="CB30" s="84" t="n">
        <v>1</v>
      </c>
      <c r="CC30" s="84" t="n">
        <v>1</v>
      </c>
      <c r="CD30" s="84" t="n">
        <v>1</v>
      </c>
    </row>
    <row r="31">
      <c r="A31" s="51" t="inlineStr">
        <is>
          <t>ACTIVE — Opex Volume Index</t>
        </is>
      </c>
      <c r="C31" s="85">
        <f>INDEX(C$21:C$30,Cover!$B$20)</f>
        <v/>
      </c>
      <c r="D31" s="85">
        <f>INDEX(D$21:D$30,Cover!$B$20)</f>
        <v/>
      </c>
      <c r="E31" s="85">
        <f>INDEX(E$21:E$30,Cover!$B$20)</f>
        <v/>
      </c>
      <c r="F31" s="85">
        <f>INDEX(F$21:F$30,Cover!$B$20)</f>
        <v/>
      </c>
      <c r="G31" s="85">
        <f>INDEX(G$21:G$30,Cover!$B$20)</f>
        <v/>
      </c>
      <c r="H31" s="85">
        <f>INDEX(H$21:H$30,Cover!$B$20)</f>
        <v/>
      </c>
      <c r="I31" s="85">
        <f>INDEX(I$21:I$30,Cover!$B$20)</f>
        <v/>
      </c>
      <c r="J31" s="85">
        <f>INDEX(J$21:J$30,Cover!$B$20)</f>
        <v/>
      </c>
      <c r="K31" s="85">
        <f>INDEX(K$21:K$30,Cover!$B$20)</f>
        <v/>
      </c>
      <c r="L31" s="85">
        <f>INDEX(L$21:L$30,Cover!$B$20)</f>
        <v/>
      </c>
      <c r="M31" s="85">
        <f>INDEX(M$21:M$30,Cover!$B$20)</f>
        <v/>
      </c>
      <c r="N31" s="85">
        <f>INDEX(N$21:N$30,Cover!$B$20)</f>
        <v/>
      </c>
      <c r="O31" s="85">
        <f>INDEX(O$21:O$30,Cover!$B$20)</f>
        <v/>
      </c>
      <c r="P31" s="85">
        <f>INDEX(P$21:P$30,Cover!$B$20)</f>
        <v/>
      </c>
      <c r="Q31" s="85">
        <f>INDEX(Q$21:Q$30,Cover!$B$20)</f>
        <v/>
      </c>
      <c r="R31" s="85">
        <f>INDEX(R$21:R$30,Cover!$B$20)</f>
        <v/>
      </c>
      <c r="S31" s="85">
        <f>INDEX(S$21:S$30,Cover!$B$20)</f>
        <v/>
      </c>
      <c r="T31" s="85">
        <f>INDEX(T$21:T$30,Cover!$B$20)</f>
        <v/>
      </c>
      <c r="U31" s="85">
        <f>INDEX(U$21:U$30,Cover!$B$20)</f>
        <v/>
      </c>
      <c r="V31" s="85">
        <f>INDEX(V$21:V$30,Cover!$B$20)</f>
        <v/>
      </c>
      <c r="W31" s="85">
        <f>INDEX(W$21:W$30,Cover!$B$20)</f>
        <v/>
      </c>
      <c r="X31" s="85">
        <f>INDEX(X$21:X$30,Cover!$B$20)</f>
        <v/>
      </c>
      <c r="Y31" s="85">
        <f>INDEX(Y$21:Y$30,Cover!$B$20)</f>
        <v/>
      </c>
      <c r="Z31" s="85">
        <f>INDEX(Z$21:Z$30,Cover!$B$20)</f>
        <v/>
      </c>
      <c r="AA31" s="85">
        <f>INDEX(AA$21:AA$30,Cover!$B$20)</f>
        <v/>
      </c>
      <c r="AB31" s="85">
        <f>INDEX(AB$21:AB$30,Cover!$B$20)</f>
        <v/>
      </c>
      <c r="AC31" s="85">
        <f>INDEX(AC$21:AC$30,Cover!$B$20)</f>
        <v/>
      </c>
      <c r="AD31" s="85">
        <f>INDEX(AD$21:AD$30,Cover!$B$20)</f>
        <v/>
      </c>
      <c r="AE31" s="85">
        <f>INDEX(AE$21:AE$30,Cover!$B$20)</f>
        <v/>
      </c>
      <c r="AF31" s="85">
        <f>INDEX(AF$21:AF$30,Cover!$B$20)</f>
        <v/>
      </c>
      <c r="AG31" s="85">
        <f>INDEX(AG$21:AG$30,Cover!$B$20)</f>
        <v/>
      </c>
      <c r="AH31" s="85">
        <f>INDEX(AH$21:AH$30,Cover!$B$20)</f>
        <v/>
      </c>
      <c r="AI31" s="85">
        <f>INDEX(AI$21:AI$30,Cover!$B$20)</f>
        <v/>
      </c>
      <c r="AJ31" s="85">
        <f>INDEX(AJ$21:AJ$30,Cover!$B$20)</f>
        <v/>
      </c>
      <c r="AK31" s="85">
        <f>INDEX(AK$21:AK$30,Cover!$B$20)</f>
        <v/>
      </c>
      <c r="AL31" s="85">
        <f>INDEX(AL$21:AL$30,Cover!$B$20)</f>
        <v/>
      </c>
      <c r="AM31" s="85">
        <f>INDEX(AM$21:AM$30,Cover!$B$20)</f>
        <v/>
      </c>
      <c r="AN31" s="85">
        <f>INDEX(AN$21:AN$30,Cover!$B$20)</f>
        <v/>
      </c>
      <c r="AO31" s="85">
        <f>INDEX(AO$21:AO$30,Cover!$B$20)</f>
        <v/>
      </c>
      <c r="AP31" s="85">
        <f>INDEX(AP$21:AP$30,Cover!$B$20)</f>
        <v/>
      </c>
      <c r="AQ31" s="85">
        <f>INDEX(AQ$21:AQ$30,Cover!$B$20)</f>
        <v/>
      </c>
      <c r="AR31" s="85">
        <f>INDEX(AR$21:AR$30,Cover!$B$20)</f>
        <v/>
      </c>
      <c r="AS31" s="85">
        <f>INDEX(AS$21:AS$30,Cover!$B$20)</f>
        <v/>
      </c>
      <c r="AT31" s="85">
        <f>INDEX(AT$21:AT$30,Cover!$B$20)</f>
        <v/>
      </c>
      <c r="AU31" s="85">
        <f>INDEX(AU$21:AU$30,Cover!$B$20)</f>
        <v/>
      </c>
      <c r="AV31" s="85">
        <f>INDEX(AV$21:AV$30,Cover!$B$20)</f>
        <v/>
      </c>
      <c r="AW31" s="85">
        <f>INDEX(AW$21:AW$30,Cover!$B$20)</f>
        <v/>
      </c>
      <c r="AX31" s="85">
        <f>INDEX(AX$21:AX$30,Cover!$B$20)</f>
        <v/>
      </c>
      <c r="AY31" s="85">
        <f>INDEX(AY$21:AY$30,Cover!$B$20)</f>
        <v/>
      </c>
      <c r="AZ31" s="85">
        <f>INDEX(AZ$21:AZ$30,Cover!$B$20)</f>
        <v/>
      </c>
      <c r="BA31" s="85">
        <f>INDEX(BA$21:BA$30,Cover!$B$20)</f>
        <v/>
      </c>
      <c r="BB31" s="85">
        <f>INDEX(BB$21:BB$30,Cover!$B$20)</f>
        <v/>
      </c>
      <c r="BC31" s="85">
        <f>INDEX(BC$21:BC$30,Cover!$B$20)</f>
        <v/>
      </c>
      <c r="BD31" s="85">
        <f>INDEX(BD$21:BD$30,Cover!$B$20)</f>
        <v/>
      </c>
      <c r="BE31" s="85">
        <f>INDEX(BE$21:BE$30,Cover!$B$20)</f>
        <v/>
      </c>
      <c r="BF31" s="85">
        <f>INDEX(BF$21:BF$30,Cover!$B$20)</f>
        <v/>
      </c>
      <c r="BG31" s="85">
        <f>INDEX(BG$21:BG$30,Cover!$B$20)</f>
        <v/>
      </c>
      <c r="BH31" s="85">
        <f>INDEX(BH$21:BH$30,Cover!$B$20)</f>
        <v/>
      </c>
      <c r="BI31" s="85">
        <f>INDEX(BI$21:BI$30,Cover!$B$20)</f>
        <v/>
      </c>
      <c r="BJ31" s="85">
        <f>INDEX(BJ$21:BJ$30,Cover!$B$20)</f>
        <v/>
      </c>
      <c r="BK31" s="85">
        <f>INDEX(BK$21:BK$30,Cover!$B$20)</f>
        <v/>
      </c>
      <c r="BL31" s="85">
        <f>INDEX(BL$21:BL$30,Cover!$B$20)</f>
        <v/>
      </c>
      <c r="BM31" s="85">
        <f>INDEX(BM$21:BM$30,Cover!$B$20)</f>
        <v/>
      </c>
      <c r="BN31" s="85">
        <f>INDEX(BN$21:BN$30,Cover!$B$20)</f>
        <v/>
      </c>
      <c r="BO31" s="85">
        <f>INDEX(BO$21:BO$30,Cover!$B$20)</f>
        <v/>
      </c>
      <c r="BP31" s="85">
        <f>INDEX(BP$21:BP$30,Cover!$B$20)</f>
        <v/>
      </c>
      <c r="BQ31" s="85">
        <f>INDEX(BQ$21:BQ$30,Cover!$B$20)</f>
        <v/>
      </c>
      <c r="BR31" s="85">
        <f>INDEX(BR$21:BR$30,Cover!$B$20)</f>
        <v/>
      </c>
      <c r="BS31" s="85">
        <f>INDEX(BS$21:BS$30,Cover!$B$20)</f>
        <v/>
      </c>
      <c r="BT31" s="85">
        <f>INDEX(BT$21:BT$30,Cover!$B$20)</f>
        <v/>
      </c>
      <c r="BU31" s="85">
        <f>INDEX(BU$21:BU$30,Cover!$B$20)</f>
        <v/>
      </c>
      <c r="BV31" s="85">
        <f>INDEX(BV$21:BV$30,Cover!$B$20)</f>
        <v/>
      </c>
      <c r="BW31" s="85">
        <f>INDEX(BW$21:BW$30,Cover!$B$20)</f>
        <v/>
      </c>
      <c r="BX31" s="85">
        <f>INDEX(BX$21:BX$30,Cover!$B$20)</f>
        <v/>
      </c>
      <c r="BY31" s="85">
        <f>INDEX(BY$21:BY$30,Cover!$B$20)</f>
        <v/>
      </c>
      <c r="BZ31" s="85">
        <f>INDEX(BZ$21:BZ$30,Cover!$B$20)</f>
        <v/>
      </c>
      <c r="CA31" s="85">
        <f>INDEX(CA$21:CA$30,Cover!$B$20)</f>
        <v/>
      </c>
      <c r="CB31" s="85">
        <f>INDEX(CB$21:CB$30,Cover!$B$20)</f>
        <v/>
      </c>
      <c r="CC31" s="85">
        <f>INDEX(CC$21:CC$30,Cover!$B$20)</f>
        <v/>
      </c>
      <c r="CD31" s="85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8" t="n">
        <v>0</v>
      </c>
      <c r="D34" s="78" t="n">
        <v>0</v>
      </c>
      <c r="E34" s="78" t="n">
        <v>0</v>
      </c>
      <c r="F34" s="78" t="n">
        <v>0</v>
      </c>
      <c r="G34" s="78" t="n">
        <v>0</v>
      </c>
      <c r="H34" s="78" t="n">
        <v>0</v>
      </c>
      <c r="I34" s="78" t="n">
        <v>0</v>
      </c>
      <c r="J34" s="78" t="n">
        <v>0</v>
      </c>
      <c r="K34" s="78" t="n">
        <v>0</v>
      </c>
      <c r="L34" s="78" t="n">
        <v>0</v>
      </c>
      <c r="M34" s="78" t="n">
        <v>0</v>
      </c>
      <c r="N34" s="78" t="n">
        <v>0</v>
      </c>
      <c r="O34" s="78" t="n">
        <v>0</v>
      </c>
      <c r="P34" s="78" t="n">
        <v>0</v>
      </c>
      <c r="Q34" s="78" t="n">
        <v>0</v>
      </c>
      <c r="R34" s="78" t="n">
        <v>0</v>
      </c>
      <c r="S34" s="78" t="n">
        <v>0</v>
      </c>
      <c r="T34" s="78" t="n">
        <v>0</v>
      </c>
      <c r="U34" s="78" t="n">
        <v>0</v>
      </c>
      <c r="V34" s="78" t="n">
        <v>2000000</v>
      </c>
      <c r="W34" s="78" t="n">
        <v>0</v>
      </c>
      <c r="X34" s="78" t="n">
        <v>0</v>
      </c>
      <c r="Y34" s="78" t="n">
        <v>0</v>
      </c>
      <c r="Z34" s="78" t="n">
        <v>0</v>
      </c>
      <c r="AA34" s="78" t="n">
        <v>0</v>
      </c>
      <c r="AB34" s="78" t="n">
        <v>0</v>
      </c>
      <c r="AC34" s="78" t="n">
        <v>0</v>
      </c>
      <c r="AD34" s="78" t="n">
        <v>0</v>
      </c>
      <c r="AE34" s="78" t="n">
        <v>0</v>
      </c>
      <c r="AF34" s="78" t="n">
        <v>0</v>
      </c>
      <c r="AG34" s="78" t="n">
        <v>0</v>
      </c>
      <c r="AH34" s="78" t="n">
        <v>0</v>
      </c>
      <c r="AI34" s="78" t="n">
        <v>0</v>
      </c>
      <c r="AJ34" s="78" t="n">
        <v>0</v>
      </c>
      <c r="AK34" s="78" t="n">
        <v>0</v>
      </c>
      <c r="AL34" s="78" t="n">
        <v>0</v>
      </c>
      <c r="AM34" s="78" t="n">
        <v>0</v>
      </c>
      <c r="AN34" s="78" t="n">
        <v>0</v>
      </c>
      <c r="AO34" s="78" t="n">
        <v>0</v>
      </c>
      <c r="AP34" s="78" t="n">
        <v>2000000</v>
      </c>
      <c r="AQ34" s="78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8" t="n">
        <v>0</v>
      </c>
      <c r="BA34" s="78" t="n">
        <v>0</v>
      </c>
      <c r="BB34" s="78" t="n">
        <v>0</v>
      </c>
      <c r="BC34" s="78" t="n">
        <v>0</v>
      </c>
      <c r="BD34" s="78" t="n">
        <v>0</v>
      </c>
      <c r="BE34" s="78" t="n">
        <v>0</v>
      </c>
      <c r="BF34" s="78" t="n">
        <v>0</v>
      </c>
      <c r="BG34" s="78" t="n">
        <v>0</v>
      </c>
      <c r="BH34" s="78" t="n">
        <v>0</v>
      </c>
      <c r="BI34" s="78" t="n">
        <v>0</v>
      </c>
      <c r="BJ34" s="78" t="n">
        <v>2000000</v>
      </c>
      <c r="BK34" s="78" t="n">
        <v>0</v>
      </c>
      <c r="BL34" s="78" t="n">
        <v>0</v>
      </c>
      <c r="BM34" s="78" t="n">
        <v>0</v>
      </c>
      <c r="BN34" s="78" t="n">
        <v>0</v>
      </c>
      <c r="BO34" s="78" t="n">
        <v>0</v>
      </c>
      <c r="BP34" s="78" t="n">
        <v>0</v>
      </c>
      <c r="BQ34" s="78" t="n">
        <v>0</v>
      </c>
      <c r="BR34" s="78" t="n">
        <v>0</v>
      </c>
      <c r="BS34" s="78" t="n">
        <v>0</v>
      </c>
      <c r="BT34" s="78" t="n">
        <v>0</v>
      </c>
      <c r="BU34" s="78" t="n">
        <v>0</v>
      </c>
      <c r="BV34" s="78" t="n">
        <v>0</v>
      </c>
      <c r="BW34" s="78" t="n">
        <v>0</v>
      </c>
      <c r="BX34" s="78" t="n">
        <v>0</v>
      </c>
      <c r="BY34" s="78" t="n">
        <v>0</v>
      </c>
      <c r="BZ34" s="78" t="n">
        <v>0</v>
      </c>
      <c r="CA34" s="78" t="n">
        <v>0</v>
      </c>
      <c r="CB34" s="78" t="n">
        <v>0</v>
      </c>
      <c r="CC34" s="78" t="n">
        <v>0</v>
      </c>
      <c r="CD34" s="78" t="n">
        <v>2000000</v>
      </c>
    </row>
    <row r="35">
      <c r="A35" t="inlineStr">
        <is>
          <t>Scenario 2</t>
        </is>
      </c>
      <c r="C35" s="78" t="n">
        <v>0</v>
      </c>
      <c r="D35" s="78" t="n">
        <v>0</v>
      </c>
      <c r="E35" s="78" t="n">
        <v>0</v>
      </c>
      <c r="F35" s="78" t="n">
        <v>0</v>
      </c>
      <c r="G35" s="78" t="n">
        <v>0</v>
      </c>
      <c r="H35" s="78" t="n">
        <v>0</v>
      </c>
      <c r="I35" s="78" t="n">
        <v>0</v>
      </c>
      <c r="J35" s="78" t="n">
        <v>0</v>
      </c>
      <c r="K35" s="78" t="n">
        <v>0</v>
      </c>
      <c r="L35" s="78" t="n">
        <v>0</v>
      </c>
      <c r="M35" s="78" t="n">
        <v>0</v>
      </c>
      <c r="N35" s="78" t="n">
        <v>0</v>
      </c>
      <c r="O35" s="78" t="n">
        <v>0</v>
      </c>
      <c r="P35" s="78" t="n">
        <v>0</v>
      </c>
      <c r="Q35" s="78" t="n">
        <v>0</v>
      </c>
      <c r="R35" s="78" t="n">
        <v>0</v>
      </c>
      <c r="S35" s="78" t="n">
        <v>0</v>
      </c>
      <c r="T35" s="78" t="n">
        <v>0</v>
      </c>
      <c r="U35" s="78" t="n">
        <v>0</v>
      </c>
      <c r="V35" s="78" t="n">
        <v>2000000</v>
      </c>
      <c r="W35" s="78" t="n">
        <v>0</v>
      </c>
      <c r="X35" s="78" t="n">
        <v>0</v>
      </c>
      <c r="Y35" s="78" t="n">
        <v>0</v>
      </c>
      <c r="Z35" s="78" t="n">
        <v>0</v>
      </c>
      <c r="AA35" s="78" t="n">
        <v>0</v>
      </c>
      <c r="AB35" s="78" t="n">
        <v>0</v>
      </c>
      <c r="AC35" s="78" t="n">
        <v>0</v>
      </c>
      <c r="AD35" s="78" t="n">
        <v>0</v>
      </c>
      <c r="AE35" s="78" t="n">
        <v>0</v>
      </c>
      <c r="AF35" s="78" t="n">
        <v>0</v>
      </c>
      <c r="AG35" s="78" t="n">
        <v>0</v>
      </c>
      <c r="AH35" s="78" t="n">
        <v>0</v>
      </c>
      <c r="AI35" s="78" t="n">
        <v>0</v>
      </c>
      <c r="AJ35" s="78" t="n">
        <v>0</v>
      </c>
      <c r="AK35" s="78" t="n">
        <v>0</v>
      </c>
      <c r="AL35" s="78" t="n">
        <v>0</v>
      </c>
      <c r="AM35" s="78" t="n">
        <v>0</v>
      </c>
      <c r="AN35" s="78" t="n">
        <v>0</v>
      </c>
      <c r="AO35" s="78" t="n">
        <v>0</v>
      </c>
      <c r="AP35" s="78" t="n">
        <v>2000000</v>
      </c>
      <c r="AQ35" s="78" t="n">
        <v>0</v>
      </c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8" t="n">
        <v>0</v>
      </c>
      <c r="BA35" s="78" t="n">
        <v>0</v>
      </c>
      <c r="BB35" s="78" t="n">
        <v>0</v>
      </c>
      <c r="BC35" s="78" t="n">
        <v>0</v>
      </c>
      <c r="BD35" s="78" t="n">
        <v>0</v>
      </c>
      <c r="BE35" s="78" t="n">
        <v>0</v>
      </c>
      <c r="BF35" s="78" t="n">
        <v>0</v>
      </c>
      <c r="BG35" s="78" t="n">
        <v>0</v>
      </c>
      <c r="BH35" s="78" t="n">
        <v>0</v>
      </c>
      <c r="BI35" s="78" t="n">
        <v>0</v>
      </c>
      <c r="BJ35" s="78" t="n">
        <v>2000000</v>
      </c>
      <c r="BK35" s="78" t="n">
        <v>0</v>
      </c>
      <c r="BL35" s="78" t="n">
        <v>0</v>
      </c>
      <c r="BM35" s="78" t="n">
        <v>0</v>
      </c>
      <c r="BN35" s="78" t="n">
        <v>0</v>
      </c>
      <c r="BO35" s="78" t="n">
        <v>0</v>
      </c>
      <c r="BP35" s="78" t="n">
        <v>0</v>
      </c>
      <c r="BQ35" s="78" t="n">
        <v>0</v>
      </c>
      <c r="BR35" s="78" t="n">
        <v>0</v>
      </c>
      <c r="BS35" s="78" t="n">
        <v>0</v>
      </c>
      <c r="BT35" s="78" t="n">
        <v>0</v>
      </c>
      <c r="BU35" s="78" t="n">
        <v>0</v>
      </c>
      <c r="BV35" s="78" t="n">
        <v>0</v>
      </c>
      <c r="BW35" s="78" t="n">
        <v>0</v>
      </c>
      <c r="BX35" s="78" t="n">
        <v>0</v>
      </c>
      <c r="BY35" s="78" t="n">
        <v>0</v>
      </c>
      <c r="BZ35" s="78" t="n">
        <v>0</v>
      </c>
      <c r="CA35" s="78" t="n">
        <v>0</v>
      </c>
      <c r="CB35" s="78" t="n">
        <v>0</v>
      </c>
      <c r="CC35" s="78" t="n">
        <v>0</v>
      </c>
      <c r="CD35" s="78" t="n">
        <v>2000000</v>
      </c>
    </row>
    <row r="36">
      <c r="A36" t="inlineStr">
        <is>
          <t>Scenario 3</t>
        </is>
      </c>
      <c r="C36" s="78" t="n">
        <v>0</v>
      </c>
      <c r="D36" s="78" t="n">
        <v>0</v>
      </c>
      <c r="E36" s="78" t="n">
        <v>0</v>
      </c>
      <c r="F36" s="78" t="n">
        <v>0</v>
      </c>
      <c r="G36" s="78" t="n">
        <v>0</v>
      </c>
      <c r="H36" s="78" t="n">
        <v>0</v>
      </c>
      <c r="I36" s="78" t="n">
        <v>0</v>
      </c>
      <c r="J36" s="78" t="n">
        <v>0</v>
      </c>
      <c r="K36" s="78" t="n">
        <v>0</v>
      </c>
      <c r="L36" s="78" t="n">
        <v>0</v>
      </c>
      <c r="M36" s="78" t="n">
        <v>0</v>
      </c>
      <c r="N36" s="78" t="n">
        <v>0</v>
      </c>
      <c r="O36" s="78" t="n">
        <v>0</v>
      </c>
      <c r="P36" s="78" t="n">
        <v>0</v>
      </c>
      <c r="Q36" s="78" t="n">
        <v>0</v>
      </c>
      <c r="R36" s="78" t="n">
        <v>0</v>
      </c>
      <c r="S36" s="78" t="n">
        <v>0</v>
      </c>
      <c r="T36" s="78" t="n">
        <v>0</v>
      </c>
      <c r="U36" s="78" t="n">
        <v>0</v>
      </c>
      <c r="V36" s="78" t="n">
        <v>2000000</v>
      </c>
      <c r="W36" s="78" t="n">
        <v>0</v>
      </c>
      <c r="X36" s="78" t="n">
        <v>0</v>
      </c>
      <c r="Y36" s="78" t="n">
        <v>0</v>
      </c>
      <c r="Z36" s="78" t="n">
        <v>0</v>
      </c>
      <c r="AA36" s="78" t="n">
        <v>0</v>
      </c>
      <c r="AB36" s="78" t="n">
        <v>0</v>
      </c>
      <c r="AC36" s="78" t="n">
        <v>0</v>
      </c>
      <c r="AD36" s="78" t="n">
        <v>0</v>
      </c>
      <c r="AE36" s="78" t="n">
        <v>0</v>
      </c>
      <c r="AF36" s="78" t="n">
        <v>0</v>
      </c>
      <c r="AG36" s="78" t="n">
        <v>0</v>
      </c>
      <c r="AH36" s="78" t="n">
        <v>0</v>
      </c>
      <c r="AI36" s="78" t="n">
        <v>0</v>
      </c>
      <c r="AJ36" s="78" t="n">
        <v>0</v>
      </c>
      <c r="AK36" s="78" t="n">
        <v>0</v>
      </c>
      <c r="AL36" s="78" t="n">
        <v>0</v>
      </c>
      <c r="AM36" s="78" t="n">
        <v>0</v>
      </c>
      <c r="AN36" s="78" t="n">
        <v>0</v>
      </c>
      <c r="AO36" s="78" t="n">
        <v>0</v>
      </c>
      <c r="AP36" s="78" t="n">
        <v>2000000</v>
      </c>
      <c r="AQ36" s="78" t="n">
        <v>0</v>
      </c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8" t="n">
        <v>0</v>
      </c>
      <c r="AY36" s="78" t="n">
        <v>0</v>
      </c>
      <c r="AZ36" s="78" t="n">
        <v>0</v>
      </c>
      <c r="BA36" s="78" t="n">
        <v>0</v>
      </c>
      <c r="BB36" s="78" t="n">
        <v>0</v>
      </c>
      <c r="BC36" s="78" t="n">
        <v>0</v>
      </c>
      <c r="BD36" s="78" t="n">
        <v>0</v>
      </c>
      <c r="BE36" s="78" t="n">
        <v>0</v>
      </c>
      <c r="BF36" s="78" t="n">
        <v>0</v>
      </c>
      <c r="BG36" s="78" t="n">
        <v>0</v>
      </c>
      <c r="BH36" s="78" t="n">
        <v>0</v>
      </c>
      <c r="BI36" s="78" t="n">
        <v>0</v>
      </c>
      <c r="BJ36" s="78" t="n">
        <v>2000000</v>
      </c>
      <c r="BK36" s="78" t="n">
        <v>0</v>
      </c>
      <c r="BL36" s="78" t="n">
        <v>0</v>
      </c>
      <c r="BM36" s="78" t="n">
        <v>0</v>
      </c>
      <c r="BN36" s="78" t="n">
        <v>0</v>
      </c>
      <c r="BO36" s="78" t="n">
        <v>0</v>
      </c>
      <c r="BP36" s="78" t="n">
        <v>0</v>
      </c>
      <c r="BQ36" s="78" t="n">
        <v>0</v>
      </c>
      <c r="BR36" s="78" t="n">
        <v>0</v>
      </c>
      <c r="BS36" s="78" t="n">
        <v>0</v>
      </c>
      <c r="BT36" s="78" t="n">
        <v>0</v>
      </c>
      <c r="BU36" s="78" t="n">
        <v>0</v>
      </c>
      <c r="BV36" s="78" t="n">
        <v>0</v>
      </c>
      <c r="BW36" s="78" t="n">
        <v>0</v>
      </c>
      <c r="BX36" s="78" t="n">
        <v>0</v>
      </c>
      <c r="BY36" s="78" t="n">
        <v>0</v>
      </c>
      <c r="BZ36" s="78" t="n">
        <v>0</v>
      </c>
      <c r="CA36" s="78" t="n">
        <v>0</v>
      </c>
      <c r="CB36" s="78" t="n">
        <v>0</v>
      </c>
      <c r="CC36" s="78" t="n">
        <v>0</v>
      </c>
      <c r="CD36" s="78" t="n">
        <v>2000000</v>
      </c>
    </row>
    <row r="37">
      <c r="A37" t="inlineStr">
        <is>
          <t>Scenario 4</t>
        </is>
      </c>
      <c r="C37" s="78" t="n">
        <v>0</v>
      </c>
      <c r="D37" s="78" t="n">
        <v>0</v>
      </c>
      <c r="E37" s="78" t="n">
        <v>0</v>
      </c>
      <c r="F37" s="78" t="n">
        <v>0</v>
      </c>
      <c r="G37" s="78" t="n">
        <v>0</v>
      </c>
      <c r="H37" s="78" t="n">
        <v>0</v>
      </c>
      <c r="I37" s="78" t="n">
        <v>0</v>
      </c>
      <c r="J37" s="78" t="n">
        <v>0</v>
      </c>
      <c r="K37" s="78" t="n">
        <v>0</v>
      </c>
      <c r="L37" s="78" t="n">
        <v>0</v>
      </c>
      <c r="M37" s="78" t="n">
        <v>0</v>
      </c>
      <c r="N37" s="78" t="n">
        <v>0</v>
      </c>
      <c r="O37" s="78" t="n">
        <v>0</v>
      </c>
      <c r="P37" s="78" t="n">
        <v>0</v>
      </c>
      <c r="Q37" s="78" t="n">
        <v>0</v>
      </c>
      <c r="R37" s="78" t="n">
        <v>0</v>
      </c>
      <c r="S37" s="78" t="n">
        <v>0</v>
      </c>
      <c r="T37" s="78" t="n">
        <v>0</v>
      </c>
      <c r="U37" s="78" t="n">
        <v>0</v>
      </c>
      <c r="V37" s="78" t="n">
        <v>2000000</v>
      </c>
      <c r="W37" s="78" t="n">
        <v>0</v>
      </c>
      <c r="X37" s="78" t="n">
        <v>0</v>
      </c>
      <c r="Y37" s="78" t="n">
        <v>0</v>
      </c>
      <c r="Z37" s="78" t="n">
        <v>0</v>
      </c>
      <c r="AA37" s="78" t="n">
        <v>0</v>
      </c>
      <c r="AB37" s="78" t="n">
        <v>0</v>
      </c>
      <c r="AC37" s="78" t="n">
        <v>0</v>
      </c>
      <c r="AD37" s="78" t="n">
        <v>0</v>
      </c>
      <c r="AE37" s="78" t="n">
        <v>0</v>
      </c>
      <c r="AF37" s="78" t="n">
        <v>0</v>
      </c>
      <c r="AG37" s="78" t="n">
        <v>0</v>
      </c>
      <c r="AH37" s="78" t="n">
        <v>0</v>
      </c>
      <c r="AI37" s="78" t="n">
        <v>0</v>
      </c>
      <c r="AJ37" s="78" t="n">
        <v>0</v>
      </c>
      <c r="AK37" s="78" t="n">
        <v>0</v>
      </c>
      <c r="AL37" s="78" t="n">
        <v>0</v>
      </c>
      <c r="AM37" s="78" t="n">
        <v>0</v>
      </c>
      <c r="AN37" s="78" t="n">
        <v>0</v>
      </c>
      <c r="AO37" s="78" t="n">
        <v>0</v>
      </c>
      <c r="AP37" s="78" t="n">
        <v>2000000</v>
      </c>
      <c r="AQ37" s="78" t="n">
        <v>0</v>
      </c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8" t="n">
        <v>0</v>
      </c>
      <c r="AY37" s="78" t="n">
        <v>0</v>
      </c>
      <c r="AZ37" s="78" t="n">
        <v>0</v>
      </c>
      <c r="BA37" s="78" t="n">
        <v>0</v>
      </c>
      <c r="BB37" s="78" t="n">
        <v>0</v>
      </c>
      <c r="BC37" s="78" t="n">
        <v>0</v>
      </c>
      <c r="BD37" s="78" t="n">
        <v>0</v>
      </c>
      <c r="BE37" s="78" t="n">
        <v>0</v>
      </c>
      <c r="BF37" s="78" t="n">
        <v>0</v>
      </c>
      <c r="BG37" s="78" t="n">
        <v>0</v>
      </c>
      <c r="BH37" s="78" t="n">
        <v>0</v>
      </c>
      <c r="BI37" s="78" t="n">
        <v>0</v>
      </c>
      <c r="BJ37" s="78" t="n">
        <v>2000000</v>
      </c>
      <c r="BK37" s="78" t="n">
        <v>0</v>
      </c>
      <c r="BL37" s="78" t="n">
        <v>0</v>
      </c>
      <c r="BM37" s="78" t="n">
        <v>0</v>
      </c>
      <c r="BN37" s="78" t="n">
        <v>0</v>
      </c>
      <c r="BO37" s="78" t="n">
        <v>0</v>
      </c>
      <c r="BP37" s="78" t="n">
        <v>0</v>
      </c>
      <c r="BQ37" s="78" t="n">
        <v>0</v>
      </c>
      <c r="BR37" s="78" t="n">
        <v>0</v>
      </c>
      <c r="BS37" s="78" t="n">
        <v>0</v>
      </c>
      <c r="BT37" s="78" t="n">
        <v>0</v>
      </c>
      <c r="BU37" s="78" t="n">
        <v>0</v>
      </c>
      <c r="BV37" s="78" t="n">
        <v>0</v>
      </c>
      <c r="BW37" s="78" t="n">
        <v>0</v>
      </c>
      <c r="BX37" s="78" t="n">
        <v>0</v>
      </c>
      <c r="BY37" s="78" t="n">
        <v>0</v>
      </c>
      <c r="BZ37" s="78" t="n">
        <v>0</v>
      </c>
      <c r="CA37" s="78" t="n">
        <v>0</v>
      </c>
      <c r="CB37" s="78" t="n">
        <v>0</v>
      </c>
      <c r="CC37" s="78" t="n">
        <v>0</v>
      </c>
      <c r="CD37" s="78" t="n">
        <v>2000000</v>
      </c>
    </row>
    <row r="38">
      <c r="A38" t="inlineStr">
        <is>
          <t>Scenario 5</t>
        </is>
      </c>
      <c r="C38" s="78" t="n">
        <v>0</v>
      </c>
      <c r="D38" s="78" t="n">
        <v>0</v>
      </c>
      <c r="E38" s="78" t="n">
        <v>0</v>
      </c>
      <c r="F38" s="78" t="n">
        <v>0</v>
      </c>
      <c r="G38" s="78" t="n">
        <v>0</v>
      </c>
      <c r="H38" s="78" t="n">
        <v>0</v>
      </c>
      <c r="I38" s="78" t="n">
        <v>0</v>
      </c>
      <c r="J38" s="78" t="n">
        <v>0</v>
      </c>
      <c r="K38" s="78" t="n">
        <v>0</v>
      </c>
      <c r="L38" s="78" t="n">
        <v>0</v>
      </c>
      <c r="M38" s="78" t="n">
        <v>0</v>
      </c>
      <c r="N38" s="78" t="n">
        <v>0</v>
      </c>
      <c r="O38" s="78" t="n">
        <v>0</v>
      </c>
      <c r="P38" s="78" t="n">
        <v>0</v>
      </c>
      <c r="Q38" s="78" t="n">
        <v>0</v>
      </c>
      <c r="R38" s="78" t="n">
        <v>0</v>
      </c>
      <c r="S38" s="78" t="n">
        <v>0</v>
      </c>
      <c r="T38" s="78" t="n">
        <v>0</v>
      </c>
      <c r="U38" s="78" t="n">
        <v>0</v>
      </c>
      <c r="V38" s="78" t="n">
        <v>2000000</v>
      </c>
      <c r="W38" s="78" t="n">
        <v>0</v>
      </c>
      <c r="X38" s="78" t="n">
        <v>0</v>
      </c>
      <c r="Y38" s="78" t="n">
        <v>0</v>
      </c>
      <c r="Z38" s="78" t="n">
        <v>0</v>
      </c>
      <c r="AA38" s="78" t="n">
        <v>0</v>
      </c>
      <c r="AB38" s="78" t="n">
        <v>0</v>
      </c>
      <c r="AC38" s="78" t="n">
        <v>0</v>
      </c>
      <c r="AD38" s="78" t="n">
        <v>0</v>
      </c>
      <c r="AE38" s="78" t="n">
        <v>0</v>
      </c>
      <c r="AF38" s="78" t="n">
        <v>0</v>
      </c>
      <c r="AG38" s="78" t="n">
        <v>0</v>
      </c>
      <c r="AH38" s="78" t="n">
        <v>0</v>
      </c>
      <c r="AI38" s="78" t="n">
        <v>0</v>
      </c>
      <c r="AJ38" s="78" t="n">
        <v>0</v>
      </c>
      <c r="AK38" s="78" t="n">
        <v>0</v>
      </c>
      <c r="AL38" s="78" t="n">
        <v>0</v>
      </c>
      <c r="AM38" s="78" t="n">
        <v>0</v>
      </c>
      <c r="AN38" s="78" t="n">
        <v>0</v>
      </c>
      <c r="AO38" s="78" t="n">
        <v>0</v>
      </c>
      <c r="AP38" s="78" t="n">
        <v>2000000</v>
      </c>
      <c r="AQ38" s="78" t="n">
        <v>0</v>
      </c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8" t="n">
        <v>0</v>
      </c>
      <c r="AY38" s="78" t="n">
        <v>0</v>
      </c>
      <c r="AZ38" s="78" t="n">
        <v>0</v>
      </c>
      <c r="BA38" s="78" t="n">
        <v>0</v>
      </c>
      <c r="BB38" s="78" t="n">
        <v>0</v>
      </c>
      <c r="BC38" s="78" t="n">
        <v>0</v>
      </c>
      <c r="BD38" s="78" t="n">
        <v>0</v>
      </c>
      <c r="BE38" s="78" t="n">
        <v>0</v>
      </c>
      <c r="BF38" s="78" t="n">
        <v>0</v>
      </c>
      <c r="BG38" s="78" t="n">
        <v>0</v>
      </c>
      <c r="BH38" s="78" t="n">
        <v>0</v>
      </c>
      <c r="BI38" s="78" t="n">
        <v>0</v>
      </c>
      <c r="BJ38" s="78" t="n">
        <v>2000000</v>
      </c>
      <c r="BK38" s="78" t="n">
        <v>0</v>
      </c>
      <c r="BL38" s="78" t="n">
        <v>0</v>
      </c>
      <c r="BM38" s="78" t="n">
        <v>0</v>
      </c>
      <c r="BN38" s="78" t="n">
        <v>0</v>
      </c>
      <c r="BO38" s="78" t="n">
        <v>0</v>
      </c>
      <c r="BP38" s="78" t="n">
        <v>0</v>
      </c>
      <c r="BQ38" s="78" t="n">
        <v>0</v>
      </c>
      <c r="BR38" s="78" t="n">
        <v>0</v>
      </c>
      <c r="BS38" s="78" t="n">
        <v>0</v>
      </c>
      <c r="BT38" s="78" t="n">
        <v>0</v>
      </c>
      <c r="BU38" s="78" t="n">
        <v>0</v>
      </c>
      <c r="BV38" s="78" t="n">
        <v>0</v>
      </c>
      <c r="BW38" s="78" t="n">
        <v>0</v>
      </c>
      <c r="BX38" s="78" t="n">
        <v>0</v>
      </c>
      <c r="BY38" s="78" t="n">
        <v>0</v>
      </c>
      <c r="BZ38" s="78" t="n">
        <v>0</v>
      </c>
      <c r="CA38" s="78" t="n">
        <v>0</v>
      </c>
      <c r="CB38" s="78" t="n">
        <v>0</v>
      </c>
      <c r="CC38" s="78" t="n">
        <v>0</v>
      </c>
      <c r="CD38" s="78" t="n">
        <v>2000000</v>
      </c>
    </row>
    <row r="39">
      <c r="A39" t="inlineStr">
        <is>
          <t>Scenario 6</t>
        </is>
      </c>
      <c r="C39" s="78" t="n">
        <v>0</v>
      </c>
      <c r="D39" s="78" t="n">
        <v>0</v>
      </c>
      <c r="E39" s="78" t="n">
        <v>0</v>
      </c>
      <c r="F39" s="78" t="n">
        <v>0</v>
      </c>
      <c r="G39" s="78" t="n">
        <v>0</v>
      </c>
      <c r="H39" s="78" t="n">
        <v>0</v>
      </c>
      <c r="I39" s="78" t="n">
        <v>0</v>
      </c>
      <c r="J39" s="78" t="n">
        <v>0</v>
      </c>
      <c r="K39" s="78" t="n">
        <v>0</v>
      </c>
      <c r="L39" s="78" t="n">
        <v>0</v>
      </c>
      <c r="M39" s="78" t="n">
        <v>0</v>
      </c>
      <c r="N39" s="78" t="n">
        <v>0</v>
      </c>
      <c r="O39" s="78" t="n">
        <v>0</v>
      </c>
      <c r="P39" s="78" t="n">
        <v>0</v>
      </c>
      <c r="Q39" s="78" t="n">
        <v>0</v>
      </c>
      <c r="R39" s="78" t="n">
        <v>0</v>
      </c>
      <c r="S39" s="78" t="n">
        <v>0</v>
      </c>
      <c r="T39" s="78" t="n">
        <v>0</v>
      </c>
      <c r="U39" s="78" t="n">
        <v>0</v>
      </c>
      <c r="V39" s="78" t="n">
        <v>2000000</v>
      </c>
      <c r="W39" s="78" t="n">
        <v>0</v>
      </c>
      <c r="X39" s="78" t="n">
        <v>0</v>
      </c>
      <c r="Y39" s="78" t="n">
        <v>0</v>
      </c>
      <c r="Z39" s="78" t="n">
        <v>0</v>
      </c>
      <c r="AA39" s="78" t="n">
        <v>0</v>
      </c>
      <c r="AB39" s="78" t="n">
        <v>0</v>
      </c>
      <c r="AC39" s="78" t="n">
        <v>0</v>
      </c>
      <c r="AD39" s="78" t="n">
        <v>0</v>
      </c>
      <c r="AE39" s="78" t="n">
        <v>0</v>
      </c>
      <c r="AF39" s="78" t="n">
        <v>0</v>
      </c>
      <c r="AG39" s="78" t="n">
        <v>0</v>
      </c>
      <c r="AH39" s="78" t="n">
        <v>0</v>
      </c>
      <c r="AI39" s="78" t="n">
        <v>0</v>
      </c>
      <c r="AJ39" s="78" t="n">
        <v>0</v>
      </c>
      <c r="AK39" s="78" t="n">
        <v>0</v>
      </c>
      <c r="AL39" s="78" t="n">
        <v>0</v>
      </c>
      <c r="AM39" s="78" t="n">
        <v>0</v>
      </c>
      <c r="AN39" s="78" t="n">
        <v>0</v>
      </c>
      <c r="AO39" s="78" t="n">
        <v>0</v>
      </c>
      <c r="AP39" s="78" t="n">
        <v>2000000</v>
      </c>
      <c r="AQ39" s="78" t="n">
        <v>0</v>
      </c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8" t="n">
        <v>0</v>
      </c>
      <c r="BA39" s="78" t="n">
        <v>0</v>
      </c>
      <c r="BB39" s="78" t="n">
        <v>0</v>
      </c>
      <c r="BC39" s="78" t="n">
        <v>0</v>
      </c>
      <c r="BD39" s="78" t="n">
        <v>0</v>
      </c>
      <c r="BE39" s="78" t="n">
        <v>0</v>
      </c>
      <c r="BF39" s="78" t="n">
        <v>0</v>
      </c>
      <c r="BG39" s="78" t="n">
        <v>0</v>
      </c>
      <c r="BH39" s="78" t="n">
        <v>0</v>
      </c>
      <c r="BI39" s="78" t="n">
        <v>0</v>
      </c>
      <c r="BJ39" s="78" t="n">
        <v>2000000</v>
      </c>
      <c r="BK39" s="78" t="n">
        <v>0</v>
      </c>
      <c r="BL39" s="78" t="n">
        <v>0</v>
      </c>
      <c r="BM39" s="78" t="n">
        <v>0</v>
      </c>
      <c r="BN39" s="78" t="n">
        <v>0</v>
      </c>
      <c r="BO39" s="78" t="n">
        <v>0</v>
      </c>
      <c r="BP39" s="78" t="n">
        <v>0</v>
      </c>
      <c r="BQ39" s="78" t="n">
        <v>0</v>
      </c>
      <c r="BR39" s="78" t="n">
        <v>0</v>
      </c>
      <c r="BS39" s="78" t="n">
        <v>0</v>
      </c>
      <c r="BT39" s="78" t="n">
        <v>0</v>
      </c>
      <c r="BU39" s="78" t="n">
        <v>0</v>
      </c>
      <c r="BV39" s="78" t="n">
        <v>0</v>
      </c>
      <c r="BW39" s="78" t="n">
        <v>0</v>
      </c>
      <c r="BX39" s="78" t="n">
        <v>0</v>
      </c>
      <c r="BY39" s="78" t="n">
        <v>0</v>
      </c>
      <c r="BZ39" s="78" t="n">
        <v>0</v>
      </c>
      <c r="CA39" s="78" t="n">
        <v>0</v>
      </c>
      <c r="CB39" s="78" t="n">
        <v>0</v>
      </c>
      <c r="CC39" s="78" t="n">
        <v>0</v>
      </c>
      <c r="CD39" s="78" t="n">
        <v>2000000</v>
      </c>
    </row>
    <row r="40">
      <c r="A40" t="inlineStr">
        <is>
          <t>Scenario 7</t>
        </is>
      </c>
      <c r="C40" s="78" t="n">
        <v>0</v>
      </c>
      <c r="D40" s="78" t="n">
        <v>0</v>
      </c>
      <c r="E40" s="78" t="n">
        <v>0</v>
      </c>
      <c r="F40" s="78" t="n">
        <v>0</v>
      </c>
      <c r="G40" s="78" t="n">
        <v>0</v>
      </c>
      <c r="H40" s="78" t="n">
        <v>0</v>
      </c>
      <c r="I40" s="78" t="n">
        <v>0</v>
      </c>
      <c r="J40" s="78" t="n">
        <v>0</v>
      </c>
      <c r="K40" s="78" t="n">
        <v>0</v>
      </c>
      <c r="L40" s="78" t="n">
        <v>0</v>
      </c>
      <c r="M40" s="78" t="n">
        <v>0</v>
      </c>
      <c r="N40" s="78" t="n">
        <v>0</v>
      </c>
      <c r="O40" s="78" t="n">
        <v>0</v>
      </c>
      <c r="P40" s="78" t="n">
        <v>0</v>
      </c>
      <c r="Q40" s="78" t="n">
        <v>0</v>
      </c>
      <c r="R40" s="78" t="n">
        <v>0</v>
      </c>
      <c r="S40" s="78" t="n">
        <v>0</v>
      </c>
      <c r="T40" s="78" t="n">
        <v>0</v>
      </c>
      <c r="U40" s="78" t="n">
        <v>0</v>
      </c>
      <c r="V40" s="78" t="n">
        <v>2000000</v>
      </c>
      <c r="W40" s="78" t="n">
        <v>0</v>
      </c>
      <c r="X40" s="78" t="n">
        <v>0</v>
      </c>
      <c r="Y40" s="78" t="n">
        <v>0</v>
      </c>
      <c r="Z40" s="78" t="n">
        <v>0</v>
      </c>
      <c r="AA40" s="78" t="n">
        <v>0</v>
      </c>
      <c r="AB40" s="78" t="n">
        <v>0</v>
      </c>
      <c r="AC40" s="78" t="n">
        <v>0</v>
      </c>
      <c r="AD40" s="78" t="n">
        <v>0</v>
      </c>
      <c r="AE40" s="78" t="n">
        <v>0</v>
      </c>
      <c r="AF40" s="78" t="n">
        <v>0</v>
      </c>
      <c r="AG40" s="78" t="n">
        <v>0</v>
      </c>
      <c r="AH40" s="78" t="n">
        <v>0</v>
      </c>
      <c r="AI40" s="78" t="n">
        <v>0</v>
      </c>
      <c r="AJ40" s="78" t="n">
        <v>0</v>
      </c>
      <c r="AK40" s="78" t="n">
        <v>0</v>
      </c>
      <c r="AL40" s="78" t="n">
        <v>0</v>
      </c>
      <c r="AM40" s="78" t="n">
        <v>0</v>
      </c>
      <c r="AN40" s="78" t="n">
        <v>0</v>
      </c>
      <c r="AO40" s="78" t="n">
        <v>0</v>
      </c>
      <c r="AP40" s="78" t="n">
        <v>2000000</v>
      </c>
      <c r="AQ40" s="78" t="n">
        <v>0</v>
      </c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8" t="n">
        <v>0</v>
      </c>
      <c r="BA40" s="78" t="n">
        <v>0</v>
      </c>
      <c r="BB40" s="78" t="n">
        <v>0</v>
      </c>
      <c r="BC40" s="78" t="n">
        <v>0</v>
      </c>
      <c r="BD40" s="78" t="n">
        <v>0</v>
      </c>
      <c r="BE40" s="78" t="n">
        <v>0</v>
      </c>
      <c r="BF40" s="78" t="n">
        <v>0</v>
      </c>
      <c r="BG40" s="78" t="n">
        <v>0</v>
      </c>
      <c r="BH40" s="78" t="n">
        <v>0</v>
      </c>
      <c r="BI40" s="78" t="n">
        <v>0</v>
      </c>
      <c r="BJ40" s="78" t="n">
        <v>2000000</v>
      </c>
      <c r="BK40" s="78" t="n">
        <v>0</v>
      </c>
      <c r="BL40" s="78" t="n">
        <v>0</v>
      </c>
      <c r="BM40" s="78" t="n">
        <v>0</v>
      </c>
      <c r="BN40" s="78" t="n">
        <v>0</v>
      </c>
      <c r="BO40" s="78" t="n">
        <v>0</v>
      </c>
      <c r="BP40" s="78" t="n">
        <v>0</v>
      </c>
      <c r="BQ40" s="78" t="n">
        <v>0</v>
      </c>
      <c r="BR40" s="78" t="n">
        <v>0</v>
      </c>
      <c r="BS40" s="78" t="n">
        <v>0</v>
      </c>
      <c r="BT40" s="78" t="n">
        <v>0</v>
      </c>
      <c r="BU40" s="78" t="n">
        <v>0</v>
      </c>
      <c r="BV40" s="78" t="n">
        <v>0</v>
      </c>
      <c r="BW40" s="78" t="n">
        <v>0</v>
      </c>
      <c r="BX40" s="78" t="n">
        <v>0</v>
      </c>
      <c r="BY40" s="78" t="n">
        <v>0</v>
      </c>
      <c r="BZ40" s="78" t="n">
        <v>0</v>
      </c>
      <c r="CA40" s="78" t="n">
        <v>0</v>
      </c>
      <c r="CB40" s="78" t="n">
        <v>0</v>
      </c>
      <c r="CC40" s="78" t="n">
        <v>0</v>
      </c>
      <c r="CD40" s="78" t="n">
        <v>2000000</v>
      </c>
    </row>
    <row r="41">
      <c r="A41" t="inlineStr">
        <is>
          <t>Scenario 8</t>
        </is>
      </c>
      <c r="C41" s="78" t="n">
        <v>0</v>
      </c>
      <c r="D41" s="78" t="n">
        <v>0</v>
      </c>
      <c r="E41" s="78" t="n">
        <v>0</v>
      </c>
      <c r="F41" s="78" t="n">
        <v>0</v>
      </c>
      <c r="G41" s="78" t="n">
        <v>0</v>
      </c>
      <c r="H41" s="78" t="n">
        <v>0</v>
      </c>
      <c r="I41" s="78" t="n">
        <v>0</v>
      </c>
      <c r="J41" s="78" t="n">
        <v>0</v>
      </c>
      <c r="K41" s="78" t="n">
        <v>0</v>
      </c>
      <c r="L41" s="78" t="n">
        <v>0</v>
      </c>
      <c r="M41" s="78" t="n">
        <v>0</v>
      </c>
      <c r="N41" s="78" t="n">
        <v>0</v>
      </c>
      <c r="O41" s="78" t="n">
        <v>0</v>
      </c>
      <c r="P41" s="78" t="n">
        <v>0</v>
      </c>
      <c r="Q41" s="78" t="n">
        <v>0</v>
      </c>
      <c r="R41" s="78" t="n">
        <v>0</v>
      </c>
      <c r="S41" s="78" t="n">
        <v>0</v>
      </c>
      <c r="T41" s="78" t="n">
        <v>0</v>
      </c>
      <c r="U41" s="78" t="n">
        <v>0</v>
      </c>
      <c r="V41" s="78" t="n">
        <v>2000000</v>
      </c>
      <c r="W41" s="78" t="n">
        <v>0</v>
      </c>
      <c r="X41" s="78" t="n">
        <v>0</v>
      </c>
      <c r="Y41" s="78" t="n">
        <v>0</v>
      </c>
      <c r="Z41" s="78" t="n">
        <v>0</v>
      </c>
      <c r="AA41" s="78" t="n">
        <v>0</v>
      </c>
      <c r="AB41" s="78" t="n">
        <v>0</v>
      </c>
      <c r="AC41" s="78" t="n">
        <v>0</v>
      </c>
      <c r="AD41" s="78" t="n">
        <v>0</v>
      </c>
      <c r="AE41" s="78" t="n">
        <v>0</v>
      </c>
      <c r="AF41" s="78" t="n">
        <v>0</v>
      </c>
      <c r="AG41" s="78" t="n">
        <v>0</v>
      </c>
      <c r="AH41" s="78" t="n">
        <v>0</v>
      </c>
      <c r="AI41" s="78" t="n">
        <v>0</v>
      </c>
      <c r="AJ41" s="78" t="n">
        <v>0</v>
      </c>
      <c r="AK41" s="78" t="n">
        <v>0</v>
      </c>
      <c r="AL41" s="78" t="n">
        <v>0</v>
      </c>
      <c r="AM41" s="78" t="n">
        <v>0</v>
      </c>
      <c r="AN41" s="78" t="n">
        <v>0</v>
      </c>
      <c r="AO41" s="78" t="n">
        <v>0</v>
      </c>
      <c r="AP41" s="78" t="n">
        <v>2000000</v>
      </c>
      <c r="AQ41" s="78" t="n">
        <v>0</v>
      </c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8" t="n">
        <v>0</v>
      </c>
      <c r="BA41" s="78" t="n">
        <v>0</v>
      </c>
      <c r="BB41" s="78" t="n">
        <v>0</v>
      </c>
      <c r="BC41" s="78" t="n">
        <v>0</v>
      </c>
      <c r="BD41" s="78" t="n">
        <v>0</v>
      </c>
      <c r="BE41" s="78" t="n">
        <v>0</v>
      </c>
      <c r="BF41" s="78" t="n">
        <v>0</v>
      </c>
      <c r="BG41" s="78" t="n">
        <v>0</v>
      </c>
      <c r="BH41" s="78" t="n">
        <v>0</v>
      </c>
      <c r="BI41" s="78" t="n">
        <v>0</v>
      </c>
      <c r="BJ41" s="78" t="n">
        <v>2000000</v>
      </c>
      <c r="BK41" s="78" t="n">
        <v>0</v>
      </c>
      <c r="BL41" s="78" t="n">
        <v>0</v>
      </c>
      <c r="BM41" s="78" t="n">
        <v>0</v>
      </c>
      <c r="BN41" s="78" t="n">
        <v>0</v>
      </c>
      <c r="BO41" s="78" t="n">
        <v>0</v>
      </c>
      <c r="BP41" s="78" t="n">
        <v>0</v>
      </c>
      <c r="BQ41" s="78" t="n">
        <v>0</v>
      </c>
      <c r="BR41" s="78" t="n">
        <v>0</v>
      </c>
      <c r="BS41" s="78" t="n">
        <v>0</v>
      </c>
      <c r="BT41" s="78" t="n">
        <v>0</v>
      </c>
      <c r="BU41" s="78" t="n">
        <v>0</v>
      </c>
      <c r="BV41" s="78" t="n">
        <v>0</v>
      </c>
      <c r="BW41" s="78" t="n">
        <v>0</v>
      </c>
      <c r="BX41" s="78" t="n">
        <v>0</v>
      </c>
      <c r="BY41" s="78" t="n">
        <v>0</v>
      </c>
      <c r="BZ41" s="78" t="n">
        <v>0</v>
      </c>
      <c r="CA41" s="78" t="n">
        <v>0</v>
      </c>
      <c r="CB41" s="78" t="n">
        <v>0</v>
      </c>
      <c r="CC41" s="78" t="n">
        <v>0</v>
      </c>
      <c r="CD41" s="78" t="n">
        <v>2000000</v>
      </c>
    </row>
    <row r="42">
      <c r="A42" t="inlineStr">
        <is>
          <t>Scenario 9</t>
        </is>
      </c>
      <c r="C42" s="78" t="n">
        <v>0</v>
      </c>
      <c r="D42" s="78" t="n">
        <v>0</v>
      </c>
      <c r="E42" s="78" t="n">
        <v>0</v>
      </c>
      <c r="F42" s="78" t="n">
        <v>0</v>
      </c>
      <c r="G42" s="78" t="n">
        <v>0</v>
      </c>
      <c r="H42" s="78" t="n">
        <v>0</v>
      </c>
      <c r="I42" s="78" t="n">
        <v>0</v>
      </c>
      <c r="J42" s="78" t="n">
        <v>0</v>
      </c>
      <c r="K42" s="78" t="n">
        <v>0</v>
      </c>
      <c r="L42" s="78" t="n">
        <v>0</v>
      </c>
      <c r="M42" s="78" t="n">
        <v>0</v>
      </c>
      <c r="N42" s="78" t="n">
        <v>0</v>
      </c>
      <c r="O42" s="78" t="n">
        <v>0</v>
      </c>
      <c r="P42" s="78" t="n">
        <v>0</v>
      </c>
      <c r="Q42" s="78" t="n">
        <v>0</v>
      </c>
      <c r="R42" s="78" t="n">
        <v>0</v>
      </c>
      <c r="S42" s="78" t="n">
        <v>0</v>
      </c>
      <c r="T42" s="78" t="n">
        <v>0</v>
      </c>
      <c r="U42" s="78" t="n">
        <v>0</v>
      </c>
      <c r="V42" s="78" t="n">
        <v>2000000</v>
      </c>
      <c r="W42" s="78" t="n">
        <v>0</v>
      </c>
      <c r="X42" s="78" t="n">
        <v>0</v>
      </c>
      <c r="Y42" s="78" t="n">
        <v>0</v>
      </c>
      <c r="Z42" s="78" t="n">
        <v>0</v>
      </c>
      <c r="AA42" s="78" t="n">
        <v>0</v>
      </c>
      <c r="AB42" s="78" t="n">
        <v>0</v>
      </c>
      <c r="AC42" s="78" t="n">
        <v>0</v>
      </c>
      <c r="AD42" s="78" t="n">
        <v>0</v>
      </c>
      <c r="AE42" s="78" t="n">
        <v>0</v>
      </c>
      <c r="AF42" s="78" t="n">
        <v>0</v>
      </c>
      <c r="AG42" s="78" t="n">
        <v>0</v>
      </c>
      <c r="AH42" s="78" t="n">
        <v>0</v>
      </c>
      <c r="AI42" s="78" t="n">
        <v>0</v>
      </c>
      <c r="AJ42" s="78" t="n">
        <v>0</v>
      </c>
      <c r="AK42" s="78" t="n">
        <v>0</v>
      </c>
      <c r="AL42" s="78" t="n">
        <v>0</v>
      </c>
      <c r="AM42" s="78" t="n">
        <v>0</v>
      </c>
      <c r="AN42" s="78" t="n">
        <v>0</v>
      </c>
      <c r="AO42" s="78" t="n">
        <v>0</v>
      </c>
      <c r="AP42" s="78" t="n">
        <v>2000000</v>
      </c>
      <c r="AQ42" s="78" t="n">
        <v>0</v>
      </c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8" t="n">
        <v>0</v>
      </c>
      <c r="AY42" s="78" t="n">
        <v>0</v>
      </c>
      <c r="AZ42" s="78" t="n">
        <v>0</v>
      </c>
      <c r="BA42" s="78" t="n">
        <v>0</v>
      </c>
      <c r="BB42" s="78" t="n">
        <v>0</v>
      </c>
      <c r="BC42" s="78" t="n">
        <v>0</v>
      </c>
      <c r="BD42" s="78" t="n">
        <v>0</v>
      </c>
      <c r="BE42" s="78" t="n">
        <v>0</v>
      </c>
      <c r="BF42" s="78" t="n">
        <v>0</v>
      </c>
      <c r="BG42" s="78" t="n">
        <v>0</v>
      </c>
      <c r="BH42" s="78" t="n">
        <v>0</v>
      </c>
      <c r="BI42" s="78" t="n">
        <v>0</v>
      </c>
      <c r="BJ42" s="78" t="n">
        <v>2000000</v>
      </c>
      <c r="BK42" s="78" t="n">
        <v>0</v>
      </c>
      <c r="BL42" s="78" t="n">
        <v>0</v>
      </c>
      <c r="BM42" s="78" t="n">
        <v>0</v>
      </c>
      <c r="BN42" s="78" t="n">
        <v>0</v>
      </c>
      <c r="BO42" s="78" t="n">
        <v>0</v>
      </c>
      <c r="BP42" s="78" t="n">
        <v>0</v>
      </c>
      <c r="BQ42" s="78" t="n">
        <v>0</v>
      </c>
      <c r="BR42" s="78" t="n">
        <v>0</v>
      </c>
      <c r="BS42" s="78" t="n">
        <v>0</v>
      </c>
      <c r="BT42" s="78" t="n">
        <v>0</v>
      </c>
      <c r="BU42" s="78" t="n">
        <v>0</v>
      </c>
      <c r="BV42" s="78" t="n">
        <v>0</v>
      </c>
      <c r="BW42" s="78" t="n">
        <v>0</v>
      </c>
      <c r="BX42" s="78" t="n">
        <v>0</v>
      </c>
      <c r="BY42" s="78" t="n">
        <v>0</v>
      </c>
      <c r="BZ42" s="78" t="n">
        <v>0</v>
      </c>
      <c r="CA42" s="78" t="n">
        <v>0</v>
      </c>
      <c r="CB42" s="78" t="n">
        <v>0</v>
      </c>
      <c r="CC42" s="78" t="n">
        <v>0</v>
      </c>
      <c r="CD42" s="78" t="n">
        <v>2000000</v>
      </c>
    </row>
    <row r="43">
      <c r="A43" t="inlineStr">
        <is>
          <t>Scenario 10</t>
        </is>
      </c>
      <c r="C43" s="78" t="n">
        <v>0</v>
      </c>
      <c r="D43" s="78" t="n">
        <v>0</v>
      </c>
      <c r="E43" s="78" t="n">
        <v>0</v>
      </c>
      <c r="F43" s="78" t="n">
        <v>0</v>
      </c>
      <c r="G43" s="78" t="n">
        <v>0</v>
      </c>
      <c r="H43" s="78" t="n">
        <v>0</v>
      </c>
      <c r="I43" s="78" t="n">
        <v>0</v>
      </c>
      <c r="J43" s="78" t="n">
        <v>0</v>
      </c>
      <c r="K43" s="78" t="n">
        <v>0</v>
      </c>
      <c r="L43" s="78" t="n">
        <v>0</v>
      </c>
      <c r="M43" s="78" t="n">
        <v>0</v>
      </c>
      <c r="N43" s="78" t="n">
        <v>0</v>
      </c>
      <c r="O43" s="78" t="n">
        <v>0</v>
      </c>
      <c r="P43" s="78" t="n">
        <v>0</v>
      </c>
      <c r="Q43" s="78" t="n">
        <v>0</v>
      </c>
      <c r="R43" s="78" t="n">
        <v>0</v>
      </c>
      <c r="S43" s="78" t="n">
        <v>0</v>
      </c>
      <c r="T43" s="78" t="n">
        <v>0</v>
      </c>
      <c r="U43" s="78" t="n">
        <v>0</v>
      </c>
      <c r="V43" s="78" t="n">
        <v>2000000</v>
      </c>
      <c r="W43" s="78" t="n">
        <v>0</v>
      </c>
      <c r="X43" s="78" t="n">
        <v>0</v>
      </c>
      <c r="Y43" s="78" t="n">
        <v>0</v>
      </c>
      <c r="Z43" s="78" t="n">
        <v>0</v>
      </c>
      <c r="AA43" s="78" t="n">
        <v>0</v>
      </c>
      <c r="AB43" s="78" t="n">
        <v>0</v>
      </c>
      <c r="AC43" s="78" t="n">
        <v>0</v>
      </c>
      <c r="AD43" s="78" t="n">
        <v>0</v>
      </c>
      <c r="AE43" s="78" t="n">
        <v>0</v>
      </c>
      <c r="AF43" s="78" t="n">
        <v>0</v>
      </c>
      <c r="AG43" s="78" t="n">
        <v>0</v>
      </c>
      <c r="AH43" s="78" t="n">
        <v>0</v>
      </c>
      <c r="AI43" s="78" t="n">
        <v>0</v>
      </c>
      <c r="AJ43" s="78" t="n">
        <v>0</v>
      </c>
      <c r="AK43" s="78" t="n">
        <v>0</v>
      </c>
      <c r="AL43" s="78" t="n">
        <v>0</v>
      </c>
      <c r="AM43" s="78" t="n">
        <v>0</v>
      </c>
      <c r="AN43" s="78" t="n">
        <v>0</v>
      </c>
      <c r="AO43" s="78" t="n">
        <v>0</v>
      </c>
      <c r="AP43" s="78" t="n">
        <v>2000000</v>
      </c>
      <c r="AQ43" s="78" t="n">
        <v>0</v>
      </c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8" t="n">
        <v>0</v>
      </c>
      <c r="AY43" s="78" t="n">
        <v>0</v>
      </c>
      <c r="AZ43" s="78" t="n">
        <v>0</v>
      </c>
      <c r="BA43" s="78" t="n">
        <v>0</v>
      </c>
      <c r="BB43" s="78" t="n">
        <v>0</v>
      </c>
      <c r="BC43" s="78" t="n">
        <v>0</v>
      </c>
      <c r="BD43" s="78" t="n">
        <v>0</v>
      </c>
      <c r="BE43" s="78" t="n">
        <v>0</v>
      </c>
      <c r="BF43" s="78" t="n">
        <v>0</v>
      </c>
      <c r="BG43" s="78" t="n">
        <v>0</v>
      </c>
      <c r="BH43" s="78" t="n">
        <v>0</v>
      </c>
      <c r="BI43" s="78" t="n">
        <v>0</v>
      </c>
      <c r="BJ43" s="78" t="n">
        <v>2000000</v>
      </c>
      <c r="BK43" s="78" t="n">
        <v>0</v>
      </c>
      <c r="BL43" s="78" t="n">
        <v>0</v>
      </c>
      <c r="BM43" s="78" t="n">
        <v>0</v>
      </c>
      <c r="BN43" s="78" t="n">
        <v>0</v>
      </c>
      <c r="BO43" s="78" t="n">
        <v>0</v>
      </c>
      <c r="BP43" s="78" t="n">
        <v>0</v>
      </c>
      <c r="BQ43" s="78" t="n">
        <v>0</v>
      </c>
      <c r="BR43" s="78" t="n">
        <v>0</v>
      </c>
      <c r="BS43" s="78" t="n">
        <v>0</v>
      </c>
      <c r="BT43" s="78" t="n">
        <v>0</v>
      </c>
      <c r="BU43" s="78" t="n">
        <v>0</v>
      </c>
      <c r="BV43" s="78" t="n">
        <v>0</v>
      </c>
      <c r="BW43" s="78" t="n">
        <v>0</v>
      </c>
      <c r="BX43" s="78" t="n">
        <v>0</v>
      </c>
      <c r="BY43" s="78" t="n">
        <v>0</v>
      </c>
      <c r="BZ43" s="78" t="n">
        <v>0</v>
      </c>
      <c r="CA43" s="78" t="n">
        <v>0</v>
      </c>
      <c r="CB43" s="78" t="n">
        <v>0</v>
      </c>
      <c r="CC43" s="78" t="n">
        <v>0</v>
      </c>
      <c r="CD43" s="78" t="n">
        <v>2000000</v>
      </c>
    </row>
    <row r="44">
      <c r="A44" s="51" t="inlineStr">
        <is>
          <t>ACTIVE — Lumpy Maintenance Capex ($)</t>
        </is>
      </c>
      <c r="C44" s="77">
        <f>INDEX(C$34:C$43,Cover!$B$20)</f>
        <v/>
      </c>
      <c r="D44" s="77">
        <f>INDEX(D$34:D$43,Cover!$B$20)</f>
        <v/>
      </c>
      <c r="E44" s="77">
        <f>INDEX(E$34:E$43,Cover!$B$20)</f>
        <v/>
      </c>
      <c r="F44" s="77">
        <f>INDEX(F$34:F$43,Cover!$B$20)</f>
        <v/>
      </c>
      <c r="G44" s="77">
        <f>INDEX(G$34:G$43,Cover!$B$20)</f>
        <v/>
      </c>
      <c r="H44" s="77">
        <f>INDEX(H$34:H$43,Cover!$B$20)</f>
        <v/>
      </c>
      <c r="I44" s="77">
        <f>INDEX(I$34:I$43,Cover!$B$20)</f>
        <v/>
      </c>
      <c r="J44" s="77">
        <f>INDEX(J$34:J$43,Cover!$B$20)</f>
        <v/>
      </c>
      <c r="K44" s="77">
        <f>INDEX(K$34:K$43,Cover!$B$20)</f>
        <v/>
      </c>
      <c r="L44" s="77">
        <f>INDEX(L$34:L$43,Cover!$B$20)</f>
        <v/>
      </c>
      <c r="M44" s="77">
        <f>INDEX(M$34:M$43,Cover!$B$20)</f>
        <v/>
      </c>
      <c r="N44" s="77">
        <f>INDEX(N$34:N$43,Cover!$B$20)</f>
        <v/>
      </c>
      <c r="O44" s="77">
        <f>INDEX(O$34:O$43,Cover!$B$20)</f>
        <v/>
      </c>
      <c r="P44" s="77">
        <f>INDEX(P$34:P$43,Cover!$B$20)</f>
        <v/>
      </c>
      <c r="Q44" s="77">
        <f>INDEX(Q$34:Q$43,Cover!$B$20)</f>
        <v/>
      </c>
      <c r="R44" s="77">
        <f>INDEX(R$34:R$43,Cover!$B$20)</f>
        <v/>
      </c>
      <c r="S44" s="77">
        <f>INDEX(S$34:S$43,Cover!$B$20)</f>
        <v/>
      </c>
      <c r="T44" s="77">
        <f>INDEX(T$34:T$43,Cover!$B$20)</f>
        <v/>
      </c>
      <c r="U44" s="77">
        <f>INDEX(U$34:U$43,Cover!$B$20)</f>
        <v/>
      </c>
      <c r="V44" s="77">
        <f>INDEX(V$34:V$43,Cover!$B$20)</f>
        <v/>
      </c>
      <c r="W44" s="77">
        <f>INDEX(W$34:W$43,Cover!$B$20)</f>
        <v/>
      </c>
      <c r="X44" s="77">
        <f>INDEX(X$34:X$43,Cover!$B$20)</f>
        <v/>
      </c>
      <c r="Y44" s="77">
        <f>INDEX(Y$34:Y$43,Cover!$B$20)</f>
        <v/>
      </c>
      <c r="Z44" s="77">
        <f>INDEX(Z$34:Z$43,Cover!$B$20)</f>
        <v/>
      </c>
      <c r="AA44" s="77">
        <f>INDEX(AA$34:AA$43,Cover!$B$20)</f>
        <v/>
      </c>
      <c r="AB44" s="77">
        <f>INDEX(AB$34:AB$43,Cover!$B$20)</f>
        <v/>
      </c>
      <c r="AC44" s="77">
        <f>INDEX(AC$34:AC$43,Cover!$B$20)</f>
        <v/>
      </c>
      <c r="AD44" s="77">
        <f>INDEX(AD$34:AD$43,Cover!$B$20)</f>
        <v/>
      </c>
      <c r="AE44" s="77">
        <f>INDEX(AE$34:AE$43,Cover!$B$20)</f>
        <v/>
      </c>
      <c r="AF44" s="77">
        <f>INDEX(AF$34:AF$43,Cover!$B$20)</f>
        <v/>
      </c>
      <c r="AG44" s="77">
        <f>INDEX(AG$34:AG$43,Cover!$B$20)</f>
        <v/>
      </c>
      <c r="AH44" s="77">
        <f>INDEX(AH$34:AH$43,Cover!$B$20)</f>
        <v/>
      </c>
      <c r="AI44" s="77">
        <f>INDEX(AI$34:AI$43,Cover!$B$20)</f>
        <v/>
      </c>
      <c r="AJ44" s="77">
        <f>INDEX(AJ$34:AJ$43,Cover!$B$20)</f>
        <v/>
      </c>
      <c r="AK44" s="77">
        <f>INDEX(AK$34:AK$43,Cover!$B$20)</f>
        <v/>
      </c>
      <c r="AL44" s="77">
        <f>INDEX(AL$34:AL$43,Cover!$B$20)</f>
        <v/>
      </c>
      <c r="AM44" s="77">
        <f>INDEX(AM$34:AM$43,Cover!$B$20)</f>
        <v/>
      </c>
      <c r="AN44" s="77">
        <f>INDEX(AN$34:AN$43,Cover!$B$20)</f>
        <v/>
      </c>
      <c r="AO44" s="77">
        <f>INDEX(AO$34:AO$43,Cover!$B$20)</f>
        <v/>
      </c>
      <c r="AP44" s="77">
        <f>INDEX(AP$34:AP$43,Cover!$B$20)</f>
        <v/>
      </c>
      <c r="AQ44" s="77">
        <f>INDEX(AQ$34:AQ$43,Cover!$B$20)</f>
        <v/>
      </c>
      <c r="AR44" s="77">
        <f>INDEX(AR$34:AR$43,Cover!$B$20)</f>
        <v/>
      </c>
      <c r="AS44" s="77">
        <f>INDEX(AS$34:AS$43,Cover!$B$20)</f>
        <v/>
      </c>
      <c r="AT44" s="77">
        <f>INDEX(AT$34:AT$43,Cover!$B$20)</f>
        <v/>
      </c>
      <c r="AU44" s="77">
        <f>INDEX(AU$34:AU$43,Cover!$B$20)</f>
        <v/>
      </c>
      <c r="AV44" s="77">
        <f>INDEX(AV$34:AV$43,Cover!$B$20)</f>
        <v/>
      </c>
      <c r="AW44" s="77">
        <f>INDEX(AW$34:AW$43,Cover!$B$20)</f>
        <v/>
      </c>
      <c r="AX44" s="77">
        <f>INDEX(AX$34:AX$43,Cover!$B$20)</f>
        <v/>
      </c>
      <c r="AY44" s="77">
        <f>INDEX(AY$34:AY$43,Cover!$B$20)</f>
        <v/>
      </c>
      <c r="AZ44" s="77">
        <f>INDEX(AZ$34:AZ$43,Cover!$B$20)</f>
        <v/>
      </c>
      <c r="BA44" s="77">
        <f>INDEX(BA$34:BA$43,Cover!$B$20)</f>
        <v/>
      </c>
      <c r="BB44" s="77">
        <f>INDEX(BB$34:BB$43,Cover!$B$20)</f>
        <v/>
      </c>
      <c r="BC44" s="77">
        <f>INDEX(BC$34:BC$43,Cover!$B$20)</f>
        <v/>
      </c>
      <c r="BD44" s="77">
        <f>INDEX(BD$34:BD$43,Cover!$B$20)</f>
        <v/>
      </c>
      <c r="BE44" s="77">
        <f>INDEX(BE$34:BE$43,Cover!$B$20)</f>
        <v/>
      </c>
      <c r="BF44" s="77">
        <f>INDEX(BF$34:BF$43,Cover!$B$20)</f>
        <v/>
      </c>
      <c r="BG44" s="77">
        <f>INDEX(BG$34:BG$43,Cover!$B$20)</f>
        <v/>
      </c>
      <c r="BH44" s="77">
        <f>INDEX(BH$34:BH$43,Cover!$B$20)</f>
        <v/>
      </c>
      <c r="BI44" s="77">
        <f>INDEX(BI$34:BI$43,Cover!$B$20)</f>
        <v/>
      </c>
      <c r="BJ44" s="77">
        <f>INDEX(BJ$34:BJ$43,Cover!$B$20)</f>
        <v/>
      </c>
      <c r="BK44" s="77">
        <f>INDEX(BK$34:BK$43,Cover!$B$20)</f>
        <v/>
      </c>
      <c r="BL44" s="77">
        <f>INDEX(BL$34:BL$43,Cover!$B$20)</f>
        <v/>
      </c>
      <c r="BM44" s="77">
        <f>INDEX(BM$34:BM$43,Cover!$B$20)</f>
        <v/>
      </c>
      <c r="BN44" s="77">
        <f>INDEX(BN$34:BN$43,Cover!$B$20)</f>
        <v/>
      </c>
      <c r="BO44" s="77">
        <f>INDEX(BO$34:BO$43,Cover!$B$20)</f>
        <v/>
      </c>
      <c r="BP44" s="77">
        <f>INDEX(BP$34:BP$43,Cover!$B$20)</f>
        <v/>
      </c>
      <c r="BQ44" s="77">
        <f>INDEX(BQ$34:BQ$43,Cover!$B$20)</f>
        <v/>
      </c>
      <c r="BR44" s="77">
        <f>INDEX(BR$34:BR$43,Cover!$B$20)</f>
        <v/>
      </c>
      <c r="BS44" s="77">
        <f>INDEX(BS$34:BS$43,Cover!$B$20)</f>
        <v/>
      </c>
      <c r="BT44" s="77">
        <f>INDEX(BT$34:BT$43,Cover!$B$20)</f>
        <v/>
      </c>
      <c r="BU44" s="77">
        <f>INDEX(BU$34:BU$43,Cover!$B$20)</f>
        <v/>
      </c>
      <c r="BV44" s="77">
        <f>INDEX(BV$34:BV$43,Cover!$B$20)</f>
        <v/>
      </c>
      <c r="BW44" s="77">
        <f>INDEX(BW$34:BW$43,Cover!$B$20)</f>
        <v/>
      </c>
      <c r="BX44" s="77">
        <f>INDEX(BX$34:BX$43,Cover!$B$20)</f>
        <v/>
      </c>
      <c r="BY44" s="77">
        <f>INDEX(BY$34:BY$43,Cover!$B$20)</f>
        <v/>
      </c>
      <c r="BZ44" s="77">
        <f>INDEX(BZ$34:BZ$43,Cover!$B$20)</f>
        <v/>
      </c>
      <c r="CA44" s="77">
        <f>INDEX(CA$34:CA$43,Cover!$B$20)</f>
        <v/>
      </c>
      <c r="CB44" s="77">
        <f>INDEX(CB$34:CB$43,Cover!$B$20)</f>
        <v/>
      </c>
      <c r="CC44" s="77">
        <f>INDEX(CC$34:CC$43,Cover!$B$20)</f>
        <v/>
      </c>
      <c r="CD44" s="77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6" t="n">
        <v>1</v>
      </c>
      <c r="D49" s="86">
        <f>C49*(1+$B$49)^(1/4)</f>
        <v/>
      </c>
      <c r="E49" s="86">
        <f>D49*(1+$B$49)^(1/4)</f>
        <v/>
      </c>
      <c r="F49" s="86">
        <f>E49*(1+$B$49)^(1/4)</f>
        <v/>
      </c>
      <c r="G49" s="86">
        <f>F49*(1+$B$49)^(1/4)</f>
        <v/>
      </c>
      <c r="H49" s="86">
        <f>G49*(1+$B$49)^(1/4)</f>
        <v/>
      </c>
      <c r="I49" s="86">
        <f>H49*(1+$B$49)^(1/4)</f>
        <v/>
      </c>
      <c r="J49" s="86">
        <f>I49*(1+$B$49)^(1/4)</f>
        <v/>
      </c>
      <c r="K49" s="86">
        <f>J49*(1+$B$49)^(1/4)</f>
        <v/>
      </c>
      <c r="L49" s="86">
        <f>K49*(1+$B$49)^(1/4)</f>
        <v/>
      </c>
      <c r="M49" s="86">
        <f>L49*(1+$B$49)^(1/4)</f>
        <v/>
      </c>
      <c r="N49" s="86">
        <f>M49*(1+$B$49)^(1/4)</f>
        <v/>
      </c>
      <c r="O49" s="86">
        <f>N49*(1+$B$49)^(1/4)</f>
        <v/>
      </c>
      <c r="P49" s="86">
        <f>O49*(1+$B$49)^(1/4)</f>
        <v/>
      </c>
      <c r="Q49" s="86">
        <f>P49*(1+$B$49)^(1/4)</f>
        <v/>
      </c>
      <c r="R49" s="86">
        <f>Q49*(1+$B$49)^(1/4)</f>
        <v/>
      </c>
      <c r="S49" s="86">
        <f>R49*(1+$B$49)^(1/4)</f>
        <v/>
      </c>
      <c r="T49" s="86">
        <f>S49*(1+$B$49)^(1/4)</f>
        <v/>
      </c>
      <c r="U49" s="86">
        <f>T49*(1+$B$49)^(1/4)</f>
        <v/>
      </c>
      <c r="V49" s="86">
        <f>U49*(1+$B$49)^(1/4)</f>
        <v/>
      </c>
      <c r="W49" s="86">
        <f>V49*(1+$B$49)^(1/4)</f>
        <v/>
      </c>
      <c r="X49" s="86">
        <f>W49*(1+$B$49)^(1/4)</f>
        <v/>
      </c>
      <c r="Y49" s="86">
        <f>X49*(1+$B$49)^(1/4)</f>
        <v/>
      </c>
      <c r="Z49" s="86">
        <f>Y49*(1+$B$49)^(1/4)</f>
        <v/>
      </c>
      <c r="AA49" s="86">
        <f>Z49*(1+$B$49)^(1/4)</f>
        <v/>
      </c>
      <c r="AB49" s="86">
        <f>AA49*(1+$B$49)^(1/4)</f>
        <v/>
      </c>
      <c r="AC49" s="86">
        <f>AB49*(1+$B$49)^(1/4)</f>
        <v/>
      </c>
      <c r="AD49" s="86">
        <f>AC49*(1+$B$49)^(1/4)</f>
        <v/>
      </c>
      <c r="AE49" s="86">
        <f>AD49*(1+$B$49)^(1/4)</f>
        <v/>
      </c>
      <c r="AF49" s="86">
        <f>AE49*(1+$B$49)^(1/4)</f>
        <v/>
      </c>
      <c r="AG49" s="86">
        <f>AF49*(1+$B$49)^(1/4)</f>
        <v/>
      </c>
      <c r="AH49" s="86">
        <f>AG49*(1+$B$49)^(1/4)</f>
        <v/>
      </c>
      <c r="AI49" s="86">
        <f>AH49*(1+$B$49)^(1/4)</f>
        <v/>
      </c>
      <c r="AJ49" s="86">
        <f>AI49*(1+$B$49)^(1/4)</f>
        <v/>
      </c>
      <c r="AK49" s="86">
        <f>AJ49*(1+$B$49)^(1/4)</f>
        <v/>
      </c>
      <c r="AL49" s="86">
        <f>AK49*(1+$B$49)^(1/4)</f>
        <v/>
      </c>
      <c r="AM49" s="86">
        <f>AL49*(1+$B$49)^(1/4)</f>
        <v/>
      </c>
      <c r="AN49" s="86">
        <f>AM49*(1+$B$49)^(1/4)</f>
        <v/>
      </c>
      <c r="AO49" s="86">
        <f>AN49*(1+$B$49)^(1/4)</f>
        <v/>
      </c>
      <c r="AP49" s="86">
        <f>AO49*(1+$B$49)^(1/4)</f>
        <v/>
      </c>
      <c r="AQ49" s="86">
        <f>AP49*(1+$B$49)^(1/4)</f>
        <v/>
      </c>
      <c r="AR49" s="86">
        <f>AQ49*(1+$B$49)^(1/4)</f>
        <v/>
      </c>
      <c r="AS49" s="86">
        <f>AR49*(1+$B$49)^(1/4)</f>
        <v/>
      </c>
      <c r="AT49" s="86">
        <f>AS49*(1+$B$49)^(1/4)</f>
        <v/>
      </c>
      <c r="AU49" s="86">
        <f>AT49*(1+$B$49)^(1/4)</f>
        <v/>
      </c>
      <c r="AV49" s="86">
        <f>AU49*(1+$B$49)^(1/4)</f>
        <v/>
      </c>
      <c r="AW49" s="86">
        <f>AV49*(1+$B$49)^(1/4)</f>
        <v/>
      </c>
      <c r="AX49" s="86">
        <f>AW49*(1+$B$49)^(1/4)</f>
        <v/>
      </c>
      <c r="AY49" s="86">
        <f>AX49*(1+$B$49)^(1/4)</f>
        <v/>
      </c>
      <c r="AZ49" s="86">
        <f>AY49*(1+$B$49)^(1/4)</f>
        <v/>
      </c>
      <c r="BA49" s="86">
        <f>AZ49*(1+$B$49)^(1/4)</f>
        <v/>
      </c>
      <c r="BB49" s="86">
        <f>BA49*(1+$B$49)^(1/4)</f>
        <v/>
      </c>
      <c r="BC49" s="86">
        <f>BB49*(1+$B$49)^(1/4)</f>
        <v/>
      </c>
      <c r="BD49" s="86">
        <f>BC49*(1+$B$49)^(1/4)</f>
        <v/>
      </c>
      <c r="BE49" s="86">
        <f>BD49*(1+$B$49)^(1/4)</f>
        <v/>
      </c>
      <c r="BF49" s="86">
        <f>BE49*(1+$B$49)^(1/4)</f>
        <v/>
      </c>
      <c r="BG49" s="86">
        <f>BF49*(1+$B$49)^(1/4)</f>
        <v/>
      </c>
      <c r="BH49" s="86">
        <f>BG49*(1+$B$49)^(1/4)</f>
        <v/>
      </c>
      <c r="BI49" s="86">
        <f>BH49*(1+$B$49)^(1/4)</f>
        <v/>
      </c>
      <c r="BJ49" s="86">
        <f>BI49*(1+$B$49)^(1/4)</f>
        <v/>
      </c>
      <c r="BK49" s="86">
        <f>BJ49*(1+$B$49)^(1/4)</f>
        <v/>
      </c>
      <c r="BL49" s="86">
        <f>BK49*(1+$B$49)^(1/4)</f>
        <v/>
      </c>
      <c r="BM49" s="86">
        <f>BL49*(1+$B$49)^(1/4)</f>
        <v/>
      </c>
      <c r="BN49" s="86">
        <f>BM49*(1+$B$49)^(1/4)</f>
        <v/>
      </c>
      <c r="BO49" s="86">
        <f>BN49*(1+$B$49)^(1/4)</f>
        <v/>
      </c>
      <c r="BP49" s="86">
        <f>BO49*(1+$B$49)^(1/4)</f>
        <v/>
      </c>
      <c r="BQ49" s="86">
        <f>BP49*(1+$B$49)^(1/4)</f>
        <v/>
      </c>
      <c r="BR49" s="86">
        <f>BQ49*(1+$B$49)^(1/4)</f>
        <v/>
      </c>
      <c r="BS49" s="86">
        <f>BR49*(1+$B$49)^(1/4)</f>
        <v/>
      </c>
      <c r="BT49" s="86">
        <f>BS49*(1+$B$49)^(1/4)</f>
        <v/>
      </c>
      <c r="BU49" s="86">
        <f>BT49*(1+$B$49)^(1/4)</f>
        <v/>
      </c>
      <c r="BV49" s="86">
        <f>BU49*(1+$B$49)^(1/4)</f>
        <v/>
      </c>
      <c r="BW49" s="86">
        <f>BV49*(1+$B$49)^(1/4)</f>
        <v/>
      </c>
      <c r="BX49" s="86">
        <f>BW49*(1+$B$49)^(1/4)</f>
        <v/>
      </c>
      <c r="BY49" s="86">
        <f>BX49*(1+$B$49)^(1/4)</f>
        <v/>
      </c>
      <c r="BZ49" s="86">
        <f>BY49*(1+$B$49)^(1/4)</f>
        <v/>
      </c>
      <c r="CA49" s="86">
        <f>BZ49*(1+$B$49)^(1/4)</f>
        <v/>
      </c>
      <c r="CB49" s="86">
        <f>CA49*(1+$B$49)^(1/4)</f>
        <v/>
      </c>
      <c r="CC49" s="86">
        <f>CB49*(1+$B$49)^(1/4)</f>
        <v/>
      </c>
      <c r="CD49" s="86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6" t="n">
        <v>1</v>
      </c>
      <c r="D50" s="86">
        <f>C50*(1+$B$50)^(1/4)</f>
        <v/>
      </c>
      <c r="E50" s="86">
        <f>D50*(1+$B$50)^(1/4)</f>
        <v/>
      </c>
      <c r="F50" s="86">
        <f>E50*(1+$B$50)^(1/4)</f>
        <v/>
      </c>
      <c r="G50" s="86">
        <f>F50*(1+$B$50)^(1/4)</f>
        <v/>
      </c>
      <c r="H50" s="86">
        <f>G50*(1+$B$50)^(1/4)</f>
        <v/>
      </c>
      <c r="I50" s="86">
        <f>H50*(1+$B$50)^(1/4)</f>
        <v/>
      </c>
      <c r="J50" s="86">
        <f>I50*(1+$B$50)^(1/4)</f>
        <v/>
      </c>
      <c r="K50" s="86">
        <f>J50*(1+$B$50)^(1/4)</f>
        <v/>
      </c>
      <c r="L50" s="86">
        <f>K50*(1+$B$50)^(1/4)</f>
        <v/>
      </c>
      <c r="M50" s="86">
        <f>L50*(1+$B$50)^(1/4)</f>
        <v/>
      </c>
      <c r="N50" s="86">
        <f>M50*(1+$B$50)^(1/4)</f>
        <v/>
      </c>
      <c r="O50" s="86">
        <f>N50*(1+$B$50)^(1/4)</f>
        <v/>
      </c>
      <c r="P50" s="86">
        <f>O50*(1+$B$50)^(1/4)</f>
        <v/>
      </c>
      <c r="Q50" s="86">
        <f>P50*(1+$B$50)^(1/4)</f>
        <v/>
      </c>
      <c r="R50" s="86">
        <f>Q50*(1+$B$50)^(1/4)</f>
        <v/>
      </c>
      <c r="S50" s="86">
        <f>R50*(1+$B$50)^(1/4)</f>
        <v/>
      </c>
      <c r="T50" s="86">
        <f>S50*(1+$B$50)^(1/4)</f>
        <v/>
      </c>
      <c r="U50" s="86">
        <f>T50*(1+$B$50)^(1/4)</f>
        <v/>
      </c>
      <c r="V50" s="86">
        <f>U50*(1+$B$50)^(1/4)</f>
        <v/>
      </c>
      <c r="W50" s="86">
        <f>V50*(1+$B$50)^(1/4)</f>
        <v/>
      </c>
      <c r="X50" s="86">
        <f>W50*(1+$B$50)^(1/4)</f>
        <v/>
      </c>
      <c r="Y50" s="86">
        <f>X50*(1+$B$50)^(1/4)</f>
        <v/>
      </c>
      <c r="Z50" s="86">
        <f>Y50*(1+$B$50)^(1/4)</f>
        <v/>
      </c>
      <c r="AA50" s="86">
        <f>Z50*(1+$B$50)^(1/4)</f>
        <v/>
      </c>
      <c r="AB50" s="86">
        <f>AA50*(1+$B$50)^(1/4)</f>
        <v/>
      </c>
      <c r="AC50" s="86">
        <f>AB50*(1+$B$50)^(1/4)</f>
        <v/>
      </c>
      <c r="AD50" s="86">
        <f>AC50*(1+$B$50)^(1/4)</f>
        <v/>
      </c>
      <c r="AE50" s="86">
        <f>AD50*(1+$B$50)^(1/4)</f>
        <v/>
      </c>
      <c r="AF50" s="86">
        <f>AE50*(1+$B$50)^(1/4)</f>
        <v/>
      </c>
      <c r="AG50" s="86">
        <f>AF50*(1+$B$50)^(1/4)</f>
        <v/>
      </c>
      <c r="AH50" s="86">
        <f>AG50*(1+$B$50)^(1/4)</f>
        <v/>
      </c>
      <c r="AI50" s="86">
        <f>AH50*(1+$B$50)^(1/4)</f>
        <v/>
      </c>
      <c r="AJ50" s="86">
        <f>AI50*(1+$B$50)^(1/4)</f>
        <v/>
      </c>
      <c r="AK50" s="86">
        <f>AJ50*(1+$B$50)^(1/4)</f>
        <v/>
      </c>
      <c r="AL50" s="86">
        <f>AK50*(1+$B$50)^(1/4)</f>
        <v/>
      </c>
      <c r="AM50" s="86">
        <f>AL50*(1+$B$50)^(1/4)</f>
        <v/>
      </c>
      <c r="AN50" s="86">
        <f>AM50*(1+$B$50)^(1/4)</f>
        <v/>
      </c>
      <c r="AO50" s="86">
        <f>AN50*(1+$B$50)^(1/4)</f>
        <v/>
      </c>
      <c r="AP50" s="86">
        <f>AO50*(1+$B$50)^(1/4)</f>
        <v/>
      </c>
      <c r="AQ50" s="86">
        <f>AP50*(1+$B$50)^(1/4)</f>
        <v/>
      </c>
      <c r="AR50" s="86">
        <f>AQ50*(1+$B$50)^(1/4)</f>
        <v/>
      </c>
      <c r="AS50" s="86">
        <f>AR50*(1+$B$50)^(1/4)</f>
        <v/>
      </c>
      <c r="AT50" s="86">
        <f>AS50*(1+$B$50)^(1/4)</f>
        <v/>
      </c>
      <c r="AU50" s="86">
        <f>AT50*(1+$B$50)^(1/4)</f>
        <v/>
      </c>
      <c r="AV50" s="86">
        <f>AU50*(1+$B$50)^(1/4)</f>
        <v/>
      </c>
      <c r="AW50" s="86">
        <f>AV50*(1+$B$50)^(1/4)</f>
        <v/>
      </c>
      <c r="AX50" s="86">
        <f>AW50*(1+$B$50)^(1/4)</f>
        <v/>
      </c>
      <c r="AY50" s="86">
        <f>AX50*(1+$B$50)^(1/4)</f>
        <v/>
      </c>
      <c r="AZ50" s="86">
        <f>AY50*(1+$B$50)^(1/4)</f>
        <v/>
      </c>
      <c r="BA50" s="86">
        <f>AZ50*(1+$B$50)^(1/4)</f>
        <v/>
      </c>
      <c r="BB50" s="86">
        <f>BA50*(1+$B$50)^(1/4)</f>
        <v/>
      </c>
      <c r="BC50" s="86">
        <f>BB50*(1+$B$50)^(1/4)</f>
        <v/>
      </c>
      <c r="BD50" s="86">
        <f>BC50*(1+$B$50)^(1/4)</f>
        <v/>
      </c>
      <c r="BE50" s="86">
        <f>BD50*(1+$B$50)^(1/4)</f>
        <v/>
      </c>
      <c r="BF50" s="86">
        <f>BE50*(1+$B$50)^(1/4)</f>
        <v/>
      </c>
      <c r="BG50" s="86">
        <f>BF50*(1+$B$50)^(1/4)</f>
        <v/>
      </c>
      <c r="BH50" s="86">
        <f>BG50*(1+$B$50)^(1/4)</f>
        <v/>
      </c>
      <c r="BI50" s="86">
        <f>BH50*(1+$B$50)^(1/4)</f>
        <v/>
      </c>
      <c r="BJ50" s="86">
        <f>BI50*(1+$B$50)^(1/4)</f>
        <v/>
      </c>
      <c r="BK50" s="86">
        <f>BJ50*(1+$B$50)^(1/4)</f>
        <v/>
      </c>
      <c r="BL50" s="86">
        <f>BK50*(1+$B$50)^(1/4)</f>
        <v/>
      </c>
      <c r="BM50" s="86">
        <f>BL50*(1+$B$50)^(1/4)</f>
        <v/>
      </c>
      <c r="BN50" s="86">
        <f>BM50*(1+$B$50)^(1/4)</f>
        <v/>
      </c>
      <c r="BO50" s="86">
        <f>BN50*(1+$B$50)^(1/4)</f>
        <v/>
      </c>
      <c r="BP50" s="86">
        <f>BO50*(1+$B$50)^(1/4)</f>
        <v/>
      </c>
      <c r="BQ50" s="86">
        <f>BP50*(1+$B$50)^(1/4)</f>
        <v/>
      </c>
      <c r="BR50" s="86">
        <f>BQ50*(1+$B$50)^(1/4)</f>
        <v/>
      </c>
      <c r="BS50" s="86">
        <f>BR50*(1+$B$50)^(1/4)</f>
        <v/>
      </c>
      <c r="BT50" s="86">
        <f>BS50*(1+$B$50)^(1/4)</f>
        <v/>
      </c>
      <c r="BU50" s="86">
        <f>BT50*(1+$B$50)^(1/4)</f>
        <v/>
      </c>
      <c r="BV50" s="86">
        <f>BU50*(1+$B$50)^(1/4)</f>
        <v/>
      </c>
      <c r="BW50" s="86">
        <f>BV50*(1+$B$50)^(1/4)</f>
        <v/>
      </c>
      <c r="BX50" s="86">
        <f>BW50*(1+$B$50)^(1/4)</f>
        <v/>
      </c>
      <c r="BY50" s="86">
        <f>BX50*(1+$B$50)^(1/4)</f>
        <v/>
      </c>
      <c r="BZ50" s="86">
        <f>BY50*(1+$B$50)^(1/4)</f>
        <v/>
      </c>
      <c r="CA50" s="86">
        <f>BZ50*(1+$B$50)^(1/4)</f>
        <v/>
      </c>
      <c r="CB50" s="86">
        <f>CA50*(1+$B$50)^(1/4)</f>
        <v/>
      </c>
      <c r="CC50" s="86">
        <f>CB50*(1+$B$50)^(1/4)</f>
        <v/>
      </c>
      <c r="CD50" s="86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6" t="n">
        <v>1</v>
      </c>
      <c r="D51" s="86">
        <f>C51*(1+$B$51)^(1/4)</f>
        <v/>
      </c>
      <c r="E51" s="86">
        <f>D51*(1+$B$51)^(1/4)</f>
        <v/>
      </c>
      <c r="F51" s="86">
        <f>E51*(1+$B$51)^(1/4)</f>
        <v/>
      </c>
      <c r="G51" s="86">
        <f>F51*(1+$B$51)^(1/4)</f>
        <v/>
      </c>
      <c r="H51" s="86">
        <f>G51*(1+$B$51)^(1/4)</f>
        <v/>
      </c>
      <c r="I51" s="86">
        <f>H51*(1+$B$51)^(1/4)</f>
        <v/>
      </c>
      <c r="J51" s="86">
        <f>I51*(1+$B$51)^(1/4)</f>
        <v/>
      </c>
      <c r="K51" s="86">
        <f>J51*(1+$B$51)^(1/4)</f>
        <v/>
      </c>
      <c r="L51" s="86">
        <f>K51*(1+$B$51)^(1/4)</f>
        <v/>
      </c>
      <c r="M51" s="86">
        <f>L51*(1+$B$51)^(1/4)</f>
        <v/>
      </c>
      <c r="N51" s="86">
        <f>M51*(1+$B$51)^(1/4)</f>
        <v/>
      </c>
      <c r="O51" s="86">
        <f>N51*(1+$B$51)^(1/4)</f>
        <v/>
      </c>
      <c r="P51" s="86">
        <f>O51*(1+$B$51)^(1/4)</f>
        <v/>
      </c>
      <c r="Q51" s="86">
        <f>P51*(1+$B$51)^(1/4)</f>
        <v/>
      </c>
      <c r="R51" s="86">
        <f>Q51*(1+$B$51)^(1/4)</f>
        <v/>
      </c>
      <c r="S51" s="86">
        <f>R51*(1+$B$51)^(1/4)</f>
        <v/>
      </c>
      <c r="T51" s="86">
        <f>S51*(1+$B$51)^(1/4)</f>
        <v/>
      </c>
      <c r="U51" s="86">
        <f>T51*(1+$B$51)^(1/4)</f>
        <v/>
      </c>
      <c r="V51" s="86">
        <f>U51*(1+$B$51)^(1/4)</f>
        <v/>
      </c>
      <c r="W51" s="86">
        <f>V51*(1+$B$51)^(1/4)</f>
        <v/>
      </c>
      <c r="X51" s="86">
        <f>W51*(1+$B$51)^(1/4)</f>
        <v/>
      </c>
      <c r="Y51" s="86">
        <f>X51*(1+$B$51)^(1/4)</f>
        <v/>
      </c>
      <c r="Z51" s="86">
        <f>Y51*(1+$B$51)^(1/4)</f>
        <v/>
      </c>
      <c r="AA51" s="86">
        <f>Z51*(1+$B$51)^(1/4)</f>
        <v/>
      </c>
      <c r="AB51" s="86">
        <f>AA51*(1+$B$51)^(1/4)</f>
        <v/>
      </c>
      <c r="AC51" s="86">
        <f>AB51*(1+$B$51)^(1/4)</f>
        <v/>
      </c>
      <c r="AD51" s="86">
        <f>AC51*(1+$B$51)^(1/4)</f>
        <v/>
      </c>
      <c r="AE51" s="86">
        <f>AD51*(1+$B$51)^(1/4)</f>
        <v/>
      </c>
      <c r="AF51" s="86">
        <f>AE51*(1+$B$51)^(1/4)</f>
        <v/>
      </c>
      <c r="AG51" s="86">
        <f>AF51*(1+$B$51)^(1/4)</f>
        <v/>
      </c>
      <c r="AH51" s="86">
        <f>AG51*(1+$B$51)^(1/4)</f>
        <v/>
      </c>
      <c r="AI51" s="86">
        <f>AH51*(1+$B$51)^(1/4)</f>
        <v/>
      </c>
      <c r="AJ51" s="86">
        <f>AI51*(1+$B$51)^(1/4)</f>
        <v/>
      </c>
      <c r="AK51" s="86">
        <f>AJ51*(1+$B$51)^(1/4)</f>
        <v/>
      </c>
      <c r="AL51" s="86">
        <f>AK51*(1+$B$51)^(1/4)</f>
        <v/>
      </c>
      <c r="AM51" s="86">
        <f>AL51*(1+$B$51)^(1/4)</f>
        <v/>
      </c>
      <c r="AN51" s="86">
        <f>AM51*(1+$B$51)^(1/4)</f>
        <v/>
      </c>
      <c r="AO51" s="86">
        <f>AN51*(1+$B$51)^(1/4)</f>
        <v/>
      </c>
      <c r="AP51" s="86">
        <f>AO51*(1+$B$51)^(1/4)</f>
        <v/>
      </c>
      <c r="AQ51" s="86">
        <f>AP51*(1+$B$51)^(1/4)</f>
        <v/>
      </c>
      <c r="AR51" s="86">
        <f>AQ51*(1+$B$51)^(1/4)</f>
        <v/>
      </c>
      <c r="AS51" s="86">
        <f>AR51*(1+$B$51)^(1/4)</f>
        <v/>
      </c>
      <c r="AT51" s="86">
        <f>AS51*(1+$B$51)^(1/4)</f>
        <v/>
      </c>
      <c r="AU51" s="86">
        <f>AT51*(1+$B$51)^(1/4)</f>
        <v/>
      </c>
      <c r="AV51" s="86">
        <f>AU51*(1+$B$51)^(1/4)</f>
        <v/>
      </c>
      <c r="AW51" s="86">
        <f>AV51*(1+$B$51)^(1/4)</f>
        <v/>
      </c>
      <c r="AX51" s="86">
        <f>AW51*(1+$B$51)^(1/4)</f>
        <v/>
      </c>
      <c r="AY51" s="86">
        <f>AX51*(1+$B$51)^(1/4)</f>
        <v/>
      </c>
      <c r="AZ51" s="86">
        <f>AY51*(1+$B$51)^(1/4)</f>
        <v/>
      </c>
      <c r="BA51" s="86">
        <f>AZ51*(1+$B$51)^(1/4)</f>
        <v/>
      </c>
      <c r="BB51" s="86">
        <f>BA51*(1+$B$51)^(1/4)</f>
        <v/>
      </c>
      <c r="BC51" s="86">
        <f>BB51*(1+$B$51)^(1/4)</f>
        <v/>
      </c>
      <c r="BD51" s="86">
        <f>BC51*(1+$B$51)^(1/4)</f>
        <v/>
      </c>
      <c r="BE51" s="86">
        <f>BD51*(1+$B$51)^(1/4)</f>
        <v/>
      </c>
      <c r="BF51" s="86">
        <f>BE51*(1+$B$51)^(1/4)</f>
        <v/>
      </c>
      <c r="BG51" s="86">
        <f>BF51*(1+$B$51)^(1/4)</f>
        <v/>
      </c>
      <c r="BH51" s="86">
        <f>BG51*(1+$B$51)^(1/4)</f>
        <v/>
      </c>
      <c r="BI51" s="86">
        <f>BH51*(1+$B$51)^(1/4)</f>
        <v/>
      </c>
      <c r="BJ51" s="86">
        <f>BI51*(1+$B$51)^(1/4)</f>
        <v/>
      </c>
      <c r="BK51" s="86">
        <f>BJ51*(1+$B$51)^(1/4)</f>
        <v/>
      </c>
      <c r="BL51" s="86">
        <f>BK51*(1+$B$51)^(1/4)</f>
        <v/>
      </c>
      <c r="BM51" s="86">
        <f>BL51*(1+$B$51)^(1/4)</f>
        <v/>
      </c>
      <c r="BN51" s="86">
        <f>BM51*(1+$B$51)^(1/4)</f>
        <v/>
      </c>
      <c r="BO51" s="86">
        <f>BN51*(1+$B$51)^(1/4)</f>
        <v/>
      </c>
      <c r="BP51" s="86">
        <f>BO51*(1+$B$51)^(1/4)</f>
        <v/>
      </c>
      <c r="BQ51" s="86">
        <f>BP51*(1+$B$51)^(1/4)</f>
        <v/>
      </c>
      <c r="BR51" s="86">
        <f>BQ51*(1+$B$51)^(1/4)</f>
        <v/>
      </c>
      <c r="BS51" s="86">
        <f>BR51*(1+$B$51)^(1/4)</f>
        <v/>
      </c>
      <c r="BT51" s="86">
        <f>BS51*(1+$B$51)^(1/4)</f>
        <v/>
      </c>
      <c r="BU51" s="86">
        <f>BT51*(1+$B$51)^(1/4)</f>
        <v/>
      </c>
      <c r="BV51" s="86">
        <f>BU51*(1+$B$51)^(1/4)</f>
        <v/>
      </c>
      <c r="BW51" s="86">
        <f>BV51*(1+$B$51)^(1/4)</f>
        <v/>
      </c>
      <c r="BX51" s="86">
        <f>BW51*(1+$B$51)^(1/4)</f>
        <v/>
      </c>
      <c r="BY51" s="86">
        <f>BX51*(1+$B$51)^(1/4)</f>
        <v/>
      </c>
      <c r="BZ51" s="86">
        <f>BY51*(1+$B$51)^(1/4)</f>
        <v/>
      </c>
      <c r="CA51" s="86">
        <f>BZ51*(1+$B$51)^(1/4)</f>
        <v/>
      </c>
      <c r="CB51" s="86">
        <f>CA51*(1+$B$51)^(1/4)</f>
        <v/>
      </c>
      <c r="CC51" s="86">
        <f>CB51*(1+$B$51)^(1/4)</f>
        <v/>
      </c>
      <c r="CD51" s="86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6" t="n">
        <v>1</v>
      </c>
      <c r="D52" s="86">
        <f>C52*(1+$B$52)^(1/4)</f>
        <v/>
      </c>
      <c r="E52" s="86">
        <f>D52*(1+$B$52)^(1/4)</f>
        <v/>
      </c>
      <c r="F52" s="86">
        <f>E52*(1+$B$52)^(1/4)</f>
        <v/>
      </c>
      <c r="G52" s="86">
        <f>F52*(1+$B$52)^(1/4)</f>
        <v/>
      </c>
      <c r="H52" s="86">
        <f>G52*(1+$B$52)^(1/4)</f>
        <v/>
      </c>
      <c r="I52" s="86">
        <f>H52*(1+$B$52)^(1/4)</f>
        <v/>
      </c>
      <c r="J52" s="86">
        <f>I52*(1+$B$52)^(1/4)</f>
        <v/>
      </c>
      <c r="K52" s="86">
        <f>J52*(1+$B$52)^(1/4)</f>
        <v/>
      </c>
      <c r="L52" s="86">
        <f>K52*(1+$B$52)^(1/4)</f>
        <v/>
      </c>
      <c r="M52" s="86">
        <f>L52*(1+$B$52)^(1/4)</f>
        <v/>
      </c>
      <c r="N52" s="86">
        <f>M52*(1+$B$52)^(1/4)</f>
        <v/>
      </c>
      <c r="O52" s="86">
        <f>N52*(1+$B$52)^(1/4)</f>
        <v/>
      </c>
      <c r="P52" s="86">
        <f>O52*(1+$B$52)^(1/4)</f>
        <v/>
      </c>
      <c r="Q52" s="86">
        <f>P52*(1+$B$52)^(1/4)</f>
        <v/>
      </c>
      <c r="R52" s="86">
        <f>Q52*(1+$B$52)^(1/4)</f>
        <v/>
      </c>
      <c r="S52" s="86">
        <f>R52*(1+$B$52)^(1/4)</f>
        <v/>
      </c>
      <c r="T52" s="86">
        <f>S52*(1+$B$52)^(1/4)</f>
        <v/>
      </c>
      <c r="U52" s="86">
        <f>T52*(1+$B$52)^(1/4)</f>
        <v/>
      </c>
      <c r="V52" s="86">
        <f>U52*(1+$B$52)^(1/4)</f>
        <v/>
      </c>
      <c r="W52" s="86">
        <f>V52*(1+$B$52)^(1/4)</f>
        <v/>
      </c>
      <c r="X52" s="86">
        <f>W52*(1+$B$52)^(1/4)</f>
        <v/>
      </c>
      <c r="Y52" s="86">
        <f>X52*(1+$B$52)^(1/4)</f>
        <v/>
      </c>
      <c r="Z52" s="86">
        <f>Y52*(1+$B$52)^(1/4)</f>
        <v/>
      </c>
      <c r="AA52" s="86">
        <f>Z52*(1+$B$52)^(1/4)</f>
        <v/>
      </c>
      <c r="AB52" s="86">
        <f>AA52*(1+$B$52)^(1/4)</f>
        <v/>
      </c>
      <c r="AC52" s="86">
        <f>AB52*(1+$B$52)^(1/4)</f>
        <v/>
      </c>
      <c r="AD52" s="86">
        <f>AC52*(1+$B$52)^(1/4)</f>
        <v/>
      </c>
      <c r="AE52" s="86">
        <f>AD52*(1+$B$52)^(1/4)</f>
        <v/>
      </c>
      <c r="AF52" s="86">
        <f>AE52*(1+$B$52)^(1/4)</f>
        <v/>
      </c>
      <c r="AG52" s="86">
        <f>AF52*(1+$B$52)^(1/4)</f>
        <v/>
      </c>
      <c r="AH52" s="86">
        <f>AG52*(1+$B$52)^(1/4)</f>
        <v/>
      </c>
      <c r="AI52" s="86">
        <f>AH52*(1+$B$52)^(1/4)</f>
        <v/>
      </c>
      <c r="AJ52" s="86">
        <f>AI52*(1+$B$52)^(1/4)</f>
        <v/>
      </c>
      <c r="AK52" s="86">
        <f>AJ52*(1+$B$52)^(1/4)</f>
        <v/>
      </c>
      <c r="AL52" s="86">
        <f>AK52*(1+$B$52)^(1/4)</f>
        <v/>
      </c>
      <c r="AM52" s="86">
        <f>AL52*(1+$B$52)^(1/4)</f>
        <v/>
      </c>
      <c r="AN52" s="86">
        <f>AM52*(1+$B$52)^(1/4)</f>
        <v/>
      </c>
      <c r="AO52" s="86">
        <f>AN52*(1+$B$52)^(1/4)</f>
        <v/>
      </c>
      <c r="AP52" s="86">
        <f>AO52*(1+$B$52)^(1/4)</f>
        <v/>
      </c>
      <c r="AQ52" s="86">
        <f>AP52*(1+$B$52)^(1/4)</f>
        <v/>
      </c>
      <c r="AR52" s="86">
        <f>AQ52*(1+$B$52)^(1/4)</f>
        <v/>
      </c>
      <c r="AS52" s="86">
        <f>AR52*(1+$B$52)^(1/4)</f>
        <v/>
      </c>
      <c r="AT52" s="86">
        <f>AS52*(1+$B$52)^(1/4)</f>
        <v/>
      </c>
      <c r="AU52" s="86">
        <f>AT52*(1+$B$52)^(1/4)</f>
        <v/>
      </c>
      <c r="AV52" s="86">
        <f>AU52*(1+$B$52)^(1/4)</f>
        <v/>
      </c>
      <c r="AW52" s="86">
        <f>AV52*(1+$B$52)^(1/4)</f>
        <v/>
      </c>
      <c r="AX52" s="86">
        <f>AW52*(1+$B$52)^(1/4)</f>
        <v/>
      </c>
      <c r="AY52" s="86">
        <f>AX52*(1+$B$52)^(1/4)</f>
        <v/>
      </c>
      <c r="AZ52" s="86">
        <f>AY52*(1+$B$52)^(1/4)</f>
        <v/>
      </c>
      <c r="BA52" s="86">
        <f>AZ52*(1+$B$52)^(1/4)</f>
        <v/>
      </c>
      <c r="BB52" s="86">
        <f>BA52*(1+$B$52)^(1/4)</f>
        <v/>
      </c>
      <c r="BC52" s="86">
        <f>BB52*(1+$B$52)^(1/4)</f>
        <v/>
      </c>
      <c r="BD52" s="86">
        <f>BC52*(1+$B$52)^(1/4)</f>
        <v/>
      </c>
      <c r="BE52" s="86">
        <f>BD52*(1+$B$52)^(1/4)</f>
        <v/>
      </c>
      <c r="BF52" s="86">
        <f>BE52*(1+$B$52)^(1/4)</f>
        <v/>
      </c>
      <c r="BG52" s="86">
        <f>BF52*(1+$B$52)^(1/4)</f>
        <v/>
      </c>
      <c r="BH52" s="86">
        <f>BG52*(1+$B$52)^(1/4)</f>
        <v/>
      </c>
      <c r="BI52" s="86">
        <f>BH52*(1+$B$52)^(1/4)</f>
        <v/>
      </c>
      <c r="BJ52" s="86">
        <f>BI52*(1+$B$52)^(1/4)</f>
        <v/>
      </c>
      <c r="BK52" s="86">
        <f>BJ52*(1+$B$52)^(1/4)</f>
        <v/>
      </c>
      <c r="BL52" s="86">
        <f>BK52*(1+$B$52)^(1/4)</f>
        <v/>
      </c>
      <c r="BM52" s="86">
        <f>BL52*(1+$B$52)^(1/4)</f>
        <v/>
      </c>
      <c r="BN52" s="86">
        <f>BM52*(1+$B$52)^(1/4)</f>
        <v/>
      </c>
      <c r="BO52" s="86">
        <f>BN52*(1+$B$52)^(1/4)</f>
        <v/>
      </c>
      <c r="BP52" s="86">
        <f>BO52*(1+$B$52)^(1/4)</f>
        <v/>
      </c>
      <c r="BQ52" s="86">
        <f>BP52*(1+$B$52)^(1/4)</f>
        <v/>
      </c>
      <c r="BR52" s="86">
        <f>BQ52*(1+$B$52)^(1/4)</f>
        <v/>
      </c>
      <c r="BS52" s="86">
        <f>BR52*(1+$B$52)^(1/4)</f>
        <v/>
      </c>
      <c r="BT52" s="86">
        <f>BS52*(1+$B$52)^(1/4)</f>
        <v/>
      </c>
      <c r="BU52" s="86">
        <f>BT52*(1+$B$52)^(1/4)</f>
        <v/>
      </c>
      <c r="BV52" s="86">
        <f>BU52*(1+$B$52)^(1/4)</f>
        <v/>
      </c>
      <c r="BW52" s="86">
        <f>BV52*(1+$B$52)^(1/4)</f>
        <v/>
      </c>
      <c r="BX52" s="86">
        <f>BW52*(1+$B$52)^(1/4)</f>
        <v/>
      </c>
      <c r="BY52" s="86">
        <f>BX52*(1+$B$52)^(1/4)</f>
        <v/>
      </c>
      <c r="BZ52" s="86">
        <f>BY52*(1+$B$52)^(1/4)</f>
        <v/>
      </c>
      <c r="CA52" s="86">
        <f>BZ52*(1+$B$52)^(1/4)</f>
        <v/>
      </c>
      <c r="CB52" s="86">
        <f>CA52*(1+$B$52)^(1/4)</f>
        <v/>
      </c>
      <c r="CC52" s="86">
        <f>CB52*(1+$B$52)^(1/4)</f>
        <v/>
      </c>
      <c r="CD52" s="86">
        <f>CC52*(1+$B$52)^(1/4)</f>
        <v/>
      </c>
    </row>
    <row r="54">
      <c r="A54" t="inlineStr">
        <is>
          <t>Revenue escalation factor # (1-4)</t>
        </is>
      </c>
      <c r="B54" s="60" t="n">
        <v>1</v>
      </c>
    </row>
    <row r="55">
      <c r="A55" t="inlineStr">
        <is>
          <t>Opex escalation factor # (1-4)</t>
        </is>
      </c>
      <c r="B55" s="60" t="n">
        <v>2</v>
      </c>
    </row>
    <row r="57">
      <c r="A57" s="51" t="inlineStr">
        <is>
          <t>ACTIVE — Revenue Escalation Index</t>
        </is>
      </c>
      <c r="C57" s="86">
        <f>INDEX(C$49:C$52,$B$54)</f>
        <v/>
      </c>
      <c r="D57" s="86">
        <f>INDEX(D$49:D$52,$B$54)</f>
        <v/>
      </c>
      <c r="E57" s="86">
        <f>INDEX(E$49:E$52,$B$54)</f>
        <v/>
      </c>
      <c r="F57" s="86">
        <f>INDEX(F$49:F$52,$B$54)</f>
        <v/>
      </c>
      <c r="G57" s="86">
        <f>INDEX(G$49:G$52,$B$54)</f>
        <v/>
      </c>
      <c r="H57" s="86">
        <f>INDEX(H$49:H$52,$B$54)</f>
        <v/>
      </c>
      <c r="I57" s="86">
        <f>INDEX(I$49:I$52,$B$54)</f>
        <v/>
      </c>
      <c r="J57" s="86">
        <f>INDEX(J$49:J$52,$B$54)</f>
        <v/>
      </c>
      <c r="K57" s="86">
        <f>INDEX(K$49:K$52,$B$54)</f>
        <v/>
      </c>
      <c r="L57" s="86">
        <f>INDEX(L$49:L$52,$B$54)</f>
        <v/>
      </c>
      <c r="M57" s="86">
        <f>INDEX(M$49:M$52,$B$54)</f>
        <v/>
      </c>
      <c r="N57" s="86">
        <f>INDEX(N$49:N$52,$B$54)</f>
        <v/>
      </c>
      <c r="O57" s="86">
        <f>INDEX(O$49:O$52,$B$54)</f>
        <v/>
      </c>
      <c r="P57" s="86">
        <f>INDEX(P$49:P$52,$B$54)</f>
        <v/>
      </c>
      <c r="Q57" s="86">
        <f>INDEX(Q$49:Q$52,$B$54)</f>
        <v/>
      </c>
      <c r="R57" s="86">
        <f>INDEX(R$49:R$52,$B$54)</f>
        <v/>
      </c>
      <c r="S57" s="86">
        <f>INDEX(S$49:S$52,$B$54)</f>
        <v/>
      </c>
      <c r="T57" s="86">
        <f>INDEX(T$49:T$52,$B$54)</f>
        <v/>
      </c>
      <c r="U57" s="86">
        <f>INDEX(U$49:U$52,$B$54)</f>
        <v/>
      </c>
      <c r="V57" s="86">
        <f>INDEX(V$49:V$52,$B$54)</f>
        <v/>
      </c>
      <c r="W57" s="86">
        <f>INDEX(W$49:W$52,$B$54)</f>
        <v/>
      </c>
      <c r="X57" s="86">
        <f>INDEX(X$49:X$52,$B$54)</f>
        <v/>
      </c>
      <c r="Y57" s="86">
        <f>INDEX(Y$49:Y$52,$B$54)</f>
        <v/>
      </c>
      <c r="Z57" s="86">
        <f>INDEX(Z$49:Z$52,$B$54)</f>
        <v/>
      </c>
      <c r="AA57" s="86">
        <f>INDEX(AA$49:AA$52,$B$54)</f>
        <v/>
      </c>
      <c r="AB57" s="86">
        <f>INDEX(AB$49:AB$52,$B$54)</f>
        <v/>
      </c>
      <c r="AC57" s="86">
        <f>INDEX(AC$49:AC$52,$B$54)</f>
        <v/>
      </c>
      <c r="AD57" s="86">
        <f>INDEX(AD$49:AD$52,$B$54)</f>
        <v/>
      </c>
      <c r="AE57" s="86">
        <f>INDEX(AE$49:AE$52,$B$54)</f>
        <v/>
      </c>
      <c r="AF57" s="86">
        <f>INDEX(AF$49:AF$52,$B$54)</f>
        <v/>
      </c>
      <c r="AG57" s="86">
        <f>INDEX(AG$49:AG$52,$B$54)</f>
        <v/>
      </c>
      <c r="AH57" s="86">
        <f>INDEX(AH$49:AH$52,$B$54)</f>
        <v/>
      </c>
      <c r="AI57" s="86">
        <f>INDEX(AI$49:AI$52,$B$54)</f>
        <v/>
      </c>
      <c r="AJ57" s="86">
        <f>INDEX(AJ$49:AJ$52,$B$54)</f>
        <v/>
      </c>
      <c r="AK57" s="86">
        <f>INDEX(AK$49:AK$52,$B$54)</f>
        <v/>
      </c>
      <c r="AL57" s="86">
        <f>INDEX(AL$49:AL$52,$B$54)</f>
        <v/>
      </c>
      <c r="AM57" s="86">
        <f>INDEX(AM$49:AM$52,$B$54)</f>
        <v/>
      </c>
      <c r="AN57" s="86">
        <f>INDEX(AN$49:AN$52,$B$54)</f>
        <v/>
      </c>
      <c r="AO57" s="86">
        <f>INDEX(AO$49:AO$52,$B$54)</f>
        <v/>
      </c>
      <c r="AP57" s="86">
        <f>INDEX(AP$49:AP$52,$B$54)</f>
        <v/>
      </c>
      <c r="AQ57" s="86">
        <f>INDEX(AQ$49:AQ$52,$B$54)</f>
        <v/>
      </c>
      <c r="AR57" s="86">
        <f>INDEX(AR$49:AR$52,$B$54)</f>
        <v/>
      </c>
      <c r="AS57" s="86">
        <f>INDEX(AS$49:AS$52,$B$54)</f>
        <v/>
      </c>
      <c r="AT57" s="86">
        <f>INDEX(AT$49:AT$52,$B$54)</f>
        <v/>
      </c>
      <c r="AU57" s="86">
        <f>INDEX(AU$49:AU$52,$B$54)</f>
        <v/>
      </c>
      <c r="AV57" s="86">
        <f>INDEX(AV$49:AV$52,$B$54)</f>
        <v/>
      </c>
      <c r="AW57" s="86">
        <f>INDEX(AW$49:AW$52,$B$54)</f>
        <v/>
      </c>
      <c r="AX57" s="86">
        <f>INDEX(AX$49:AX$52,$B$54)</f>
        <v/>
      </c>
      <c r="AY57" s="86">
        <f>INDEX(AY$49:AY$52,$B$54)</f>
        <v/>
      </c>
      <c r="AZ57" s="86">
        <f>INDEX(AZ$49:AZ$52,$B$54)</f>
        <v/>
      </c>
      <c r="BA57" s="86">
        <f>INDEX(BA$49:BA$52,$B$54)</f>
        <v/>
      </c>
      <c r="BB57" s="86">
        <f>INDEX(BB$49:BB$52,$B$54)</f>
        <v/>
      </c>
      <c r="BC57" s="86">
        <f>INDEX(BC$49:BC$52,$B$54)</f>
        <v/>
      </c>
      <c r="BD57" s="86">
        <f>INDEX(BD$49:BD$52,$B$54)</f>
        <v/>
      </c>
      <c r="BE57" s="86">
        <f>INDEX(BE$49:BE$52,$B$54)</f>
        <v/>
      </c>
      <c r="BF57" s="86">
        <f>INDEX(BF$49:BF$52,$B$54)</f>
        <v/>
      </c>
      <c r="BG57" s="86">
        <f>INDEX(BG$49:BG$52,$B$54)</f>
        <v/>
      </c>
      <c r="BH57" s="86">
        <f>INDEX(BH$49:BH$52,$B$54)</f>
        <v/>
      </c>
      <c r="BI57" s="86">
        <f>INDEX(BI$49:BI$52,$B$54)</f>
        <v/>
      </c>
      <c r="BJ57" s="86">
        <f>INDEX(BJ$49:BJ$52,$B$54)</f>
        <v/>
      </c>
      <c r="BK57" s="86">
        <f>INDEX(BK$49:BK$52,$B$54)</f>
        <v/>
      </c>
      <c r="BL57" s="86">
        <f>INDEX(BL$49:BL$52,$B$54)</f>
        <v/>
      </c>
      <c r="BM57" s="86">
        <f>INDEX(BM$49:BM$52,$B$54)</f>
        <v/>
      </c>
      <c r="BN57" s="86">
        <f>INDEX(BN$49:BN$52,$B$54)</f>
        <v/>
      </c>
      <c r="BO57" s="86">
        <f>INDEX(BO$49:BO$52,$B$54)</f>
        <v/>
      </c>
      <c r="BP57" s="86">
        <f>INDEX(BP$49:BP$52,$B$54)</f>
        <v/>
      </c>
      <c r="BQ57" s="86">
        <f>INDEX(BQ$49:BQ$52,$B$54)</f>
        <v/>
      </c>
      <c r="BR57" s="86">
        <f>INDEX(BR$49:BR$52,$B$54)</f>
        <v/>
      </c>
      <c r="BS57" s="86">
        <f>INDEX(BS$49:BS$52,$B$54)</f>
        <v/>
      </c>
      <c r="BT57" s="86">
        <f>INDEX(BT$49:BT$52,$B$54)</f>
        <v/>
      </c>
      <c r="BU57" s="86">
        <f>INDEX(BU$49:BU$52,$B$54)</f>
        <v/>
      </c>
      <c r="BV57" s="86">
        <f>INDEX(BV$49:BV$52,$B$54)</f>
        <v/>
      </c>
      <c r="BW57" s="86">
        <f>INDEX(BW$49:BW$52,$B$54)</f>
        <v/>
      </c>
      <c r="BX57" s="86">
        <f>INDEX(BX$49:BX$52,$B$54)</f>
        <v/>
      </c>
      <c r="BY57" s="86">
        <f>INDEX(BY$49:BY$52,$B$54)</f>
        <v/>
      </c>
      <c r="BZ57" s="86">
        <f>INDEX(BZ$49:BZ$52,$B$54)</f>
        <v/>
      </c>
      <c r="CA57" s="86">
        <f>INDEX(CA$49:CA$52,$B$54)</f>
        <v/>
      </c>
      <c r="CB57" s="86">
        <f>INDEX(CB$49:CB$52,$B$54)</f>
        <v/>
      </c>
      <c r="CC57" s="86">
        <f>INDEX(CC$49:CC$52,$B$54)</f>
        <v/>
      </c>
      <c r="CD57" s="86">
        <f>INDEX(CD$49:CD$52,$B$54)</f>
        <v/>
      </c>
    </row>
    <row r="58">
      <c r="A58" s="51" t="inlineStr">
        <is>
          <t>ACTIVE — Opex Escalation Index</t>
        </is>
      </c>
      <c r="C58" s="86">
        <f>INDEX(C$49:C$52,$B$55)</f>
        <v/>
      </c>
      <c r="D58" s="86">
        <f>INDEX(D$49:D$52,$B$55)</f>
        <v/>
      </c>
      <c r="E58" s="86">
        <f>INDEX(E$49:E$52,$B$55)</f>
        <v/>
      </c>
      <c r="F58" s="86">
        <f>INDEX(F$49:F$52,$B$55)</f>
        <v/>
      </c>
      <c r="G58" s="86">
        <f>INDEX(G$49:G$52,$B$55)</f>
        <v/>
      </c>
      <c r="H58" s="86">
        <f>INDEX(H$49:H$52,$B$55)</f>
        <v/>
      </c>
      <c r="I58" s="86">
        <f>INDEX(I$49:I$52,$B$55)</f>
        <v/>
      </c>
      <c r="J58" s="86">
        <f>INDEX(J$49:J$52,$B$55)</f>
        <v/>
      </c>
      <c r="K58" s="86">
        <f>INDEX(K$49:K$52,$B$55)</f>
        <v/>
      </c>
      <c r="L58" s="86">
        <f>INDEX(L$49:L$52,$B$55)</f>
        <v/>
      </c>
      <c r="M58" s="86">
        <f>INDEX(M$49:M$52,$B$55)</f>
        <v/>
      </c>
      <c r="N58" s="86">
        <f>INDEX(N$49:N$52,$B$55)</f>
        <v/>
      </c>
      <c r="O58" s="86">
        <f>INDEX(O$49:O$52,$B$55)</f>
        <v/>
      </c>
      <c r="P58" s="86">
        <f>INDEX(P$49:P$52,$B$55)</f>
        <v/>
      </c>
      <c r="Q58" s="86">
        <f>INDEX(Q$49:Q$52,$B$55)</f>
        <v/>
      </c>
      <c r="R58" s="86">
        <f>INDEX(R$49:R$52,$B$55)</f>
        <v/>
      </c>
      <c r="S58" s="86">
        <f>INDEX(S$49:S$52,$B$55)</f>
        <v/>
      </c>
      <c r="T58" s="86">
        <f>INDEX(T$49:T$52,$B$55)</f>
        <v/>
      </c>
      <c r="U58" s="86">
        <f>INDEX(U$49:U$52,$B$55)</f>
        <v/>
      </c>
      <c r="V58" s="86">
        <f>INDEX(V$49:V$52,$B$55)</f>
        <v/>
      </c>
      <c r="W58" s="86">
        <f>INDEX(W$49:W$52,$B$55)</f>
        <v/>
      </c>
      <c r="X58" s="86">
        <f>INDEX(X$49:X$52,$B$55)</f>
        <v/>
      </c>
      <c r="Y58" s="86">
        <f>INDEX(Y$49:Y$52,$B$55)</f>
        <v/>
      </c>
      <c r="Z58" s="86">
        <f>INDEX(Z$49:Z$52,$B$55)</f>
        <v/>
      </c>
      <c r="AA58" s="86">
        <f>INDEX(AA$49:AA$52,$B$55)</f>
        <v/>
      </c>
      <c r="AB58" s="86">
        <f>INDEX(AB$49:AB$52,$B$55)</f>
        <v/>
      </c>
      <c r="AC58" s="86">
        <f>INDEX(AC$49:AC$52,$B$55)</f>
        <v/>
      </c>
      <c r="AD58" s="86">
        <f>INDEX(AD$49:AD$52,$B$55)</f>
        <v/>
      </c>
      <c r="AE58" s="86">
        <f>INDEX(AE$49:AE$52,$B$55)</f>
        <v/>
      </c>
      <c r="AF58" s="86">
        <f>INDEX(AF$49:AF$52,$B$55)</f>
        <v/>
      </c>
      <c r="AG58" s="86">
        <f>INDEX(AG$49:AG$52,$B$55)</f>
        <v/>
      </c>
      <c r="AH58" s="86">
        <f>INDEX(AH$49:AH$52,$B$55)</f>
        <v/>
      </c>
      <c r="AI58" s="86">
        <f>INDEX(AI$49:AI$52,$B$55)</f>
        <v/>
      </c>
      <c r="AJ58" s="86">
        <f>INDEX(AJ$49:AJ$52,$B$55)</f>
        <v/>
      </c>
      <c r="AK58" s="86">
        <f>INDEX(AK$49:AK$52,$B$55)</f>
        <v/>
      </c>
      <c r="AL58" s="86">
        <f>INDEX(AL$49:AL$52,$B$55)</f>
        <v/>
      </c>
      <c r="AM58" s="86">
        <f>INDEX(AM$49:AM$52,$B$55)</f>
        <v/>
      </c>
      <c r="AN58" s="86">
        <f>INDEX(AN$49:AN$52,$B$55)</f>
        <v/>
      </c>
      <c r="AO58" s="86">
        <f>INDEX(AO$49:AO$52,$B$55)</f>
        <v/>
      </c>
      <c r="AP58" s="86">
        <f>INDEX(AP$49:AP$52,$B$55)</f>
        <v/>
      </c>
      <c r="AQ58" s="86">
        <f>INDEX(AQ$49:AQ$52,$B$55)</f>
        <v/>
      </c>
      <c r="AR58" s="86">
        <f>INDEX(AR$49:AR$52,$B$55)</f>
        <v/>
      </c>
      <c r="AS58" s="86">
        <f>INDEX(AS$49:AS$52,$B$55)</f>
        <v/>
      </c>
      <c r="AT58" s="86">
        <f>INDEX(AT$49:AT$52,$B$55)</f>
        <v/>
      </c>
      <c r="AU58" s="86">
        <f>INDEX(AU$49:AU$52,$B$55)</f>
        <v/>
      </c>
      <c r="AV58" s="86">
        <f>INDEX(AV$49:AV$52,$B$55)</f>
        <v/>
      </c>
      <c r="AW58" s="86">
        <f>INDEX(AW$49:AW$52,$B$55)</f>
        <v/>
      </c>
      <c r="AX58" s="86">
        <f>INDEX(AX$49:AX$52,$B$55)</f>
        <v/>
      </c>
      <c r="AY58" s="86">
        <f>INDEX(AY$49:AY$52,$B$55)</f>
        <v/>
      </c>
      <c r="AZ58" s="86">
        <f>INDEX(AZ$49:AZ$52,$B$55)</f>
        <v/>
      </c>
      <c r="BA58" s="86">
        <f>INDEX(BA$49:BA$52,$B$55)</f>
        <v/>
      </c>
      <c r="BB58" s="86">
        <f>INDEX(BB$49:BB$52,$B$55)</f>
        <v/>
      </c>
      <c r="BC58" s="86">
        <f>INDEX(BC$49:BC$52,$B$55)</f>
        <v/>
      </c>
      <c r="BD58" s="86">
        <f>INDEX(BD$49:BD$52,$B$55)</f>
        <v/>
      </c>
      <c r="BE58" s="86">
        <f>INDEX(BE$49:BE$52,$B$55)</f>
        <v/>
      </c>
      <c r="BF58" s="86">
        <f>INDEX(BF$49:BF$52,$B$55)</f>
        <v/>
      </c>
      <c r="BG58" s="86">
        <f>INDEX(BG$49:BG$52,$B$55)</f>
        <v/>
      </c>
      <c r="BH58" s="86">
        <f>INDEX(BH$49:BH$52,$B$55)</f>
        <v/>
      </c>
      <c r="BI58" s="86">
        <f>INDEX(BI$49:BI$52,$B$55)</f>
        <v/>
      </c>
      <c r="BJ58" s="86">
        <f>INDEX(BJ$49:BJ$52,$B$55)</f>
        <v/>
      </c>
      <c r="BK58" s="86">
        <f>INDEX(BK$49:BK$52,$B$55)</f>
        <v/>
      </c>
      <c r="BL58" s="86">
        <f>INDEX(BL$49:BL$52,$B$55)</f>
        <v/>
      </c>
      <c r="BM58" s="86">
        <f>INDEX(BM$49:BM$52,$B$55)</f>
        <v/>
      </c>
      <c r="BN58" s="86">
        <f>INDEX(BN$49:BN$52,$B$55)</f>
        <v/>
      </c>
      <c r="BO58" s="86">
        <f>INDEX(BO$49:BO$52,$B$55)</f>
        <v/>
      </c>
      <c r="BP58" s="86">
        <f>INDEX(BP$49:BP$52,$B$55)</f>
        <v/>
      </c>
      <c r="BQ58" s="86">
        <f>INDEX(BQ$49:BQ$52,$B$55)</f>
        <v/>
      </c>
      <c r="BR58" s="86">
        <f>INDEX(BR$49:BR$52,$B$55)</f>
        <v/>
      </c>
      <c r="BS58" s="86">
        <f>INDEX(BS$49:BS$52,$B$55)</f>
        <v/>
      </c>
      <c r="BT58" s="86">
        <f>INDEX(BT$49:BT$52,$B$55)</f>
        <v/>
      </c>
      <c r="BU58" s="86">
        <f>INDEX(BU$49:BU$52,$B$55)</f>
        <v/>
      </c>
      <c r="BV58" s="86">
        <f>INDEX(BV$49:BV$52,$B$55)</f>
        <v/>
      </c>
      <c r="BW58" s="86">
        <f>INDEX(BW$49:BW$52,$B$55)</f>
        <v/>
      </c>
      <c r="BX58" s="86">
        <f>INDEX(BX$49:BX$52,$B$55)</f>
        <v/>
      </c>
      <c r="BY58" s="86">
        <f>INDEX(BY$49:BY$52,$B$55)</f>
        <v/>
      </c>
      <c r="BZ58" s="86">
        <f>INDEX(BZ$49:BZ$52,$B$55)</f>
        <v/>
      </c>
      <c r="CA58" s="86">
        <f>INDEX(CA$49:CA$52,$B$55)</f>
        <v/>
      </c>
      <c r="CB58" s="86">
        <f>INDEX(CB$49:CB$52,$B$55)</f>
        <v/>
      </c>
      <c r="CC58" s="86">
        <f>INDEX(CC$49:CC$52,$B$55)</f>
        <v/>
      </c>
      <c r="CD58" s="86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2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2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2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2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7">
        <f>C5*$B$4</f>
        <v/>
      </c>
      <c r="D6" s="77">
        <f>D5*$B$4</f>
        <v/>
      </c>
      <c r="E6" s="77">
        <f>E5*$B$4</f>
        <v/>
      </c>
      <c r="F6" s="77">
        <f>F5*$B$4</f>
        <v/>
      </c>
      <c r="G6" s="77">
        <f>G5*$B$4</f>
        <v/>
      </c>
      <c r="H6" s="77">
        <f>H5*$B$4</f>
        <v/>
      </c>
      <c r="I6" s="77">
        <f>I5*$B$4</f>
        <v/>
      </c>
      <c r="J6" s="77">
        <f>J5*$B$4</f>
        <v/>
      </c>
      <c r="K6" s="77">
        <f>K5*$B$4</f>
        <v/>
      </c>
      <c r="L6" s="77">
        <f>L5*$B$4</f>
        <v/>
      </c>
      <c r="M6" s="77">
        <f>M5*$B$4</f>
        <v/>
      </c>
      <c r="N6" s="77">
        <f>N5*$B$4</f>
        <v/>
      </c>
      <c r="O6" s="77">
        <f>O5*$B$4</f>
        <v/>
      </c>
      <c r="P6" s="77">
        <f>P5*$B$4</f>
        <v/>
      </c>
      <c r="Q6" s="77">
        <f>Q5*$B$4</f>
        <v/>
      </c>
      <c r="R6" s="77">
        <f>R5*$B$4</f>
        <v/>
      </c>
      <c r="S6" s="77">
        <f>S5*$B$4</f>
        <v/>
      </c>
      <c r="T6" s="77">
        <f>T5*$B$4</f>
        <v/>
      </c>
      <c r="U6" s="77">
        <f>U5*$B$4</f>
        <v/>
      </c>
      <c r="V6" s="77">
        <f>V5*$B$4</f>
        <v/>
      </c>
      <c r="W6" s="77">
        <f>W5*$B$4</f>
        <v/>
      </c>
      <c r="X6" s="77">
        <f>X5*$B$4</f>
        <v/>
      </c>
      <c r="Y6" s="77">
        <f>Y5*$B$4</f>
        <v/>
      </c>
      <c r="Z6" s="77">
        <f>Z5*$B$4</f>
        <v/>
      </c>
    </row>
    <row r="7">
      <c r="A7" t="inlineStr">
        <is>
          <t>Cumulative Capex Draw ($)</t>
        </is>
      </c>
      <c r="C7" s="77">
        <f>C6</f>
        <v/>
      </c>
      <c r="D7" s="77">
        <f>C7+D6</f>
        <v/>
      </c>
      <c r="E7" s="77">
        <f>D7+E6</f>
        <v/>
      </c>
      <c r="F7" s="77">
        <f>E7+F6</f>
        <v/>
      </c>
      <c r="G7" s="77">
        <f>F7+G6</f>
        <v/>
      </c>
      <c r="H7" s="77">
        <f>G7+H6</f>
        <v/>
      </c>
      <c r="I7" s="77">
        <f>H7+I6</f>
        <v/>
      </c>
      <c r="J7" s="77">
        <f>I7+J6</f>
        <v/>
      </c>
      <c r="K7" s="77">
        <f>J7+K6</f>
        <v/>
      </c>
      <c r="L7" s="77">
        <f>K7+L6</f>
        <v/>
      </c>
      <c r="M7" s="77">
        <f>L7+M6</f>
        <v/>
      </c>
      <c r="N7" s="77">
        <f>M7+N6</f>
        <v/>
      </c>
      <c r="O7" s="77">
        <f>N7+O6</f>
        <v/>
      </c>
      <c r="P7" s="77">
        <f>O7+P6</f>
        <v/>
      </c>
      <c r="Q7" s="77">
        <f>P7+Q6</f>
        <v/>
      </c>
      <c r="R7" s="77">
        <f>Q7+R6</f>
        <v/>
      </c>
      <c r="S7" s="77">
        <f>R7+S6</f>
        <v/>
      </c>
      <c r="T7" s="77">
        <f>S7+T6</f>
        <v/>
      </c>
      <c r="U7" s="77">
        <f>T7+U6</f>
        <v/>
      </c>
      <c r="V7" s="77">
        <f>U7+V6</f>
        <v/>
      </c>
      <c r="W7" s="77">
        <f>V7+W6</f>
        <v/>
      </c>
      <c r="X7" s="77">
        <f>W7+X6</f>
        <v/>
      </c>
      <c r="Y7" s="77">
        <f>X7+Y6</f>
        <v/>
      </c>
      <c r="Z7" s="77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72">
        <f>Calc_Financing_Cons!C21</f>
        <v/>
      </c>
      <c r="D10" s="72">
        <f>Calc_Financing_Cons!D21</f>
        <v/>
      </c>
      <c r="E10" s="72">
        <f>Calc_Financing_Cons!E21</f>
        <v/>
      </c>
      <c r="F10" s="72">
        <f>Calc_Financing_Cons!F21</f>
        <v/>
      </c>
      <c r="G10" s="72">
        <f>Calc_Financing_Cons!G21</f>
        <v/>
      </c>
      <c r="H10" s="72">
        <f>Calc_Financing_Cons!H21</f>
        <v/>
      </c>
      <c r="I10" s="72">
        <f>Calc_Financing_Cons!I21</f>
        <v/>
      </c>
      <c r="J10" s="72">
        <f>Calc_Financing_Cons!J21</f>
        <v/>
      </c>
      <c r="K10" s="72">
        <f>Calc_Financing_Cons!K21</f>
        <v/>
      </c>
      <c r="L10" s="72">
        <f>Calc_Financing_Cons!L21</f>
        <v/>
      </c>
      <c r="M10" s="72">
        <f>Calc_Financing_Cons!M21</f>
        <v/>
      </c>
      <c r="N10" s="72">
        <f>Calc_Financing_Cons!N21</f>
        <v/>
      </c>
      <c r="O10" s="72">
        <f>Calc_Financing_Cons!O21</f>
        <v/>
      </c>
      <c r="P10" s="72">
        <f>Calc_Financing_Cons!P21</f>
        <v/>
      </c>
      <c r="Q10" s="72">
        <f>Calc_Financing_Cons!Q21</f>
        <v/>
      </c>
      <c r="R10" s="72">
        <f>Calc_Financing_Cons!R21</f>
        <v/>
      </c>
      <c r="S10" s="72">
        <f>Calc_Financing_Cons!S21</f>
        <v/>
      </c>
      <c r="T10" s="72">
        <f>Calc_Financing_Cons!T21</f>
        <v/>
      </c>
      <c r="U10" s="72">
        <f>Calc_Financing_Cons!U21</f>
        <v/>
      </c>
      <c r="V10" s="72">
        <f>Calc_Financing_Cons!V21</f>
        <v/>
      </c>
      <c r="W10" s="72">
        <f>Calc_Financing_Cons!W21</f>
        <v/>
      </c>
      <c r="X10" s="72">
        <f>Calc_Financing_Cons!X21</f>
        <v/>
      </c>
      <c r="Y10" s="72">
        <f>Calc_Financing_Cons!Y21</f>
        <v/>
      </c>
      <c r="Z10" s="72">
        <f>Calc_Financing_Cons!Z21</f>
        <v/>
      </c>
    </row>
    <row r="11">
      <c r="A11" t="inlineStr">
        <is>
          <t>Equity Draw ($) — linked from Calc_Financing_Cons</t>
        </is>
      </c>
      <c r="C11" s="72">
        <f>Calc_Financing_Cons!C22</f>
        <v/>
      </c>
      <c r="D11" s="72">
        <f>Calc_Financing_Cons!D22</f>
        <v/>
      </c>
      <c r="E11" s="72">
        <f>Calc_Financing_Cons!E22</f>
        <v/>
      </c>
      <c r="F11" s="72">
        <f>Calc_Financing_Cons!F22</f>
        <v/>
      </c>
      <c r="G11" s="72">
        <f>Calc_Financing_Cons!G22</f>
        <v/>
      </c>
      <c r="H11" s="72">
        <f>Calc_Financing_Cons!H22</f>
        <v/>
      </c>
      <c r="I11" s="72">
        <f>Calc_Financing_Cons!I22</f>
        <v/>
      </c>
      <c r="J11" s="72">
        <f>Calc_Financing_Cons!J22</f>
        <v/>
      </c>
      <c r="K11" s="72">
        <f>Calc_Financing_Cons!K22</f>
        <v/>
      </c>
      <c r="L11" s="72">
        <f>Calc_Financing_Cons!L22</f>
        <v/>
      </c>
      <c r="M11" s="72">
        <f>Calc_Financing_Cons!M22</f>
        <v/>
      </c>
      <c r="N11" s="72">
        <f>Calc_Financing_Cons!N22</f>
        <v/>
      </c>
      <c r="O11" s="72">
        <f>Calc_Financing_Cons!O22</f>
        <v/>
      </c>
      <c r="P11" s="72">
        <f>Calc_Financing_Cons!P22</f>
        <v/>
      </c>
      <c r="Q11" s="72">
        <f>Calc_Financing_Cons!Q22</f>
        <v/>
      </c>
      <c r="R11" s="72">
        <f>Calc_Financing_Cons!R22</f>
        <v/>
      </c>
      <c r="S11" s="72">
        <f>Calc_Financing_Cons!S22</f>
        <v/>
      </c>
      <c r="T11" s="72">
        <f>Calc_Financing_Cons!T22</f>
        <v/>
      </c>
      <c r="U11" s="72">
        <f>Calc_Financing_Cons!U22</f>
        <v/>
      </c>
      <c r="V11" s="72">
        <f>Calc_Financing_Cons!V22</f>
        <v/>
      </c>
      <c r="W11" s="72">
        <f>Calc_Financing_Cons!W22</f>
        <v/>
      </c>
      <c r="X11" s="72">
        <f>Calc_Financing_Cons!X22</f>
        <v/>
      </c>
      <c r="Y11" s="72">
        <f>Calc_Financing_Cons!Y22</f>
        <v/>
      </c>
      <c r="Z11" s="72">
        <f>Calc_Financing_Cons!Z22</f>
        <v/>
      </c>
    </row>
    <row r="12">
      <c r="A12" t="inlineStr">
        <is>
          <t>Cumulative Debt Draw ($) — linked from Calc_Financing_Cons</t>
        </is>
      </c>
      <c r="C12" s="72">
        <f>Calc_Financing_Cons!C23</f>
        <v/>
      </c>
      <c r="D12" s="72">
        <f>Calc_Financing_Cons!D23</f>
        <v/>
      </c>
      <c r="E12" s="72">
        <f>Calc_Financing_Cons!E23</f>
        <v/>
      </c>
      <c r="F12" s="72">
        <f>Calc_Financing_Cons!F23</f>
        <v/>
      </c>
      <c r="G12" s="72">
        <f>Calc_Financing_Cons!G23</f>
        <v/>
      </c>
      <c r="H12" s="72">
        <f>Calc_Financing_Cons!H23</f>
        <v/>
      </c>
      <c r="I12" s="72">
        <f>Calc_Financing_Cons!I23</f>
        <v/>
      </c>
      <c r="J12" s="72">
        <f>Calc_Financing_Cons!J23</f>
        <v/>
      </c>
      <c r="K12" s="72">
        <f>Calc_Financing_Cons!K23</f>
        <v/>
      </c>
      <c r="L12" s="72">
        <f>Calc_Financing_Cons!L23</f>
        <v/>
      </c>
      <c r="M12" s="72">
        <f>Calc_Financing_Cons!M23</f>
        <v/>
      </c>
      <c r="N12" s="72">
        <f>Calc_Financing_Cons!N23</f>
        <v/>
      </c>
      <c r="O12" s="72">
        <f>Calc_Financing_Cons!O23</f>
        <v/>
      </c>
      <c r="P12" s="72">
        <f>Calc_Financing_Cons!P23</f>
        <v/>
      </c>
      <c r="Q12" s="72">
        <f>Calc_Financing_Cons!Q23</f>
        <v/>
      </c>
      <c r="R12" s="72">
        <f>Calc_Financing_Cons!R23</f>
        <v/>
      </c>
      <c r="S12" s="72">
        <f>Calc_Financing_Cons!S23</f>
        <v/>
      </c>
      <c r="T12" s="72">
        <f>Calc_Financing_Cons!T23</f>
        <v/>
      </c>
      <c r="U12" s="72">
        <f>Calc_Financing_Cons!U23</f>
        <v/>
      </c>
      <c r="V12" s="72">
        <f>Calc_Financing_Cons!V23</f>
        <v/>
      </c>
      <c r="W12" s="72">
        <f>Calc_Financing_Cons!W23</f>
        <v/>
      </c>
      <c r="X12" s="72">
        <f>Calc_Financing_Cons!X23</f>
        <v/>
      </c>
      <c r="Y12" s="72">
        <f>Calc_Financing_Cons!Y23</f>
        <v/>
      </c>
      <c r="Z12" s="72">
        <f>Calc_Financing_Cons!Z23</f>
        <v/>
      </c>
    </row>
    <row r="13">
      <c r="A13" t="inlineStr">
        <is>
          <t>Cumulative Equity Draw ($) — linked from Calc_Financing_Cons</t>
        </is>
      </c>
      <c r="C13" s="72">
        <f>Calc_Financing_Cons!C24</f>
        <v/>
      </c>
      <c r="D13" s="72">
        <f>Calc_Financing_Cons!D24</f>
        <v/>
      </c>
      <c r="E13" s="72">
        <f>Calc_Financing_Cons!E24</f>
        <v/>
      </c>
      <c r="F13" s="72">
        <f>Calc_Financing_Cons!F24</f>
        <v/>
      </c>
      <c r="G13" s="72">
        <f>Calc_Financing_Cons!G24</f>
        <v/>
      </c>
      <c r="H13" s="72">
        <f>Calc_Financing_Cons!H24</f>
        <v/>
      </c>
      <c r="I13" s="72">
        <f>Calc_Financing_Cons!I24</f>
        <v/>
      </c>
      <c r="J13" s="72">
        <f>Calc_Financing_Cons!J24</f>
        <v/>
      </c>
      <c r="K13" s="72">
        <f>Calc_Financing_Cons!K24</f>
        <v/>
      </c>
      <c r="L13" s="72">
        <f>Calc_Financing_Cons!L24</f>
        <v/>
      </c>
      <c r="M13" s="72">
        <f>Calc_Financing_Cons!M24</f>
        <v/>
      </c>
      <c r="N13" s="72">
        <f>Calc_Financing_Cons!N24</f>
        <v/>
      </c>
      <c r="O13" s="72">
        <f>Calc_Financing_Cons!O24</f>
        <v/>
      </c>
      <c r="P13" s="72">
        <f>Calc_Financing_Cons!P24</f>
        <v/>
      </c>
      <c r="Q13" s="72">
        <f>Calc_Financing_Cons!Q24</f>
        <v/>
      </c>
      <c r="R13" s="72">
        <f>Calc_Financing_Cons!R24</f>
        <v/>
      </c>
      <c r="S13" s="72">
        <f>Calc_Financing_Cons!S24</f>
        <v/>
      </c>
      <c r="T13" s="72">
        <f>Calc_Financing_Cons!T24</f>
        <v/>
      </c>
      <c r="U13" s="72">
        <f>Calc_Financing_Cons!U24</f>
        <v/>
      </c>
      <c r="V13" s="72">
        <f>Calc_Financing_Cons!V24</f>
        <v/>
      </c>
      <c r="W13" s="72">
        <f>Calc_Financing_Cons!W24</f>
        <v/>
      </c>
      <c r="X13" s="72">
        <f>Calc_Financing_Cons!X24</f>
        <v/>
      </c>
      <c r="Y13" s="72">
        <f>Calc_Financing_Cons!Y24</f>
        <v/>
      </c>
      <c r="Z13" s="72">
        <f>Calc_Financing_Cons!Z24</f>
        <v/>
      </c>
    </row>
    <row r="15">
      <c r="A15" t="inlineStr">
        <is>
          <t>IDC ($, monthly) — solved via Loop 1, linked from Calc_Financing_Cons</t>
        </is>
      </c>
      <c r="C15" s="72">
        <f>Calc_Financing_Cons!C18</f>
        <v/>
      </c>
      <c r="D15" s="72">
        <f>Calc_Financing_Cons!D18</f>
        <v/>
      </c>
      <c r="E15" s="72">
        <f>Calc_Financing_Cons!E18</f>
        <v/>
      </c>
      <c r="F15" s="72">
        <f>Calc_Financing_Cons!F18</f>
        <v/>
      </c>
      <c r="G15" s="72">
        <f>Calc_Financing_Cons!G18</f>
        <v/>
      </c>
      <c r="H15" s="72">
        <f>Calc_Financing_Cons!H18</f>
        <v/>
      </c>
      <c r="I15" s="72">
        <f>Calc_Financing_Cons!I18</f>
        <v/>
      </c>
      <c r="J15" s="72">
        <f>Calc_Financing_Cons!J18</f>
        <v/>
      </c>
      <c r="K15" s="72">
        <f>Calc_Financing_Cons!K18</f>
        <v/>
      </c>
      <c r="L15" s="72">
        <f>Calc_Financing_Cons!L18</f>
        <v/>
      </c>
      <c r="M15" s="72">
        <f>Calc_Financing_Cons!M18</f>
        <v/>
      </c>
      <c r="N15" s="72">
        <f>Calc_Financing_Cons!N18</f>
        <v/>
      </c>
      <c r="O15" s="72">
        <f>Calc_Financing_Cons!O18</f>
        <v/>
      </c>
      <c r="P15" s="72">
        <f>Calc_Financing_Cons!P18</f>
        <v/>
      </c>
      <c r="Q15" s="72">
        <f>Calc_Financing_Cons!Q18</f>
        <v/>
      </c>
      <c r="R15" s="72">
        <f>Calc_Financing_Cons!R18</f>
        <v/>
      </c>
      <c r="S15" s="72">
        <f>Calc_Financing_Cons!S18</f>
        <v/>
      </c>
      <c r="T15" s="72">
        <f>Calc_Financing_Cons!T18</f>
        <v/>
      </c>
      <c r="U15" s="72">
        <f>Calc_Financing_Cons!U18</f>
        <v/>
      </c>
      <c r="V15" s="72">
        <f>Calc_Financing_Cons!V18</f>
        <v/>
      </c>
      <c r="W15" s="72">
        <f>Calc_Financing_Cons!W18</f>
        <v/>
      </c>
      <c r="X15" s="72">
        <f>Calc_Financing_Cons!X18</f>
        <v/>
      </c>
      <c r="Y15" s="72">
        <f>Calc_Financing_Cons!Y18</f>
        <v/>
      </c>
      <c r="Z15" s="72">
        <f>Calc_Financing_Cons!Z18</f>
        <v/>
      </c>
    </row>
    <row r="16">
      <c r="A16" t="inlineStr">
        <is>
          <t>Cumulative IDC ($)</t>
        </is>
      </c>
      <c r="C16" s="77">
        <f>C15</f>
        <v/>
      </c>
      <c r="D16" s="77">
        <f>C16+D15</f>
        <v/>
      </c>
      <c r="E16" s="77">
        <f>D16+E15</f>
        <v/>
      </c>
      <c r="F16" s="77">
        <f>E16+F15</f>
        <v/>
      </c>
      <c r="G16" s="77">
        <f>F16+G15</f>
        <v/>
      </c>
      <c r="H16" s="77">
        <f>G16+H15</f>
        <v/>
      </c>
      <c r="I16" s="77">
        <f>H16+I15</f>
        <v/>
      </c>
      <c r="J16" s="77">
        <f>I16+J15</f>
        <v/>
      </c>
      <c r="K16" s="77">
        <f>J16+K15</f>
        <v/>
      </c>
      <c r="L16" s="77">
        <f>K16+L15</f>
        <v/>
      </c>
      <c r="M16" s="77">
        <f>L16+M15</f>
        <v/>
      </c>
      <c r="N16" s="77">
        <f>M16+N15</f>
        <v/>
      </c>
      <c r="O16" s="77">
        <f>N16+O15</f>
        <v/>
      </c>
      <c r="P16" s="77">
        <f>O16+P15</f>
        <v/>
      </c>
      <c r="Q16" s="77">
        <f>P16+Q15</f>
        <v/>
      </c>
      <c r="R16" s="77">
        <f>Q16+R15</f>
        <v/>
      </c>
      <c r="S16" s="77">
        <f>R16+S15</f>
        <v/>
      </c>
      <c r="T16" s="77">
        <f>S16+T15</f>
        <v/>
      </c>
      <c r="U16" s="77">
        <f>T16+U15</f>
        <v/>
      </c>
      <c r="V16" s="77">
        <f>U16+V15</f>
        <v/>
      </c>
      <c r="W16" s="77">
        <f>V16+W15</f>
        <v/>
      </c>
      <c r="X16" s="77">
        <f>W16+X15</f>
        <v/>
      </c>
      <c r="Y16" s="77">
        <f>X16+Y15</f>
        <v/>
      </c>
      <c r="Z16" s="77">
        <f>Y16+Z15</f>
        <v/>
      </c>
    </row>
    <row r="17">
      <c r="A17" t="inlineStr">
        <is>
          <t>Total Project Cost (Cumulative) = Cum Capex + Cum IDC</t>
        </is>
      </c>
      <c r="C17" s="77">
        <f>C7+C16</f>
        <v/>
      </c>
      <c r="D17" s="77">
        <f>D7+D16</f>
        <v/>
      </c>
      <c r="E17" s="77">
        <f>E7+E16</f>
        <v/>
      </c>
      <c r="F17" s="77">
        <f>F7+F16</f>
        <v/>
      </c>
      <c r="G17" s="77">
        <f>G7+G16</f>
        <v/>
      </c>
      <c r="H17" s="77">
        <f>H7+H16</f>
        <v/>
      </c>
      <c r="I17" s="77">
        <f>I7+I16</f>
        <v/>
      </c>
      <c r="J17" s="77">
        <f>J7+J16</f>
        <v/>
      </c>
      <c r="K17" s="77">
        <f>K7+K16</f>
        <v/>
      </c>
      <c r="L17" s="77">
        <f>L7+L16</f>
        <v/>
      </c>
      <c r="M17" s="77">
        <f>M7+M16</f>
        <v/>
      </c>
      <c r="N17" s="77">
        <f>N7+N16</f>
        <v/>
      </c>
      <c r="O17" s="77">
        <f>O7+O16</f>
        <v/>
      </c>
      <c r="P17" s="77">
        <f>P7+P16</f>
        <v/>
      </c>
      <c r="Q17" s="77">
        <f>Q7+Q16</f>
        <v/>
      </c>
      <c r="R17" s="77">
        <f>R7+R16</f>
        <v/>
      </c>
      <c r="S17" s="77">
        <f>S7+S16</f>
        <v/>
      </c>
      <c r="T17" s="77">
        <f>T7+T16</f>
        <v/>
      </c>
      <c r="U17" s="77">
        <f>U7+U16</f>
        <v/>
      </c>
      <c r="V17" s="77">
        <f>V7+V16</f>
        <v/>
      </c>
      <c r="W17" s="77">
        <f>W7+W16</f>
        <v/>
      </c>
      <c r="X17" s="77">
        <f>X7+X16</f>
        <v/>
      </c>
      <c r="Y17" s="77">
        <f>Y7+Y16</f>
        <v/>
      </c>
      <c r="Z17" s="77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2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2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7" t="n">
        <v>0</v>
      </c>
    </row>
    <row r="7">
      <c r="A7" t="inlineStr">
        <is>
          <t>Total Project Cost ($) = Total Capex + Staged IDC</t>
        </is>
      </c>
      <c r="B7" s="77">
        <f>Assumptions_Model!$B$3+B6</f>
        <v/>
      </c>
    </row>
    <row r="8">
      <c r="A8" t="inlineStr">
        <is>
          <t>Debt Facility ($) — per Cover Debt Sizing Mode</t>
        </is>
      </c>
      <c r="B8" s="77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7">
        <f>B14-B8</f>
        <v/>
      </c>
    </row>
    <row r="10">
      <c r="A10" t="inlineStr">
        <is>
          <t>Calculated IDC ($) = SUM of monthly interest accrued</t>
        </is>
      </c>
      <c r="B10" s="88">
        <f>SUM(C18:Z18)</f>
        <v/>
      </c>
    </row>
    <row r="11">
      <c r="A11" t="inlineStr">
        <is>
          <t>Convergence Gap ($) = Calculated IDC - Staged IDC</t>
        </is>
      </c>
      <c r="B11" s="89">
        <f>B10-B6</f>
        <v/>
      </c>
    </row>
    <row r="12">
      <c r="A12" t="inlineStr">
        <is>
          <t>Initial DSRA Funded at Close ($) — zero when LC-backed or funded from ops</t>
        </is>
      </c>
      <c r="B12" s="72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2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8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2">
        <f>Calc_Capex!C6</f>
        <v/>
      </c>
      <c r="D16" s="72">
        <f>Calc_Capex!D6</f>
        <v/>
      </c>
      <c r="E16" s="72">
        <f>Calc_Capex!E6</f>
        <v/>
      </c>
      <c r="F16" s="72">
        <f>Calc_Capex!F6</f>
        <v/>
      </c>
      <c r="G16" s="72">
        <f>Calc_Capex!G6</f>
        <v/>
      </c>
      <c r="H16" s="72">
        <f>Calc_Capex!H6</f>
        <v/>
      </c>
      <c r="I16" s="72">
        <f>Calc_Capex!I6</f>
        <v/>
      </c>
      <c r="J16" s="72">
        <f>Calc_Capex!J6</f>
        <v/>
      </c>
      <c r="K16" s="72">
        <f>Calc_Capex!K6</f>
        <v/>
      </c>
      <c r="L16" s="72">
        <f>Calc_Capex!L6</f>
        <v/>
      </c>
      <c r="M16" s="72">
        <f>Calc_Capex!M6</f>
        <v/>
      </c>
      <c r="N16" s="72">
        <f>Calc_Capex!N6</f>
        <v/>
      </c>
      <c r="O16" s="72">
        <f>Calc_Capex!O6</f>
        <v/>
      </c>
      <c r="P16" s="72">
        <f>Calc_Capex!P6</f>
        <v/>
      </c>
      <c r="Q16" s="72">
        <f>Calc_Capex!Q6</f>
        <v/>
      </c>
      <c r="R16" s="72">
        <f>Calc_Capex!R6</f>
        <v/>
      </c>
      <c r="S16" s="72">
        <f>Calc_Capex!S6</f>
        <v/>
      </c>
      <c r="T16" s="72">
        <f>Calc_Capex!T6</f>
        <v/>
      </c>
      <c r="U16" s="72">
        <f>Calc_Capex!U6</f>
        <v/>
      </c>
      <c r="V16" s="72">
        <f>Calc_Capex!V6</f>
        <v/>
      </c>
      <c r="W16" s="72">
        <f>Calc_Capex!W6</f>
        <v/>
      </c>
      <c r="X16" s="72">
        <f>Calc_Capex!X6</f>
        <v/>
      </c>
      <c r="Y16" s="72">
        <f>Calc_Capex!Y6</f>
        <v/>
      </c>
      <c r="Z16" s="72">
        <f>Calc_Capex!Z6</f>
        <v/>
      </c>
    </row>
    <row r="17">
      <c r="A17" t="inlineStr">
        <is>
          <t>Opening Debt Balance ($)</t>
        </is>
      </c>
      <c r="C17" s="77">
        <f>0</f>
        <v/>
      </c>
      <c r="D17" s="77">
        <f>C25</f>
        <v/>
      </c>
      <c r="E17" s="77">
        <f>D25</f>
        <v/>
      </c>
      <c r="F17" s="77">
        <f>E25</f>
        <v/>
      </c>
      <c r="G17" s="77">
        <f>F25</f>
        <v/>
      </c>
      <c r="H17" s="77">
        <f>G25</f>
        <v/>
      </c>
      <c r="I17" s="77">
        <f>H25</f>
        <v/>
      </c>
      <c r="J17" s="77">
        <f>I25</f>
        <v/>
      </c>
      <c r="K17" s="77">
        <f>J25</f>
        <v/>
      </c>
      <c r="L17" s="77">
        <f>K25</f>
        <v/>
      </c>
      <c r="M17" s="77">
        <f>L25</f>
        <v/>
      </c>
      <c r="N17" s="77">
        <f>M25</f>
        <v/>
      </c>
      <c r="O17" s="77">
        <f>N25</f>
        <v/>
      </c>
      <c r="P17" s="77">
        <f>O25</f>
        <v/>
      </c>
      <c r="Q17" s="77">
        <f>P25</f>
        <v/>
      </c>
      <c r="R17" s="77">
        <f>Q25</f>
        <v/>
      </c>
      <c r="S17" s="77">
        <f>R25</f>
        <v/>
      </c>
      <c r="T17" s="77">
        <f>S25</f>
        <v/>
      </c>
      <c r="U17" s="77">
        <f>T25</f>
        <v/>
      </c>
      <c r="V17" s="77">
        <f>U25</f>
        <v/>
      </c>
      <c r="W17" s="77">
        <f>V25</f>
        <v/>
      </c>
      <c r="X17" s="77">
        <f>W25</f>
        <v/>
      </c>
      <c r="Y17" s="77">
        <f>X25</f>
        <v/>
      </c>
      <c r="Z17" s="77">
        <f>Y25</f>
        <v/>
      </c>
    </row>
    <row r="18">
      <c r="A18" t="inlineStr">
        <is>
          <t>Interest Accrued / IDC ($)</t>
        </is>
      </c>
      <c r="C18" s="77">
        <f>C17*$B$4/12</f>
        <v/>
      </c>
      <c r="D18" s="77">
        <f>D17*$B$4/12</f>
        <v/>
      </c>
      <c r="E18" s="77">
        <f>E17*$B$4/12</f>
        <v/>
      </c>
      <c r="F18" s="77">
        <f>F17*$B$4/12</f>
        <v/>
      </c>
      <c r="G18" s="77">
        <f>G17*$B$4/12</f>
        <v/>
      </c>
      <c r="H18" s="77">
        <f>H17*$B$4/12</f>
        <v/>
      </c>
      <c r="I18" s="77">
        <f>I17*$B$4/12</f>
        <v/>
      </c>
      <c r="J18" s="77">
        <f>J17*$B$4/12</f>
        <v/>
      </c>
      <c r="K18" s="77">
        <f>K17*$B$4/12</f>
        <v/>
      </c>
      <c r="L18" s="77">
        <f>L17*$B$4/12</f>
        <v/>
      </c>
      <c r="M18" s="77">
        <f>M17*$B$4/12</f>
        <v/>
      </c>
      <c r="N18" s="77">
        <f>N17*$B$4/12</f>
        <v/>
      </c>
      <c r="O18" s="77">
        <f>O17*$B$4/12</f>
        <v/>
      </c>
      <c r="P18" s="77">
        <f>P17*$B$4/12</f>
        <v/>
      </c>
      <c r="Q18" s="77">
        <f>Q17*$B$4/12</f>
        <v/>
      </c>
      <c r="R18" s="77">
        <f>R17*$B$4/12</f>
        <v/>
      </c>
      <c r="S18" s="77">
        <f>S17*$B$4/12</f>
        <v/>
      </c>
      <c r="T18" s="77">
        <f>T17*$B$4/12</f>
        <v/>
      </c>
      <c r="U18" s="77">
        <f>U17*$B$4/12</f>
        <v/>
      </c>
      <c r="V18" s="77">
        <f>V17*$B$4/12</f>
        <v/>
      </c>
      <c r="W18" s="77">
        <f>W17*$B$4/12</f>
        <v/>
      </c>
      <c r="X18" s="77">
        <f>X17*$B$4/12</f>
        <v/>
      </c>
      <c r="Y18" s="77">
        <f>Y17*$B$4/12</f>
        <v/>
      </c>
      <c r="Z18" s="77">
        <f>Z17*$B$4/12</f>
        <v/>
      </c>
    </row>
    <row r="19">
      <c r="A19" t="inlineStr">
        <is>
          <t>Funding Requirement ($) = Capex Draw + Interest</t>
        </is>
      </c>
      <c r="C19" s="77">
        <f>C16+C18</f>
        <v/>
      </c>
      <c r="D19" s="77">
        <f>D16+D18</f>
        <v/>
      </c>
      <c r="E19" s="77">
        <f>E16+E18</f>
        <v/>
      </c>
      <c r="F19" s="77">
        <f>F16+F18</f>
        <v/>
      </c>
      <c r="G19" s="77">
        <f>G16+G18</f>
        <v/>
      </c>
      <c r="H19" s="77">
        <f>H16+H18</f>
        <v/>
      </c>
      <c r="I19" s="77">
        <f>I16+I18</f>
        <v/>
      </c>
      <c r="J19" s="77">
        <f>J16+J18</f>
        <v/>
      </c>
      <c r="K19" s="77">
        <f>K16+K18</f>
        <v/>
      </c>
      <c r="L19" s="77">
        <f>L16+L18</f>
        <v/>
      </c>
      <c r="M19" s="77">
        <f>M16+M18</f>
        <v/>
      </c>
      <c r="N19" s="77">
        <f>N16+N18</f>
        <v/>
      </c>
      <c r="O19" s="77">
        <f>O16+O18</f>
        <v/>
      </c>
      <c r="P19" s="77">
        <f>P16+P18</f>
        <v/>
      </c>
      <c r="Q19" s="77">
        <f>Q16+Q18</f>
        <v/>
      </c>
      <c r="R19" s="77">
        <f>R16+R18</f>
        <v/>
      </c>
      <c r="S19" s="77">
        <f>S16+S18</f>
        <v/>
      </c>
      <c r="T19" s="77">
        <f>T16+T18</f>
        <v/>
      </c>
      <c r="U19" s="77">
        <f>U16+U18</f>
        <v/>
      </c>
      <c r="V19" s="77">
        <f>V16+V18</f>
        <v/>
      </c>
      <c r="W19" s="77">
        <f>W16+W18</f>
        <v/>
      </c>
      <c r="X19" s="77">
        <f>X16+X18</f>
        <v/>
      </c>
      <c r="Y19" s="77">
        <f>Y16+Y18</f>
        <v/>
      </c>
      <c r="Z19" s="77">
        <f>Z16+Z18+B12+B13</f>
        <v/>
      </c>
    </row>
    <row r="20">
      <c r="A20" t="inlineStr">
        <is>
          <t>Cumulative Funding Requirement ($)</t>
        </is>
      </c>
      <c r="C20" s="77">
        <f>C19</f>
        <v/>
      </c>
      <c r="D20" s="77">
        <f>C20+D19</f>
        <v/>
      </c>
      <c r="E20" s="77">
        <f>D20+E19</f>
        <v/>
      </c>
      <c r="F20" s="77">
        <f>E20+F19</f>
        <v/>
      </c>
      <c r="G20" s="77">
        <f>F20+G19</f>
        <v/>
      </c>
      <c r="H20" s="77">
        <f>G20+H19</f>
        <v/>
      </c>
      <c r="I20" s="77">
        <f>H20+I19</f>
        <v/>
      </c>
      <c r="J20" s="77">
        <f>I20+J19</f>
        <v/>
      </c>
      <c r="K20" s="77">
        <f>J20+K19</f>
        <v/>
      </c>
      <c r="L20" s="77">
        <f>K20+L19</f>
        <v/>
      </c>
      <c r="M20" s="77">
        <f>L20+M19</f>
        <v/>
      </c>
      <c r="N20" s="77">
        <f>M20+N19</f>
        <v/>
      </c>
      <c r="O20" s="77">
        <f>N20+O19</f>
        <v/>
      </c>
      <c r="P20" s="77">
        <f>O20+P19</f>
        <v/>
      </c>
      <c r="Q20" s="77">
        <f>P20+Q19</f>
        <v/>
      </c>
      <c r="R20" s="77">
        <f>Q20+R19</f>
        <v/>
      </c>
      <c r="S20" s="77">
        <f>R20+S19</f>
        <v/>
      </c>
      <c r="T20" s="77">
        <f>S20+T19</f>
        <v/>
      </c>
      <c r="U20" s="77">
        <f>T20+U19</f>
        <v/>
      </c>
      <c r="V20" s="77">
        <f>U20+V19</f>
        <v/>
      </c>
      <c r="W20" s="77">
        <f>V20+W19</f>
        <v/>
      </c>
      <c r="X20" s="77">
        <f>W20+X19</f>
        <v/>
      </c>
      <c r="Y20" s="77">
        <f>X20+Y19</f>
        <v/>
      </c>
      <c r="Z20" s="77">
        <f>Y20+Z19</f>
        <v/>
      </c>
    </row>
    <row r="21">
      <c r="A21" t="inlineStr">
        <is>
          <t>Debt Draw ($) — per Drawdown Method</t>
        </is>
      </c>
      <c r="C21" s="77">
        <f>IF($B$3="Debt First",MIN(C20,$B$8)-0,IF($B$3="Equity First",C19-(MIN(C20,$B$9)-0),C19*IFERROR($B$8/B14,0)))</f>
        <v/>
      </c>
      <c r="D21" s="77">
        <f>IF($B$3="Debt First",MIN(D20,$B$8)-MIN(C20,$B$8),IF($B$3="Equity First",D19-(MIN(D20,$B$9)-MIN(C20,$B$9)),D19*IFERROR($B$8/B14,0)))</f>
        <v/>
      </c>
      <c r="E21" s="77">
        <f>IF($B$3="Debt First",MIN(E20,$B$8)-MIN(D20,$B$8),IF($B$3="Equity First",E19-(MIN(E20,$B$9)-MIN(D20,$B$9)),E19*IFERROR($B$8/B14,0)))</f>
        <v/>
      </c>
      <c r="F21" s="77">
        <f>IF($B$3="Debt First",MIN(F20,$B$8)-MIN(E20,$B$8),IF($B$3="Equity First",F19-(MIN(F20,$B$9)-MIN(E20,$B$9)),F19*IFERROR($B$8/B14,0)))</f>
        <v/>
      </c>
      <c r="G21" s="77">
        <f>IF($B$3="Debt First",MIN(G20,$B$8)-MIN(F20,$B$8),IF($B$3="Equity First",G19-(MIN(G20,$B$9)-MIN(F20,$B$9)),G19*IFERROR($B$8/B14,0)))</f>
        <v/>
      </c>
      <c r="H21" s="77">
        <f>IF($B$3="Debt First",MIN(H20,$B$8)-MIN(G20,$B$8),IF($B$3="Equity First",H19-(MIN(H20,$B$9)-MIN(G20,$B$9)),H19*IFERROR($B$8/B14,0)))</f>
        <v/>
      </c>
      <c r="I21" s="77">
        <f>IF($B$3="Debt First",MIN(I20,$B$8)-MIN(H20,$B$8),IF($B$3="Equity First",I19-(MIN(I20,$B$9)-MIN(H20,$B$9)),I19*IFERROR($B$8/B14,0)))</f>
        <v/>
      </c>
      <c r="J21" s="77">
        <f>IF($B$3="Debt First",MIN(J20,$B$8)-MIN(I20,$B$8),IF($B$3="Equity First",J19-(MIN(J20,$B$9)-MIN(I20,$B$9)),J19*IFERROR($B$8/B14,0)))</f>
        <v/>
      </c>
      <c r="K21" s="77">
        <f>IF($B$3="Debt First",MIN(K20,$B$8)-MIN(J20,$B$8),IF($B$3="Equity First",K19-(MIN(K20,$B$9)-MIN(J20,$B$9)),K19*IFERROR($B$8/B14,0)))</f>
        <v/>
      </c>
      <c r="L21" s="77">
        <f>IF($B$3="Debt First",MIN(L20,$B$8)-MIN(K20,$B$8),IF($B$3="Equity First",L19-(MIN(L20,$B$9)-MIN(K20,$B$9)),L19*IFERROR($B$8/B14,0)))</f>
        <v/>
      </c>
      <c r="M21" s="77">
        <f>IF($B$3="Debt First",MIN(M20,$B$8)-MIN(L20,$B$8),IF($B$3="Equity First",M19-(MIN(M20,$B$9)-MIN(L20,$B$9)),M19*IFERROR($B$8/B14,0)))</f>
        <v/>
      </c>
      <c r="N21" s="77">
        <f>IF($B$3="Debt First",MIN(N20,$B$8)-MIN(M20,$B$8),IF($B$3="Equity First",N19-(MIN(N20,$B$9)-MIN(M20,$B$9)),N19*IFERROR($B$8/B14,0)))</f>
        <v/>
      </c>
      <c r="O21" s="77">
        <f>IF($B$3="Debt First",MIN(O20,$B$8)-MIN(N20,$B$8),IF($B$3="Equity First",O19-(MIN(O20,$B$9)-MIN(N20,$B$9)),O19*IFERROR($B$8/B14,0)))</f>
        <v/>
      </c>
      <c r="P21" s="77">
        <f>IF($B$3="Debt First",MIN(P20,$B$8)-MIN(O20,$B$8),IF($B$3="Equity First",P19-(MIN(P20,$B$9)-MIN(O20,$B$9)),P19*IFERROR($B$8/B14,0)))</f>
        <v/>
      </c>
      <c r="Q21" s="77">
        <f>IF($B$3="Debt First",MIN(Q20,$B$8)-MIN(P20,$B$8),IF($B$3="Equity First",Q19-(MIN(Q20,$B$9)-MIN(P20,$B$9)),Q19*IFERROR($B$8/B14,0)))</f>
        <v/>
      </c>
      <c r="R21" s="77">
        <f>IF($B$3="Debt First",MIN(R20,$B$8)-MIN(Q20,$B$8),IF($B$3="Equity First",R19-(MIN(R20,$B$9)-MIN(Q20,$B$9)),R19*IFERROR($B$8/B14,0)))</f>
        <v/>
      </c>
      <c r="S21" s="77">
        <f>IF($B$3="Debt First",MIN(S20,$B$8)-MIN(R20,$B$8),IF($B$3="Equity First",S19-(MIN(S20,$B$9)-MIN(R20,$B$9)),S19*IFERROR($B$8/B14,0)))</f>
        <v/>
      </c>
      <c r="T21" s="77">
        <f>IF($B$3="Debt First",MIN(T20,$B$8)-MIN(S20,$B$8),IF($B$3="Equity First",T19-(MIN(T20,$B$9)-MIN(S20,$B$9)),T19*IFERROR($B$8/B14,0)))</f>
        <v/>
      </c>
      <c r="U21" s="77">
        <f>IF($B$3="Debt First",MIN(U20,$B$8)-MIN(T20,$B$8),IF($B$3="Equity First",U19-(MIN(U20,$B$9)-MIN(T20,$B$9)),U19*IFERROR($B$8/B14,0)))</f>
        <v/>
      </c>
      <c r="V21" s="77">
        <f>IF($B$3="Debt First",MIN(V20,$B$8)-MIN(U20,$B$8),IF($B$3="Equity First",V19-(MIN(V20,$B$9)-MIN(U20,$B$9)),V19*IFERROR($B$8/B14,0)))</f>
        <v/>
      </c>
      <c r="W21" s="77">
        <f>IF($B$3="Debt First",MIN(W20,$B$8)-MIN(V20,$B$8),IF($B$3="Equity First",W19-(MIN(W20,$B$9)-MIN(V20,$B$9)),W19*IFERROR($B$8/B14,0)))</f>
        <v/>
      </c>
      <c r="X21" s="77">
        <f>IF($B$3="Debt First",MIN(X20,$B$8)-MIN(W20,$B$8),IF($B$3="Equity First",X19-(MIN(X20,$B$9)-MIN(W20,$B$9)),X19*IFERROR($B$8/B14,0)))</f>
        <v/>
      </c>
      <c r="Y21" s="77">
        <f>IF($B$3="Debt First",MIN(Y20,$B$8)-MIN(X20,$B$8),IF($B$3="Equity First",Y19-(MIN(Y20,$B$9)-MIN(X20,$B$9)),Y19*IFERROR($B$8/B14,0)))</f>
        <v/>
      </c>
      <c r="Z21" s="77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7">
        <f>C19-C21</f>
        <v/>
      </c>
      <c r="D22" s="77">
        <f>D19-D21</f>
        <v/>
      </c>
      <c r="E22" s="77">
        <f>E19-E21</f>
        <v/>
      </c>
      <c r="F22" s="77">
        <f>F19-F21</f>
        <v/>
      </c>
      <c r="G22" s="77">
        <f>G19-G21</f>
        <v/>
      </c>
      <c r="H22" s="77">
        <f>H19-H21</f>
        <v/>
      </c>
      <c r="I22" s="77">
        <f>I19-I21</f>
        <v/>
      </c>
      <c r="J22" s="77">
        <f>J19-J21</f>
        <v/>
      </c>
      <c r="K22" s="77">
        <f>K19-K21</f>
        <v/>
      </c>
      <c r="L22" s="77">
        <f>L19-L21</f>
        <v/>
      </c>
      <c r="M22" s="77">
        <f>M19-M21</f>
        <v/>
      </c>
      <c r="N22" s="77">
        <f>N19-N21</f>
        <v/>
      </c>
      <c r="O22" s="77">
        <f>O19-O21</f>
        <v/>
      </c>
      <c r="P22" s="77">
        <f>P19-P21</f>
        <v/>
      </c>
      <c r="Q22" s="77">
        <f>Q19-Q21</f>
        <v/>
      </c>
      <c r="R22" s="77">
        <f>R19-R21</f>
        <v/>
      </c>
      <c r="S22" s="77">
        <f>S19-S21</f>
        <v/>
      </c>
      <c r="T22" s="77">
        <f>T19-T21</f>
        <v/>
      </c>
      <c r="U22" s="77">
        <f>U19-U21</f>
        <v/>
      </c>
      <c r="V22" s="77">
        <f>V19-V21</f>
        <v/>
      </c>
      <c r="W22" s="77">
        <f>W19-W21</f>
        <v/>
      </c>
      <c r="X22" s="77">
        <f>X19-X21</f>
        <v/>
      </c>
      <c r="Y22" s="77">
        <f>Y19-Y21</f>
        <v/>
      </c>
      <c r="Z22" s="77">
        <f>Z19-Z21</f>
        <v/>
      </c>
    </row>
    <row r="23">
      <c r="A23" t="inlineStr">
        <is>
          <t>Cumulative Debt Draw ($)</t>
        </is>
      </c>
      <c r="C23" s="77">
        <f>C21</f>
        <v/>
      </c>
      <c r="D23" s="77">
        <f>C23+D21</f>
        <v/>
      </c>
      <c r="E23" s="77">
        <f>D23+E21</f>
        <v/>
      </c>
      <c r="F23" s="77">
        <f>E23+F21</f>
        <v/>
      </c>
      <c r="G23" s="77">
        <f>F23+G21</f>
        <v/>
      </c>
      <c r="H23" s="77">
        <f>G23+H21</f>
        <v/>
      </c>
      <c r="I23" s="77">
        <f>H23+I21</f>
        <v/>
      </c>
      <c r="J23" s="77">
        <f>I23+J21</f>
        <v/>
      </c>
      <c r="K23" s="77">
        <f>J23+K21</f>
        <v/>
      </c>
      <c r="L23" s="77">
        <f>K23+L21</f>
        <v/>
      </c>
      <c r="M23" s="77">
        <f>L23+M21</f>
        <v/>
      </c>
      <c r="N23" s="77">
        <f>M23+N21</f>
        <v/>
      </c>
      <c r="O23" s="77">
        <f>N23+O21</f>
        <v/>
      </c>
      <c r="P23" s="77">
        <f>O23+P21</f>
        <v/>
      </c>
      <c r="Q23" s="77">
        <f>P23+Q21</f>
        <v/>
      </c>
      <c r="R23" s="77">
        <f>Q23+R21</f>
        <v/>
      </c>
      <c r="S23" s="77">
        <f>R23+S21</f>
        <v/>
      </c>
      <c r="T23" s="77">
        <f>S23+T21</f>
        <v/>
      </c>
      <c r="U23" s="77">
        <f>T23+U21</f>
        <v/>
      </c>
      <c r="V23" s="77">
        <f>U23+V21</f>
        <v/>
      </c>
      <c r="W23" s="77">
        <f>V23+W21</f>
        <v/>
      </c>
      <c r="X23" s="77">
        <f>W23+X21</f>
        <v/>
      </c>
      <c r="Y23" s="77">
        <f>X23+Y21</f>
        <v/>
      </c>
      <c r="Z23" s="77">
        <f>Y23+Z21</f>
        <v/>
      </c>
    </row>
    <row r="24">
      <c r="A24" t="inlineStr">
        <is>
          <t>Cumulative Equity Draw ($)</t>
        </is>
      </c>
      <c r="C24" s="77">
        <f>C22</f>
        <v/>
      </c>
      <c r="D24" s="77">
        <f>C24+D22</f>
        <v/>
      </c>
      <c r="E24" s="77">
        <f>D24+E22</f>
        <v/>
      </c>
      <c r="F24" s="77">
        <f>E24+F22</f>
        <v/>
      </c>
      <c r="G24" s="77">
        <f>F24+G22</f>
        <v/>
      </c>
      <c r="H24" s="77">
        <f>G24+H22</f>
        <v/>
      </c>
      <c r="I24" s="77">
        <f>H24+I22</f>
        <v/>
      </c>
      <c r="J24" s="77">
        <f>I24+J22</f>
        <v/>
      </c>
      <c r="K24" s="77">
        <f>J24+K22</f>
        <v/>
      </c>
      <c r="L24" s="77">
        <f>K24+L22</f>
        <v/>
      </c>
      <c r="M24" s="77">
        <f>L24+M22</f>
        <v/>
      </c>
      <c r="N24" s="77">
        <f>M24+N22</f>
        <v/>
      </c>
      <c r="O24" s="77">
        <f>N24+O22</f>
        <v/>
      </c>
      <c r="P24" s="77">
        <f>O24+P22</f>
        <v/>
      </c>
      <c r="Q24" s="77">
        <f>P24+Q22</f>
        <v/>
      </c>
      <c r="R24" s="77">
        <f>Q24+R22</f>
        <v/>
      </c>
      <c r="S24" s="77">
        <f>R24+S22</f>
        <v/>
      </c>
      <c r="T24" s="77">
        <f>S24+T22</f>
        <v/>
      </c>
      <c r="U24" s="77">
        <f>T24+U22</f>
        <v/>
      </c>
      <c r="V24" s="77">
        <f>U24+V22</f>
        <v/>
      </c>
      <c r="W24" s="77">
        <f>V24+W22</f>
        <v/>
      </c>
      <c r="X24" s="77">
        <f>W24+X22</f>
        <v/>
      </c>
      <c r="Y24" s="77">
        <f>X24+Y22</f>
        <v/>
      </c>
      <c r="Z24" s="77">
        <f>Y24+Z22</f>
        <v/>
      </c>
    </row>
    <row r="25">
      <c r="A25" t="inlineStr">
        <is>
          <t>Closing Debt Balance ($)</t>
        </is>
      </c>
      <c r="C25" s="77">
        <f>C17+C21</f>
        <v/>
      </c>
      <c r="D25" s="77">
        <f>D17+D21</f>
        <v/>
      </c>
      <c r="E25" s="77">
        <f>E17+E21</f>
        <v/>
      </c>
      <c r="F25" s="77">
        <f>F17+F21</f>
        <v/>
      </c>
      <c r="G25" s="77">
        <f>G17+G21</f>
        <v/>
      </c>
      <c r="H25" s="77">
        <f>H17+H21</f>
        <v/>
      </c>
      <c r="I25" s="77">
        <f>I17+I21</f>
        <v/>
      </c>
      <c r="J25" s="77">
        <f>J17+J21</f>
        <v/>
      </c>
      <c r="K25" s="77">
        <f>K17+K21</f>
        <v/>
      </c>
      <c r="L25" s="77">
        <f>L17+L21</f>
        <v/>
      </c>
      <c r="M25" s="77">
        <f>M17+M21</f>
        <v/>
      </c>
      <c r="N25" s="77">
        <f>N17+N21</f>
        <v/>
      </c>
      <c r="O25" s="77">
        <f>O17+O21</f>
        <v/>
      </c>
      <c r="P25" s="77">
        <f>P17+P21</f>
        <v/>
      </c>
      <c r="Q25" s="77">
        <f>Q17+Q21</f>
        <v/>
      </c>
      <c r="R25" s="77">
        <f>R17+R21</f>
        <v/>
      </c>
      <c r="S25" s="77">
        <f>S17+S21</f>
        <v/>
      </c>
      <c r="T25" s="77">
        <f>T17+T21</f>
        <v/>
      </c>
      <c r="U25" s="77">
        <f>U17+U21</f>
        <v/>
      </c>
      <c r="V25" s="77">
        <f>V17+V21</f>
        <v/>
      </c>
      <c r="W25" s="77">
        <f>W17+W21</f>
        <v/>
      </c>
      <c r="X25" s="77">
        <f>X17+X21</f>
        <v/>
      </c>
      <c r="Y25" s="77">
        <f>Y17+Y21</f>
        <v/>
      </c>
      <c r="Z25" s="77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2">
        <f>IF(ROUND(Z25-Z23,2)=0,1,0)</f>
        <v/>
      </c>
    </row>
    <row r="30">
      <c r="A30" t="inlineStr">
        <is>
          <t>Check: IDC Converged (|gap| &lt;= Cover tolerance)</t>
        </is>
      </c>
      <c r="Z30" s="82">
        <f>IF(ABS(B11)&lt;=Cover!$B$4,1,0)</f>
        <v/>
      </c>
    </row>
    <row r="31">
      <c r="A31" t="inlineStr">
        <is>
          <t>Check: Cum Debt + Cum Equity = Cum Funding Requirement</t>
        </is>
      </c>
      <c r="Z31" s="82">
        <f>IF(ROUND(Z23+Z24-Z20,2)=0,1,0)</f>
        <v/>
      </c>
    </row>
    <row r="32">
      <c r="A32" t="inlineStr">
        <is>
          <t>Check: Cumulative Debt Draw &lt;= Debt Facility</t>
        </is>
      </c>
      <c r="Z32" s="82">
        <f>IF(Z23&lt;=$B$8+Cover!$B$4,1,0)</f>
        <v/>
      </c>
    </row>
    <row r="33">
      <c r="A33" t="inlineStr">
        <is>
          <t>Check: Cumulative Debt Draw = Debt Facility (draws honour the solve)</t>
        </is>
      </c>
      <c r="Z33" s="82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2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7">
        <f>$B$4/4*C5*C6</f>
        <v/>
      </c>
      <c r="D10" s="77">
        <f>$B$4/4*D5*D6</f>
        <v/>
      </c>
      <c r="E10" s="77">
        <f>$B$4/4*E5*E6</f>
        <v/>
      </c>
      <c r="F10" s="77">
        <f>$B$4/4*F5*F6</f>
        <v/>
      </c>
      <c r="G10" s="77">
        <f>$B$4/4*G5*G6</f>
        <v/>
      </c>
      <c r="H10" s="77">
        <f>$B$4/4*H5*H6</f>
        <v/>
      </c>
      <c r="I10" s="77">
        <f>$B$4/4*I5*I6</f>
        <v/>
      </c>
      <c r="J10" s="77">
        <f>$B$4/4*J5*J6</f>
        <v/>
      </c>
      <c r="K10" s="77">
        <f>$B$4/4*K5*K6</f>
        <v/>
      </c>
      <c r="L10" s="77">
        <f>$B$4/4*L5*L6</f>
        <v/>
      </c>
      <c r="M10" s="77">
        <f>$B$4/4*M5*M6</f>
        <v/>
      </c>
      <c r="N10" s="77">
        <f>$B$4/4*N5*N6</f>
        <v/>
      </c>
      <c r="O10" s="77">
        <f>$B$4/4*O5*O6</f>
        <v/>
      </c>
      <c r="P10" s="77">
        <f>$B$4/4*P5*P6</f>
        <v/>
      </c>
      <c r="Q10" s="77">
        <f>$B$4/4*Q5*Q6</f>
        <v/>
      </c>
      <c r="R10" s="77">
        <f>$B$4/4*R5*R6</f>
        <v/>
      </c>
      <c r="S10" s="77">
        <f>$B$4/4*S5*S6</f>
        <v/>
      </c>
      <c r="T10" s="77">
        <f>$B$4/4*T5*T6</f>
        <v/>
      </c>
      <c r="U10" s="77">
        <f>$B$4/4*U5*U6</f>
        <v/>
      </c>
      <c r="V10" s="77">
        <f>$B$4/4*V5*V6</f>
        <v/>
      </c>
      <c r="W10" s="77">
        <f>$B$4/4*W5*W6</f>
        <v/>
      </c>
      <c r="X10" s="77">
        <f>$B$4/4*X5*X6</f>
        <v/>
      </c>
      <c r="Y10" s="77">
        <f>$B$4/4*Y5*Y6</f>
        <v/>
      </c>
      <c r="Z10" s="77">
        <f>$B$4/4*Z5*Z6</f>
        <v/>
      </c>
      <c r="AA10" s="77">
        <f>$B$4/4*AA5*AA6</f>
        <v/>
      </c>
      <c r="AB10" s="77">
        <f>$B$4/4*AB5*AB6</f>
        <v/>
      </c>
      <c r="AC10" s="77">
        <f>$B$4/4*AC5*AC6</f>
        <v/>
      </c>
      <c r="AD10" s="77">
        <f>$B$4/4*AD5*AD6</f>
        <v/>
      </c>
      <c r="AE10" s="77">
        <f>$B$4/4*AE5*AE6</f>
        <v/>
      </c>
      <c r="AF10" s="77">
        <f>$B$4/4*AF5*AF6</f>
        <v/>
      </c>
      <c r="AG10" s="77">
        <f>$B$4/4*AG5*AG6</f>
        <v/>
      </c>
      <c r="AH10" s="77">
        <f>$B$4/4*AH5*AH6</f>
        <v/>
      </c>
      <c r="AI10" s="77">
        <f>$B$4/4*AI5*AI6</f>
        <v/>
      </c>
      <c r="AJ10" s="77">
        <f>$B$4/4*AJ5*AJ6</f>
        <v/>
      </c>
      <c r="AK10" s="77">
        <f>$B$4/4*AK5*AK6</f>
        <v/>
      </c>
      <c r="AL10" s="77">
        <f>$B$4/4*AL5*AL6</f>
        <v/>
      </c>
      <c r="AM10" s="77">
        <f>$B$4/4*AM5*AM6</f>
        <v/>
      </c>
      <c r="AN10" s="77">
        <f>$B$4/4*AN5*AN6</f>
        <v/>
      </c>
      <c r="AO10" s="77">
        <f>$B$4/4*AO5*AO6</f>
        <v/>
      </c>
      <c r="AP10" s="77">
        <f>$B$4/4*AP5*AP6</f>
        <v/>
      </c>
      <c r="AQ10" s="77">
        <f>$B$4/4*AQ5*AQ6</f>
        <v/>
      </c>
      <c r="AR10" s="77">
        <f>$B$4/4*AR5*AR6</f>
        <v/>
      </c>
      <c r="AS10" s="77">
        <f>$B$4/4*AS5*AS6</f>
        <v/>
      </c>
      <c r="AT10" s="77">
        <f>$B$4/4*AT5*AT6</f>
        <v/>
      </c>
      <c r="AU10" s="77">
        <f>$B$4/4*AU5*AU6</f>
        <v/>
      </c>
      <c r="AV10" s="77">
        <f>$B$4/4*AV5*AV6</f>
        <v/>
      </c>
      <c r="AW10" s="77">
        <f>$B$4/4*AW5*AW6</f>
        <v/>
      </c>
      <c r="AX10" s="77">
        <f>$B$4/4*AX5*AX6</f>
        <v/>
      </c>
      <c r="AY10" s="77">
        <f>$B$4/4*AY5*AY6</f>
        <v/>
      </c>
      <c r="AZ10" s="77">
        <f>$B$4/4*AZ5*AZ6</f>
        <v/>
      </c>
      <c r="BA10" s="77">
        <f>$B$4/4*BA5*BA6</f>
        <v/>
      </c>
      <c r="BB10" s="77">
        <f>$B$4/4*BB5*BB6</f>
        <v/>
      </c>
      <c r="BC10" s="77">
        <f>$B$4/4*BC5*BC6</f>
        <v/>
      </c>
      <c r="BD10" s="77">
        <f>$B$4/4*BD5*BD6</f>
        <v/>
      </c>
      <c r="BE10" s="77">
        <f>$B$4/4*BE5*BE6</f>
        <v/>
      </c>
      <c r="BF10" s="77">
        <f>$B$4/4*BF5*BF6</f>
        <v/>
      </c>
      <c r="BG10" s="77">
        <f>$B$4/4*BG5*BG6</f>
        <v/>
      </c>
      <c r="BH10" s="77">
        <f>$B$4/4*BH5*BH6</f>
        <v/>
      </c>
      <c r="BI10" s="77">
        <f>$B$4/4*BI5*BI6</f>
        <v/>
      </c>
      <c r="BJ10" s="77">
        <f>$B$4/4*BJ5*BJ6</f>
        <v/>
      </c>
      <c r="BK10" s="77">
        <f>$B$4/4*BK5*BK6</f>
        <v/>
      </c>
      <c r="BL10" s="77">
        <f>$B$4/4*BL5*BL6</f>
        <v/>
      </c>
      <c r="BM10" s="77">
        <f>$B$4/4*BM5*BM6</f>
        <v/>
      </c>
      <c r="BN10" s="77">
        <f>$B$4/4*BN5*BN6</f>
        <v/>
      </c>
      <c r="BO10" s="77">
        <f>$B$4/4*BO5*BO6</f>
        <v/>
      </c>
      <c r="BP10" s="77">
        <f>$B$4/4*BP5*BP6</f>
        <v/>
      </c>
      <c r="BQ10" s="77">
        <f>$B$4/4*BQ5*BQ6</f>
        <v/>
      </c>
      <c r="BR10" s="77">
        <f>$B$4/4*BR5*BR6</f>
        <v/>
      </c>
      <c r="BS10" s="77">
        <f>$B$4/4*BS5*BS6</f>
        <v/>
      </c>
      <c r="BT10" s="77">
        <f>$B$4/4*BT5*BT6</f>
        <v/>
      </c>
      <c r="BU10" s="77">
        <f>$B$4/4*BU5*BU6</f>
        <v/>
      </c>
      <c r="BV10" s="77">
        <f>$B$4/4*BV5*BV6</f>
        <v/>
      </c>
      <c r="BW10" s="77">
        <f>$B$4/4*BW5*BW6</f>
        <v/>
      </c>
      <c r="BX10" s="77">
        <f>$B$4/4*BX5*BX6</f>
        <v/>
      </c>
      <c r="BY10" s="77">
        <f>$B$4/4*BY5*BY6</f>
        <v/>
      </c>
      <c r="BZ10" s="77">
        <f>$B$4/4*BZ5*BZ6</f>
        <v/>
      </c>
      <c r="CA10" s="77">
        <f>$B$4/4*CA5*CA6</f>
        <v/>
      </c>
      <c r="CB10" s="77">
        <f>$B$4/4*CB5*CB6</f>
        <v/>
      </c>
      <c r="CC10" s="77">
        <f>$B$4/4*CC5*CC6</f>
        <v/>
      </c>
      <c r="CD10" s="77">
        <f>$B$4/4*CD5*CD6</f>
        <v/>
      </c>
    </row>
    <row r="11">
      <c r="A11" t="inlineStr">
        <is>
          <t>Opex ($) = base x volume index x escalation index</t>
        </is>
      </c>
      <c r="C11" s="77">
        <f>$B$4/4*$B$9*C7*C8</f>
        <v/>
      </c>
      <c r="D11" s="77">
        <f>$B$4/4*$B$9*D7*D8</f>
        <v/>
      </c>
      <c r="E11" s="77">
        <f>$B$4/4*$B$9*E7*E8</f>
        <v/>
      </c>
      <c r="F11" s="77">
        <f>$B$4/4*$B$9*F7*F8</f>
        <v/>
      </c>
      <c r="G11" s="77">
        <f>$B$4/4*$B$9*G7*G8</f>
        <v/>
      </c>
      <c r="H11" s="77">
        <f>$B$4/4*$B$9*H7*H8</f>
        <v/>
      </c>
      <c r="I11" s="77">
        <f>$B$4/4*$B$9*I7*I8</f>
        <v/>
      </c>
      <c r="J11" s="77">
        <f>$B$4/4*$B$9*J7*J8</f>
        <v/>
      </c>
      <c r="K11" s="77">
        <f>$B$4/4*$B$9*K7*K8</f>
        <v/>
      </c>
      <c r="L11" s="77">
        <f>$B$4/4*$B$9*L7*L8</f>
        <v/>
      </c>
      <c r="M11" s="77">
        <f>$B$4/4*$B$9*M7*M8</f>
        <v/>
      </c>
      <c r="N11" s="77">
        <f>$B$4/4*$B$9*N7*N8</f>
        <v/>
      </c>
      <c r="O11" s="77">
        <f>$B$4/4*$B$9*O7*O8</f>
        <v/>
      </c>
      <c r="P11" s="77">
        <f>$B$4/4*$B$9*P7*P8</f>
        <v/>
      </c>
      <c r="Q11" s="77">
        <f>$B$4/4*$B$9*Q7*Q8</f>
        <v/>
      </c>
      <c r="R11" s="77">
        <f>$B$4/4*$B$9*R7*R8</f>
        <v/>
      </c>
      <c r="S11" s="77">
        <f>$B$4/4*$B$9*S7*S8</f>
        <v/>
      </c>
      <c r="T11" s="77">
        <f>$B$4/4*$B$9*T7*T8</f>
        <v/>
      </c>
      <c r="U11" s="77">
        <f>$B$4/4*$B$9*U7*U8</f>
        <v/>
      </c>
      <c r="V11" s="77">
        <f>$B$4/4*$B$9*V7*V8</f>
        <v/>
      </c>
      <c r="W11" s="77">
        <f>$B$4/4*$B$9*W7*W8</f>
        <v/>
      </c>
      <c r="X11" s="77">
        <f>$B$4/4*$B$9*X7*X8</f>
        <v/>
      </c>
      <c r="Y11" s="77">
        <f>$B$4/4*$B$9*Y7*Y8</f>
        <v/>
      </c>
      <c r="Z11" s="77">
        <f>$B$4/4*$B$9*Z7*Z8</f>
        <v/>
      </c>
      <c r="AA11" s="77">
        <f>$B$4/4*$B$9*AA7*AA8</f>
        <v/>
      </c>
      <c r="AB11" s="77">
        <f>$B$4/4*$B$9*AB7*AB8</f>
        <v/>
      </c>
      <c r="AC11" s="77">
        <f>$B$4/4*$B$9*AC7*AC8</f>
        <v/>
      </c>
      <c r="AD11" s="77">
        <f>$B$4/4*$B$9*AD7*AD8</f>
        <v/>
      </c>
      <c r="AE11" s="77">
        <f>$B$4/4*$B$9*AE7*AE8</f>
        <v/>
      </c>
      <c r="AF11" s="77">
        <f>$B$4/4*$B$9*AF7*AF8</f>
        <v/>
      </c>
      <c r="AG11" s="77">
        <f>$B$4/4*$B$9*AG7*AG8</f>
        <v/>
      </c>
      <c r="AH11" s="77">
        <f>$B$4/4*$B$9*AH7*AH8</f>
        <v/>
      </c>
      <c r="AI11" s="77">
        <f>$B$4/4*$B$9*AI7*AI8</f>
        <v/>
      </c>
      <c r="AJ11" s="77">
        <f>$B$4/4*$B$9*AJ7*AJ8</f>
        <v/>
      </c>
      <c r="AK11" s="77">
        <f>$B$4/4*$B$9*AK7*AK8</f>
        <v/>
      </c>
      <c r="AL11" s="77">
        <f>$B$4/4*$B$9*AL7*AL8</f>
        <v/>
      </c>
      <c r="AM11" s="77">
        <f>$B$4/4*$B$9*AM7*AM8</f>
        <v/>
      </c>
      <c r="AN11" s="77">
        <f>$B$4/4*$B$9*AN7*AN8</f>
        <v/>
      </c>
      <c r="AO11" s="77">
        <f>$B$4/4*$B$9*AO7*AO8</f>
        <v/>
      </c>
      <c r="AP11" s="77">
        <f>$B$4/4*$B$9*AP7*AP8</f>
        <v/>
      </c>
      <c r="AQ11" s="77">
        <f>$B$4/4*$B$9*AQ7*AQ8</f>
        <v/>
      </c>
      <c r="AR11" s="77">
        <f>$B$4/4*$B$9*AR7*AR8</f>
        <v/>
      </c>
      <c r="AS11" s="77">
        <f>$B$4/4*$B$9*AS7*AS8</f>
        <v/>
      </c>
      <c r="AT11" s="77">
        <f>$B$4/4*$B$9*AT7*AT8</f>
        <v/>
      </c>
      <c r="AU11" s="77">
        <f>$B$4/4*$B$9*AU7*AU8</f>
        <v/>
      </c>
      <c r="AV11" s="77">
        <f>$B$4/4*$B$9*AV7*AV8</f>
        <v/>
      </c>
      <c r="AW11" s="77">
        <f>$B$4/4*$B$9*AW7*AW8</f>
        <v/>
      </c>
      <c r="AX11" s="77">
        <f>$B$4/4*$B$9*AX7*AX8</f>
        <v/>
      </c>
      <c r="AY11" s="77">
        <f>$B$4/4*$B$9*AY7*AY8</f>
        <v/>
      </c>
      <c r="AZ11" s="77">
        <f>$B$4/4*$B$9*AZ7*AZ8</f>
        <v/>
      </c>
      <c r="BA11" s="77">
        <f>$B$4/4*$B$9*BA7*BA8</f>
        <v/>
      </c>
      <c r="BB11" s="77">
        <f>$B$4/4*$B$9*BB7*BB8</f>
        <v/>
      </c>
      <c r="BC11" s="77">
        <f>$B$4/4*$B$9*BC7*BC8</f>
        <v/>
      </c>
      <c r="BD11" s="77">
        <f>$B$4/4*$B$9*BD7*BD8</f>
        <v/>
      </c>
      <c r="BE11" s="77">
        <f>$B$4/4*$B$9*BE7*BE8</f>
        <v/>
      </c>
      <c r="BF11" s="77">
        <f>$B$4/4*$B$9*BF7*BF8</f>
        <v/>
      </c>
      <c r="BG11" s="77">
        <f>$B$4/4*$B$9*BG7*BG8</f>
        <v/>
      </c>
      <c r="BH11" s="77">
        <f>$B$4/4*$B$9*BH7*BH8</f>
        <v/>
      </c>
      <c r="BI11" s="77">
        <f>$B$4/4*$B$9*BI7*BI8</f>
        <v/>
      </c>
      <c r="BJ11" s="77">
        <f>$B$4/4*$B$9*BJ7*BJ8</f>
        <v/>
      </c>
      <c r="BK11" s="77">
        <f>$B$4/4*$B$9*BK7*BK8</f>
        <v/>
      </c>
      <c r="BL11" s="77">
        <f>$B$4/4*$B$9*BL7*BL8</f>
        <v/>
      </c>
      <c r="BM11" s="77">
        <f>$B$4/4*$B$9*BM7*BM8</f>
        <v/>
      </c>
      <c r="BN11" s="77">
        <f>$B$4/4*$B$9*BN7*BN8</f>
        <v/>
      </c>
      <c r="BO11" s="77">
        <f>$B$4/4*$B$9*BO7*BO8</f>
        <v/>
      </c>
      <c r="BP11" s="77">
        <f>$B$4/4*$B$9*BP7*BP8</f>
        <v/>
      </c>
      <c r="BQ11" s="77">
        <f>$B$4/4*$B$9*BQ7*BQ8</f>
        <v/>
      </c>
      <c r="BR11" s="77">
        <f>$B$4/4*$B$9*BR7*BR8</f>
        <v/>
      </c>
      <c r="BS11" s="77">
        <f>$B$4/4*$B$9*BS7*BS8</f>
        <v/>
      </c>
      <c r="BT11" s="77">
        <f>$B$4/4*$B$9*BT7*BT8</f>
        <v/>
      </c>
      <c r="BU11" s="77">
        <f>$B$4/4*$B$9*BU7*BU8</f>
        <v/>
      </c>
      <c r="BV11" s="77">
        <f>$B$4/4*$B$9*BV7*BV8</f>
        <v/>
      </c>
      <c r="BW11" s="77">
        <f>$B$4/4*$B$9*BW7*BW8</f>
        <v/>
      </c>
      <c r="BX11" s="77">
        <f>$B$4/4*$B$9*BX7*BX8</f>
        <v/>
      </c>
      <c r="BY11" s="77">
        <f>$B$4/4*$B$9*BY7*BY8</f>
        <v/>
      </c>
      <c r="BZ11" s="77">
        <f>$B$4/4*$B$9*BZ7*BZ8</f>
        <v/>
      </c>
      <c r="CA11" s="77">
        <f>$B$4/4*$B$9*CA7*CA8</f>
        <v/>
      </c>
      <c r="CB11" s="77">
        <f>$B$4/4*$B$9*CB7*CB8</f>
        <v/>
      </c>
      <c r="CC11" s="77">
        <f>$B$4/4*$B$9*CC7*CC8</f>
        <v/>
      </c>
      <c r="CD11" s="77">
        <f>$B$4/4*$B$9*CD7*CD8</f>
        <v/>
      </c>
    </row>
    <row r="12">
      <c r="A12" t="inlineStr">
        <is>
          <t>EBITDA ($)</t>
        </is>
      </c>
      <c r="C12" s="77">
        <f>C10-C11</f>
        <v/>
      </c>
      <c r="D12" s="77">
        <f>D10-D11</f>
        <v/>
      </c>
      <c r="E12" s="77">
        <f>E10-E11</f>
        <v/>
      </c>
      <c r="F12" s="77">
        <f>F10-F11</f>
        <v/>
      </c>
      <c r="G12" s="77">
        <f>G10-G11</f>
        <v/>
      </c>
      <c r="H12" s="77">
        <f>H10-H11</f>
        <v/>
      </c>
      <c r="I12" s="77">
        <f>I10-I11</f>
        <v/>
      </c>
      <c r="J12" s="77">
        <f>J10-J11</f>
        <v/>
      </c>
      <c r="K12" s="77">
        <f>K10-K11</f>
        <v/>
      </c>
      <c r="L12" s="77">
        <f>L10-L11</f>
        <v/>
      </c>
      <c r="M12" s="77">
        <f>M10-M11</f>
        <v/>
      </c>
      <c r="N12" s="77">
        <f>N10-N11</f>
        <v/>
      </c>
      <c r="O12" s="77">
        <f>O10-O11</f>
        <v/>
      </c>
      <c r="P12" s="77">
        <f>P10-P11</f>
        <v/>
      </c>
      <c r="Q12" s="77">
        <f>Q10-Q11</f>
        <v/>
      </c>
      <c r="R12" s="77">
        <f>R10-R11</f>
        <v/>
      </c>
      <c r="S12" s="77">
        <f>S10-S11</f>
        <v/>
      </c>
      <c r="T12" s="77">
        <f>T10-T11</f>
        <v/>
      </c>
      <c r="U12" s="77">
        <f>U10-U11</f>
        <v/>
      </c>
      <c r="V12" s="77">
        <f>V10-V11</f>
        <v/>
      </c>
      <c r="W12" s="77">
        <f>W10-W11</f>
        <v/>
      </c>
      <c r="X12" s="77">
        <f>X10-X11</f>
        <v/>
      </c>
      <c r="Y12" s="77">
        <f>Y10-Y11</f>
        <v/>
      </c>
      <c r="Z12" s="77">
        <f>Z10-Z11</f>
        <v/>
      </c>
      <c r="AA12" s="77">
        <f>AA10-AA11</f>
        <v/>
      </c>
      <c r="AB12" s="77">
        <f>AB10-AB11</f>
        <v/>
      </c>
      <c r="AC12" s="77">
        <f>AC10-AC11</f>
        <v/>
      </c>
      <c r="AD12" s="77">
        <f>AD10-AD11</f>
        <v/>
      </c>
      <c r="AE12" s="77">
        <f>AE10-AE11</f>
        <v/>
      </c>
      <c r="AF12" s="77">
        <f>AF10-AF11</f>
        <v/>
      </c>
      <c r="AG12" s="77">
        <f>AG10-AG11</f>
        <v/>
      </c>
      <c r="AH12" s="77">
        <f>AH10-AH11</f>
        <v/>
      </c>
      <c r="AI12" s="77">
        <f>AI10-AI11</f>
        <v/>
      </c>
      <c r="AJ12" s="77">
        <f>AJ10-AJ11</f>
        <v/>
      </c>
      <c r="AK12" s="77">
        <f>AK10-AK11</f>
        <v/>
      </c>
      <c r="AL12" s="77">
        <f>AL10-AL11</f>
        <v/>
      </c>
      <c r="AM12" s="77">
        <f>AM10-AM11</f>
        <v/>
      </c>
      <c r="AN12" s="77">
        <f>AN10-AN11</f>
        <v/>
      </c>
      <c r="AO12" s="77">
        <f>AO10-AO11</f>
        <v/>
      </c>
      <c r="AP12" s="77">
        <f>AP10-AP11</f>
        <v/>
      </c>
      <c r="AQ12" s="77">
        <f>AQ10-AQ11</f>
        <v/>
      </c>
      <c r="AR12" s="77">
        <f>AR10-AR11</f>
        <v/>
      </c>
      <c r="AS12" s="77">
        <f>AS10-AS11</f>
        <v/>
      </c>
      <c r="AT12" s="77">
        <f>AT10-AT11</f>
        <v/>
      </c>
      <c r="AU12" s="77">
        <f>AU10-AU11</f>
        <v/>
      </c>
      <c r="AV12" s="77">
        <f>AV10-AV11</f>
        <v/>
      </c>
      <c r="AW12" s="77">
        <f>AW10-AW11</f>
        <v/>
      </c>
      <c r="AX12" s="77">
        <f>AX10-AX11</f>
        <v/>
      </c>
      <c r="AY12" s="77">
        <f>AY10-AY11</f>
        <v/>
      </c>
      <c r="AZ12" s="77">
        <f>AZ10-AZ11</f>
        <v/>
      </c>
      <c r="BA12" s="77">
        <f>BA10-BA11</f>
        <v/>
      </c>
      <c r="BB12" s="77">
        <f>BB10-BB11</f>
        <v/>
      </c>
      <c r="BC12" s="77">
        <f>BC10-BC11</f>
        <v/>
      </c>
      <c r="BD12" s="77">
        <f>BD10-BD11</f>
        <v/>
      </c>
      <c r="BE12" s="77">
        <f>BE10-BE11</f>
        <v/>
      </c>
      <c r="BF12" s="77">
        <f>BF10-BF11</f>
        <v/>
      </c>
      <c r="BG12" s="77">
        <f>BG10-BG11</f>
        <v/>
      </c>
      <c r="BH12" s="77">
        <f>BH10-BH11</f>
        <v/>
      </c>
      <c r="BI12" s="77">
        <f>BI10-BI11</f>
        <v/>
      </c>
      <c r="BJ12" s="77">
        <f>BJ10-BJ11</f>
        <v/>
      </c>
      <c r="BK12" s="77">
        <f>BK10-BK11</f>
        <v/>
      </c>
      <c r="BL12" s="77">
        <f>BL10-BL11</f>
        <v/>
      </c>
      <c r="BM12" s="77">
        <f>BM10-BM11</f>
        <v/>
      </c>
      <c r="BN12" s="77">
        <f>BN10-BN11</f>
        <v/>
      </c>
      <c r="BO12" s="77">
        <f>BO10-BO11</f>
        <v/>
      </c>
      <c r="BP12" s="77">
        <f>BP10-BP11</f>
        <v/>
      </c>
      <c r="BQ12" s="77">
        <f>BQ10-BQ11</f>
        <v/>
      </c>
      <c r="BR12" s="77">
        <f>BR10-BR11</f>
        <v/>
      </c>
      <c r="BS12" s="77">
        <f>BS10-BS11</f>
        <v/>
      </c>
      <c r="BT12" s="77">
        <f>BT10-BT11</f>
        <v/>
      </c>
      <c r="BU12" s="77">
        <f>BU10-BU11</f>
        <v/>
      </c>
      <c r="BV12" s="77">
        <f>BV10-BV11</f>
        <v/>
      </c>
      <c r="BW12" s="77">
        <f>BW10-BW11</f>
        <v/>
      </c>
      <c r="BX12" s="77">
        <f>BX10-BX11</f>
        <v/>
      </c>
      <c r="BY12" s="77">
        <f>BY10-BY11</f>
        <v/>
      </c>
      <c r="BZ12" s="77">
        <f>BZ10-BZ11</f>
        <v/>
      </c>
      <c r="CA12" s="77">
        <f>CA10-CA11</f>
        <v/>
      </c>
      <c r="CB12" s="77">
        <f>CB10-CB11</f>
        <v/>
      </c>
      <c r="CC12" s="77">
        <f>CC10-CC11</f>
        <v/>
      </c>
      <c r="CD12" s="77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7">
        <f>C10*$B$13</f>
        <v/>
      </c>
      <c r="D14" s="77">
        <f>D10*$B$13</f>
        <v/>
      </c>
      <c r="E14" s="77">
        <f>E10*$B$13</f>
        <v/>
      </c>
      <c r="F14" s="77">
        <f>F10*$B$13</f>
        <v/>
      </c>
      <c r="G14" s="77">
        <f>G10*$B$13</f>
        <v/>
      </c>
      <c r="H14" s="77">
        <f>H10*$B$13</f>
        <v/>
      </c>
      <c r="I14" s="77">
        <f>I10*$B$13</f>
        <v/>
      </c>
      <c r="J14" s="77">
        <f>J10*$B$13</f>
        <v/>
      </c>
      <c r="K14" s="77">
        <f>K10*$B$13</f>
        <v/>
      </c>
      <c r="L14" s="77">
        <f>L10*$B$13</f>
        <v/>
      </c>
      <c r="M14" s="77">
        <f>M10*$B$13</f>
        <v/>
      </c>
      <c r="N14" s="77">
        <f>N10*$B$13</f>
        <v/>
      </c>
      <c r="O14" s="77">
        <f>O10*$B$13</f>
        <v/>
      </c>
      <c r="P14" s="77">
        <f>P10*$B$13</f>
        <v/>
      </c>
      <c r="Q14" s="77">
        <f>Q10*$B$13</f>
        <v/>
      </c>
      <c r="R14" s="77">
        <f>R10*$B$13</f>
        <v/>
      </c>
      <c r="S14" s="77">
        <f>S10*$B$13</f>
        <v/>
      </c>
      <c r="T14" s="77">
        <f>T10*$B$13</f>
        <v/>
      </c>
      <c r="U14" s="77">
        <f>U10*$B$13</f>
        <v/>
      </c>
      <c r="V14" s="77">
        <f>V10*$B$13</f>
        <v/>
      </c>
      <c r="W14" s="77">
        <f>W10*$B$13</f>
        <v/>
      </c>
      <c r="X14" s="77">
        <f>X10*$B$13</f>
        <v/>
      </c>
      <c r="Y14" s="77">
        <f>Y10*$B$13</f>
        <v/>
      </c>
      <c r="Z14" s="77">
        <f>Z10*$B$13</f>
        <v/>
      </c>
      <c r="AA14" s="77">
        <f>AA10*$B$13</f>
        <v/>
      </c>
      <c r="AB14" s="77">
        <f>AB10*$B$13</f>
        <v/>
      </c>
      <c r="AC14" s="77">
        <f>AC10*$B$13</f>
        <v/>
      </c>
      <c r="AD14" s="77">
        <f>AD10*$B$13</f>
        <v/>
      </c>
      <c r="AE14" s="77">
        <f>AE10*$B$13</f>
        <v/>
      </c>
      <c r="AF14" s="77">
        <f>AF10*$B$13</f>
        <v/>
      </c>
      <c r="AG14" s="77">
        <f>AG10*$B$13</f>
        <v/>
      </c>
      <c r="AH14" s="77">
        <f>AH10*$B$13</f>
        <v/>
      </c>
      <c r="AI14" s="77">
        <f>AI10*$B$13</f>
        <v/>
      </c>
      <c r="AJ14" s="77">
        <f>AJ10*$B$13</f>
        <v/>
      </c>
      <c r="AK14" s="77">
        <f>AK10*$B$13</f>
        <v/>
      </c>
      <c r="AL14" s="77">
        <f>AL10*$B$13</f>
        <v/>
      </c>
      <c r="AM14" s="77">
        <f>AM10*$B$13</f>
        <v/>
      </c>
      <c r="AN14" s="77">
        <f>AN10*$B$13</f>
        <v/>
      </c>
      <c r="AO14" s="77">
        <f>AO10*$B$13</f>
        <v/>
      </c>
      <c r="AP14" s="77">
        <f>AP10*$B$13</f>
        <v/>
      </c>
      <c r="AQ14" s="77">
        <f>AQ10*$B$13</f>
        <v/>
      </c>
      <c r="AR14" s="77">
        <f>AR10*$B$13</f>
        <v/>
      </c>
      <c r="AS14" s="77">
        <f>AS10*$B$13</f>
        <v/>
      </c>
      <c r="AT14" s="77">
        <f>AT10*$B$13</f>
        <v/>
      </c>
      <c r="AU14" s="77">
        <f>AU10*$B$13</f>
        <v/>
      </c>
      <c r="AV14" s="77">
        <f>AV10*$B$13</f>
        <v/>
      </c>
      <c r="AW14" s="77">
        <f>AW10*$B$13</f>
        <v/>
      </c>
      <c r="AX14" s="77">
        <f>AX10*$B$13</f>
        <v/>
      </c>
      <c r="AY14" s="77">
        <f>AY10*$B$13</f>
        <v/>
      </c>
      <c r="AZ14" s="77">
        <f>AZ10*$B$13</f>
        <v/>
      </c>
      <c r="BA14" s="77">
        <f>BA10*$B$13</f>
        <v/>
      </c>
      <c r="BB14" s="77">
        <f>BB10*$B$13</f>
        <v/>
      </c>
      <c r="BC14" s="77">
        <f>BC10*$B$13</f>
        <v/>
      </c>
      <c r="BD14" s="77">
        <f>BD10*$B$13</f>
        <v/>
      </c>
      <c r="BE14" s="77">
        <f>BE10*$B$13</f>
        <v/>
      </c>
      <c r="BF14" s="77">
        <f>BF10*$B$13</f>
        <v/>
      </c>
      <c r="BG14" s="77">
        <f>BG10*$B$13</f>
        <v/>
      </c>
      <c r="BH14" s="77">
        <f>BH10*$B$13</f>
        <v/>
      </c>
      <c r="BI14" s="77">
        <f>BI10*$B$13</f>
        <v/>
      </c>
      <c r="BJ14" s="77">
        <f>BJ10*$B$13</f>
        <v/>
      </c>
      <c r="BK14" s="77">
        <f>BK10*$B$13</f>
        <v/>
      </c>
      <c r="BL14" s="77">
        <f>BL10*$B$13</f>
        <v/>
      </c>
      <c r="BM14" s="77">
        <f>BM10*$B$13</f>
        <v/>
      </c>
      <c r="BN14" s="77">
        <f>BN10*$B$13</f>
        <v/>
      </c>
      <c r="BO14" s="77">
        <f>BO10*$B$13</f>
        <v/>
      </c>
      <c r="BP14" s="77">
        <f>BP10*$B$13</f>
        <v/>
      </c>
      <c r="BQ14" s="77">
        <f>BQ10*$B$13</f>
        <v/>
      </c>
      <c r="BR14" s="77">
        <f>BR10*$B$13</f>
        <v/>
      </c>
      <c r="BS14" s="77">
        <f>BS10*$B$13</f>
        <v/>
      </c>
      <c r="BT14" s="77">
        <f>BT10*$B$13</f>
        <v/>
      </c>
      <c r="BU14" s="77">
        <f>BU10*$B$13</f>
        <v/>
      </c>
      <c r="BV14" s="77">
        <f>BV10*$B$13</f>
        <v/>
      </c>
      <c r="BW14" s="77">
        <f>BW10*$B$13</f>
        <v/>
      </c>
      <c r="BX14" s="77">
        <f>BX10*$B$13</f>
        <v/>
      </c>
      <c r="BY14" s="77">
        <f>BY10*$B$13</f>
        <v/>
      </c>
      <c r="BZ14" s="77">
        <f>BZ10*$B$13</f>
        <v/>
      </c>
      <c r="CA14" s="77">
        <f>CA10*$B$13</f>
        <v/>
      </c>
      <c r="CB14" s="77">
        <f>CB10*$B$13</f>
        <v/>
      </c>
      <c r="CC14" s="77">
        <f>CC10*$B$13</f>
        <v/>
      </c>
      <c r="CD14" s="77">
        <f>CD10*$B$13</f>
        <v/>
      </c>
    </row>
    <row r="15">
      <c r="A15" t="inlineStr">
        <is>
          <t>Lumpy Maintenance Capex ($) — linked from Assumptions_Periodic_Ops</t>
        </is>
      </c>
      <c r="C15" s="72">
        <f>Assumptions_Periodic_Ops!C44</f>
        <v/>
      </c>
      <c r="D15" s="72">
        <f>Assumptions_Periodic_Ops!D44</f>
        <v/>
      </c>
      <c r="E15" s="72">
        <f>Assumptions_Periodic_Ops!E44</f>
        <v/>
      </c>
      <c r="F15" s="72">
        <f>Assumptions_Periodic_Ops!F44</f>
        <v/>
      </c>
      <c r="G15" s="72">
        <f>Assumptions_Periodic_Ops!G44</f>
        <v/>
      </c>
      <c r="H15" s="72">
        <f>Assumptions_Periodic_Ops!H44</f>
        <v/>
      </c>
      <c r="I15" s="72">
        <f>Assumptions_Periodic_Ops!I44</f>
        <v/>
      </c>
      <c r="J15" s="72">
        <f>Assumptions_Periodic_Ops!J44</f>
        <v/>
      </c>
      <c r="K15" s="72">
        <f>Assumptions_Periodic_Ops!K44</f>
        <v/>
      </c>
      <c r="L15" s="72">
        <f>Assumptions_Periodic_Ops!L44</f>
        <v/>
      </c>
      <c r="M15" s="72">
        <f>Assumptions_Periodic_Ops!M44</f>
        <v/>
      </c>
      <c r="N15" s="72">
        <f>Assumptions_Periodic_Ops!N44</f>
        <v/>
      </c>
      <c r="O15" s="72">
        <f>Assumptions_Periodic_Ops!O44</f>
        <v/>
      </c>
      <c r="P15" s="72">
        <f>Assumptions_Periodic_Ops!P44</f>
        <v/>
      </c>
      <c r="Q15" s="72">
        <f>Assumptions_Periodic_Ops!Q44</f>
        <v/>
      </c>
      <c r="R15" s="72">
        <f>Assumptions_Periodic_Ops!R44</f>
        <v/>
      </c>
      <c r="S15" s="72">
        <f>Assumptions_Periodic_Ops!S44</f>
        <v/>
      </c>
      <c r="T15" s="72">
        <f>Assumptions_Periodic_Ops!T44</f>
        <v/>
      </c>
      <c r="U15" s="72">
        <f>Assumptions_Periodic_Ops!U44</f>
        <v/>
      </c>
      <c r="V15" s="72">
        <f>Assumptions_Periodic_Ops!V44</f>
        <v/>
      </c>
      <c r="W15" s="72">
        <f>Assumptions_Periodic_Ops!W44</f>
        <v/>
      </c>
      <c r="X15" s="72">
        <f>Assumptions_Periodic_Ops!X44</f>
        <v/>
      </c>
      <c r="Y15" s="72">
        <f>Assumptions_Periodic_Ops!Y44</f>
        <v/>
      </c>
      <c r="Z15" s="72">
        <f>Assumptions_Periodic_Ops!Z44</f>
        <v/>
      </c>
      <c r="AA15" s="72">
        <f>Assumptions_Periodic_Ops!AA44</f>
        <v/>
      </c>
      <c r="AB15" s="72">
        <f>Assumptions_Periodic_Ops!AB44</f>
        <v/>
      </c>
      <c r="AC15" s="72">
        <f>Assumptions_Periodic_Ops!AC44</f>
        <v/>
      </c>
      <c r="AD15" s="72">
        <f>Assumptions_Periodic_Ops!AD44</f>
        <v/>
      </c>
      <c r="AE15" s="72">
        <f>Assumptions_Periodic_Ops!AE44</f>
        <v/>
      </c>
      <c r="AF15" s="72">
        <f>Assumptions_Periodic_Ops!AF44</f>
        <v/>
      </c>
      <c r="AG15" s="72">
        <f>Assumptions_Periodic_Ops!AG44</f>
        <v/>
      </c>
      <c r="AH15" s="72">
        <f>Assumptions_Periodic_Ops!AH44</f>
        <v/>
      </c>
      <c r="AI15" s="72">
        <f>Assumptions_Periodic_Ops!AI44</f>
        <v/>
      </c>
      <c r="AJ15" s="72">
        <f>Assumptions_Periodic_Ops!AJ44</f>
        <v/>
      </c>
      <c r="AK15" s="72">
        <f>Assumptions_Periodic_Ops!AK44</f>
        <v/>
      </c>
      <c r="AL15" s="72">
        <f>Assumptions_Periodic_Ops!AL44</f>
        <v/>
      </c>
      <c r="AM15" s="72">
        <f>Assumptions_Periodic_Ops!AM44</f>
        <v/>
      </c>
      <c r="AN15" s="72">
        <f>Assumptions_Periodic_Ops!AN44</f>
        <v/>
      </c>
      <c r="AO15" s="72">
        <f>Assumptions_Periodic_Ops!AO44</f>
        <v/>
      </c>
      <c r="AP15" s="72">
        <f>Assumptions_Periodic_Ops!AP44</f>
        <v/>
      </c>
      <c r="AQ15" s="72">
        <f>Assumptions_Periodic_Ops!AQ44</f>
        <v/>
      </c>
      <c r="AR15" s="72">
        <f>Assumptions_Periodic_Ops!AR44</f>
        <v/>
      </c>
      <c r="AS15" s="72">
        <f>Assumptions_Periodic_Ops!AS44</f>
        <v/>
      </c>
      <c r="AT15" s="72">
        <f>Assumptions_Periodic_Ops!AT44</f>
        <v/>
      </c>
      <c r="AU15" s="72">
        <f>Assumptions_Periodic_Ops!AU44</f>
        <v/>
      </c>
      <c r="AV15" s="72">
        <f>Assumptions_Periodic_Ops!AV44</f>
        <v/>
      </c>
      <c r="AW15" s="72">
        <f>Assumptions_Periodic_Ops!AW44</f>
        <v/>
      </c>
      <c r="AX15" s="72">
        <f>Assumptions_Periodic_Ops!AX44</f>
        <v/>
      </c>
      <c r="AY15" s="72">
        <f>Assumptions_Periodic_Ops!AY44</f>
        <v/>
      </c>
      <c r="AZ15" s="72">
        <f>Assumptions_Periodic_Ops!AZ44</f>
        <v/>
      </c>
      <c r="BA15" s="72">
        <f>Assumptions_Periodic_Ops!BA44</f>
        <v/>
      </c>
      <c r="BB15" s="72">
        <f>Assumptions_Periodic_Ops!BB44</f>
        <v/>
      </c>
      <c r="BC15" s="72">
        <f>Assumptions_Periodic_Ops!BC44</f>
        <v/>
      </c>
      <c r="BD15" s="72">
        <f>Assumptions_Periodic_Ops!BD44</f>
        <v/>
      </c>
      <c r="BE15" s="72">
        <f>Assumptions_Periodic_Ops!BE44</f>
        <v/>
      </c>
      <c r="BF15" s="72">
        <f>Assumptions_Periodic_Ops!BF44</f>
        <v/>
      </c>
      <c r="BG15" s="72">
        <f>Assumptions_Periodic_Ops!BG44</f>
        <v/>
      </c>
      <c r="BH15" s="72">
        <f>Assumptions_Periodic_Ops!BH44</f>
        <v/>
      </c>
      <c r="BI15" s="72">
        <f>Assumptions_Periodic_Ops!BI44</f>
        <v/>
      </c>
      <c r="BJ15" s="72">
        <f>Assumptions_Periodic_Ops!BJ44</f>
        <v/>
      </c>
      <c r="BK15" s="72">
        <f>Assumptions_Periodic_Ops!BK44</f>
        <v/>
      </c>
      <c r="BL15" s="72">
        <f>Assumptions_Periodic_Ops!BL44</f>
        <v/>
      </c>
      <c r="BM15" s="72">
        <f>Assumptions_Periodic_Ops!BM44</f>
        <v/>
      </c>
      <c r="BN15" s="72">
        <f>Assumptions_Periodic_Ops!BN44</f>
        <v/>
      </c>
      <c r="BO15" s="72">
        <f>Assumptions_Periodic_Ops!BO44</f>
        <v/>
      </c>
      <c r="BP15" s="72">
        <f>Assumptions_Periodic_Ops!BP44</f>
        <v/>
      </c>
      <c r="BQ15" s="72">
        <f>Assumptions_Periodic_Ops!BQ44</f>
        <v/>
      </c>
      <c r="BR15" s="72">
        <f>Assumptions_Periodic_Ops!BR44</f>
        <v/>
      </c>
      <c r="BS15" s="72">
        <f>Assumptions_Periodic_Ops!BS44</f>
        <v/>
      </c>
      <c r="BT15" s="72">
        <f>Assumptions_Periodic_Ops!BT44</f>
        <v/>
      </c>
      <c r="BU15" s="72">
        <f>Assumptions_Periodic_Ops!BU44</f>
        <v/>
      </c>
      <c r="BV15" s="72">
        <f>Assumptions_Periodic_Ops!BV44</f>
        <v/>
      </c>
      <c r="BW15" s="72">
        <f>Assumptions_Periodic_Ops!BW44</f>
        <v/>
      </c>
      <c r="BX15" s="72">
        <f>Assumptions_Periodic_Ops!BX44</f>
        <v/>
      </c>
      <c r="BY15" s="72">
        <f>Assumptions_Periodic_Ops!BY44</f>
        <v/>
      </c>
      <c r="BZ15" s="72">
        <f>Assumptions_Periodic_Ops!BZ44</f>
        <v/>
      </c>
      <c r="CA15" s="72">
        <f>Assumptions_Periodic_Ops!CA44</f>
        <v/>
      </c>
      <c r="CB15" s="72">
        <f>Assumptions_Periodic_Ops!CB44</f>
        <v/>
      </c>
      <c r="CC15" s="72">
        <f>Assumptions_Periodic_Ops!CC44</f>
        <v/>
      </c>
      <c r="CD15" s="72">
        <f>Assumptions_Periodic_Ops!CD44</f>
        <v/>
      </c>
    </row>
    <row r="16">
      <c r="A16" t="inlineStr">
        <is>
          <t>Total Maintenance Capex ($)</t>
        </is>
      </c>
      <c r="C16" s="77">
        <f>C14+C15</f>
        <v/>
      </c>
      <c r="D16" s="77">
        <f>D14+D15</f>
        <v/>
      </c>
      <c r="E16" s="77">
        <f>E14+E15</f>
        <v/>
      </c>
      <c r="F16" s="77">
        <f>F14+F15</f>
        <v/>
      </c>
      <c r="G16" s="77">
        <f>G14+G15</f>
        <v/>
      </c>
      <c r="H16" s="77">
        <f>H14+H15</f>
        <v/>
      </c>
      <c r="I16" s="77">
        <f>I14+I15</f>
        <v/>
      </c>
      <c r="J16" s="77">
        <f>J14+J15</f>
        <v/>
      </c>
      <c r="K16" s="77">
        <f>K14+K15</f>
        <v/>
      </c>
      <c r="L16" s="77">
        <f>L14+L15</f>
        <v/>
      </c>
      <c r="M16" s="77">
        <f>M14+M15</f>
        <v/>
      </c>
      <c r="N16" s="77">
        <f>N14+N15</f>
        <v/>
      </c>
      <c r="O16" s="77">
        <f>O14+O15</f>
        <v/>
      </c>
      <c r="P16" s="77">
        <f>P14+P15</f>
        <v/>
      </c>
      <c r="Q16" s="77">
        <f>Q14+Q15</f>
        <v/>
      </c>
      <c r="R16" s="77">
        <f>R14+R15</f>
        <v/>
      </c>
      <c r="S16" s="77">
        <f>S14+S15</f>
        <v/>
      </c>
      <c r="T16" s="77">
        <f>T14+T15</f>
        <v/>
      </c>
      <c r="U16" s="77">
        <f>U14+U15</f>
        <v/>
      </c>
      <c r="V16" s="77">
        <f>V14+V15</f>
        <v/>
      </c>
      <c r="W16" s="77">
        <f>W14+W15</f>
        <v/>
      </c>
      <c r="X16" s="77">
        <f>X14+X15</f>
        <v/>
      </c>
      <c r="Y16" s="77">
        <f>Y14+Y15</f>
        <v/>
      </c>
      <c r="Z16" s="77">
        <f>Z14+Z15</f>
        <v/>
      </c>
      <c r="AA16" s="77">
        <f>AA14+AA15</f>
        <v/>
      </c>
      <c r="AB16" s="77">
        <f>AB14+AB15</f>
        <v/>
      </c>
      <c r="AC16" s="77">
        <f>AC14+AC15</f>
        <v/>
      </c>
      <c r="AD16" s="77">
        <f>AD14+AD15</f>
        <v/>
      </c>
      <c r="AE16" s="77">
        <f>AE14+AE15</f>
        <v/>
      </c>
      <c r="AF16" s="77">
        <f>AF14+AF15</f>
        <v/>
      </c>
      <c r="AG16" s="77">
        <f>AG14+AG15</f>
        <v/>
      </c>
      <c r="AH16" s="77">
        <f>AH14+AH15</f>
        <v/>
      </c>
      <c r="AI16" s="77">
        <f>AI14+AI15</f>
        <v/>
      </c>
      <c r="AJ16" s="77">
        <f>AJ14+AJ15</f>
        <v/>
      </c>
      <c r="AK16" s="77">
        <f>AK14+AK15</f>
        <v/>
      </c>
      <c r="AL16" s="77">
        <f>AL14+AL15</f>
        <v/>
      </c>
      <c r="AM16" s="77">
        <f>AM14+AM15</f>
        <v/>
      </c>
      <c r="AN16" s="77">
        <f>AN14+AN15</f>
        <v/>
      </c>
      <c r="AO16" s="77">
        <f>AO14+AO15</f>
        <v/>
      </c>
      <c r="AP16" s="77">
        <f>AP14+AP15</f>
        <v/>
      </c>
      <c r="AQ16" s="77">
        <f>AQ14+AQ15</f>
        <v/>
      </c>
      <c r="AR16" s="77">
        <f>AR14+AR15</f>
        <v/>
      </c>
      <c r="AS16" s="77">
        <f>AS14+AS15</f>
        <v/>
      </c>
      <c r="AT16" s="77">
        <f>AT14+AT15</f>
        <v/>
      </c>
      <c r="AU16" s="77">
        <f>AU14+AU15</f>
        <v/>
      </c>
      <c r="AV16" s="77">
        <f>AV14+AV15</f>
        <v/>
      </c>
      <c r="AW16" s="77">
        <f>AW14+AW15</f>
        <v/>
      </c>
      <c r="AX16" s="77">
        <f>AX14+AX15</f>
        <v/>
      </c>
      <c r="AY16" s="77">
        <f>AY14+AY15</f>
        <v/>
      </c>
      <c r="AZ16" s="77">
        <f>AZ14+AZ15</f>
        <v/>
      </c>
      <c r="BA16" s="77">
        <f>BA14+BA15</f>
        <v/>
      </c>
      <c r="BB16" s="77">
        <f>BB14+BB15</f>
        <v/>
      </c>
      <c r="BC16" s="77">
        <f>BC14+BC15</f>
        <v/>
      </c>
      <c r="BD16" s="77">
        <f>BD14+BD15</f>
        <v/>
      </c>
      <c r="BE16" s="77">
        <f>BE14+BE15</f>
        <v/>
      </c>
      <c r="BF16" s="77">
        <f>BF14+BF15</f>
        <v/>
      </c>
      <c r="BG16" s="77">
        <f>BG14+BG15</f>
        <v/>
      </c>
      <c r="BH16" s="77">
        <f>BH14+BH15</f>
        <v/>
      </c>
      <c r="BI16" s="77">
        <f>BI14+BI15</f>
        <v/>
      </c>
      <c r="BJ16" s="77">
        <f>BJ14+BJ15</f>
        <v/>
      </c>
      <c r="BK16" s="77">
        <f>BK14+BK15</f>
        <v/>
      </c>
      <c r="BL16" s="77">
        <f>BL14+BL15</f>
        <v/>
      </c>
      <c r="BM16" s="77">
        <f>BM14+BM15</f>
        <v/>
      </c>
      <c r="BN16" s="77">
        <f>BN14+BN15</f>
        <v/>
      </c>
      <c r="BO16" s="77">
        <f>BO14+BO15</f>
        <v/>
      </c>
      <c r="BP16" s="77">
        <f>BP14+BP15</f>
        <v/>
      </c>
      <c r="BQ16" s="77">
        <f>BQ14+BQ15</f>
        <v/>
      </c>
      <c r="BR16" s="77">
        <f>BR14+BR15</f>
        <v/>
      </c>
      <c r="BS16" s="77">
        <f>BS14+BS15</f>
        <v/>
      </c>
      <c r="BT16" s="77">
        <f>BT14+BT15</f>
        <v/>
      </c>
      <c r="BU16" s="77">
        <f>BU14+BU15</f>
        <v/>
      </c>
      <c r="BV16" s="77">
        <f>BV14+BV15</f>
        <v/>
      </c>
      <c r="BW16" s="77">
        <f>BW14+BW15</f>
        <v/>
      </c>
      <c r="BX16" s="77">
        <f>BX14+BX15</f>
        <v/>
      </c>
      <c r="BY16" s="77">
        <f>BY14+BY15</f>
        <v/>
      </c>
      <c r="BZ16" s="77">
        <f>BZ14+BZ15</f>
        <v/>
      </c>
      <c r="CA16" s="77">
        <f>CA14+CA15</f>
        <v/>
      </c>
      <c r="CB16" s="77">
        <f>CB14+CB15</f>
        <v/>
      </c>
      <c r="CC16" s="77">
        <f>CC14+CC15</f>
        <v/>
      </c>
      <c r="CD16" s="77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2">
        <f>IF(ROUND(SUM(C10:F10)-$B$4,2)=0,1,0)</f>
        <v/>
      </c>
    </row>
    <row r="21">
      <c r="A21" t="inlineStr">
        <is>
          <t>Informational: # quarters with negative EBITDA</t>
        </is>
      </c>
      <c r="CD21" s="82">
        <f>COUNTIF(C12:CD12,"&lt;0")</f>
        <v/>
      </c>
    </row>
    <row r="22">
      <c r="A22" t="inlineStr">
        <is>
          <t>Check: Total maintenance capex &gt;= 0 in every quarter</t>
        </is>
      </c>
      <c r="CD22" s="82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3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0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2">
        <f>Calc_Revenue_Opex!C12</f>
        <v/>
      </c>
      <c r="D11" s="72">
        <f>Calc_Revenue_Opex!D12</f>
        <v/>
      </c>
      <c r="E11" s="72">
        <f>Calc_Revenue_Opex!E12</f>
        <v/>
      </c>
      <c r="F11" s="72">
        <f>Calc_Revenue_Opex!F12</f>
        <v/>
      </c>
      <c r="G11" s="72">
        <f>Calc_Revenue_Opex!G12</f>
        <v/>
      </c>
      <c r="H11" s="72">
        <f>Calc_Revenue_Opex!H12</f>
        <v/>
      </c>
      <c r="I11" s="72">
        <f>Calc_Revenue_Opex!I12</f>
        <v/>
      </c>
      <c r="J11" s="72">
        <f>Calc_Revenue_Opex!J12</f>
        <v/>
      </c>
      <c r="K11" s="72">
        <f>Calc_Revenue_Opex!K12</f>
        <v/>
      </c>
      <c r="L11" s="72">
        <f>Calc_Revenue_Opex!L12</f>
        <v/>
      </c>
      <c r="M11" s="72">
        <f>Calc_Revenue_Opex!M12</f>
        <v/>
      </c>
      <c r="N11" s="72">
        <f>Calc_Revenue_Opex!N12</f>
        <v/>
      </c>
      <c r="O11" s="72">
        <f>Calc_Revenue_Opex!O12</f>
        <v/>
      </c>
      <c r="P11" s="72">
        <f>Calc_Revenue_Opex!P12</f>
        <v/>
      </c>
      <c r="Q11" s="72">
        <f>Calc_Revenue_Opex!Q12</f>
        <v/>
      </c>
      <c r="R11" s="72">
        <f>Calc_Revenue_Opex!R12</f>
        <v/>
      </c>
      <c r="S11" s="72">
        <f>Calc_Revenue_Opex!S12</f>
        <v/>
      </c>
      <c r="T11" s="72">
        <f>Calc_Revenue_Opex!T12</f>
        <v/>
      </c>
      <c r="U11" s="72">
        <f>Calc_Revenue_Opex!U12</f>
        <v/>
      </c>
      <c r="V11" s="72">
        <f>Calc_Revenue_Opex!V12</f>
        <v/>
      </c>
      <c r="W11" s="72">
        <f>Calc_Revenue_Opex!W12</f>
        <v/>
      </c>
      <c r="X11" s="72">
        <f>Calc_Revenue_Opex!X12</f>
        <v/>
      </c>
      <c r="Y11" s="72">
        <f>Calc_Revenue_Opex!Y12</f>
        <v/>
      </c>
      <c r="Z11" s="72">
        <f>Calc_Revenue_Opex!Z12</f>
        <v/>
      </c>
      <c r="AA11" s="72">
        <f>Calc_Revenue_Opex!AA12</f>
        <v/>
      </c>
      <c r="AB11" s="72">
        <f>Calc_Revenue_Opex!AB12</f>
        <v/>
      </c>
      <c r="AC11" s="72">
        <f>Calc_Revenue_Opex!AC12</f>
        <v/>
      </c>
      <c r="AD11" s="72">
        <f>Calc_Revenue_Opex!AD12</f>
        <v/>
      </c>
      <c r="AE11" s="72">
        <f>Calc_Revenue_Opex!AE12</f>
        <v/>
      </c>
      <c r="AF11" s="72">
        <f>Calc_Revenue_Opex!AF12</f>
        <v/>
      </c>
      <c r="AG11" s="72">
        <f>Calc_Revenue_Opex!AG12</f>
        <v/>
      </c>
      <c r="AH11" s="72">
        <f>Calc_Revenue_Opex!AH12</f>
        <v/>
      </c>
      <c r="AI11" s="72">
        <f>Calc_Revenue_Opex!AI12</f>
        <v/>
      </c>
      <c r="AJ11" s="72">
        <f>Calc_Revenue_Opex!AJ12</f>
        <v/>
      </c>
      <c r="AK11" s="72">
        <f>Calc_Revenue_Opex!AK12</f>
        <v/>
      </c>
      <c r="AL11" s="72">
        <f>Calc_Revenue_Opex!AL12</f>
        <v/>
      </c>
      <c r="AM11" s="72">
        <f>Calc_Revenue_Opex!AM12</f>
        <v/>
      </c>
      <c r="AN11" s="72">
        <f>Calc_Revenue_Opex!AN12</f>
        <v/>
      </c>
      <c r="AO11" s="72">
        <f>Calc_Revenue_Opex!AO12</f>
        <v/>
      </c>
      <c r="AP11" s="72">
        <f>Calc_Revenue_Opex!AP12</f>
        <v/>
      </c>
      <c r="AQ11" s="72">
        <f>Calc_Revenue_Opex!AQ12</f>
        <v/>
      </c>
      <c r="AR11" s="72">
        <f>Calc_Revenue_Opex!AR12</f>
        <v/>
      </c>
      <c r="AS11" s="72">
        <f>Calc_Revenue_Opex!AS12</f>
        <v/>
      </c>
      <c r="AT11" s="72">
        <f>Calc_Revenue_Opex!AT12</f>
        <v/>
      </c>
      <c r="AU11" s="72">
        <f>Calc_Revenue_Opex!AU12</f>
        <v/>
      </c>
      <c r="AV11" s="72">
        <f>Calc_Revenue_Opex!AV12</f>
        <v/>
      </c>
      <c r="AW11" s="72">
        <f>Calc_Revenue_Opex!AW12</f>
        <v/>
      </c>
      <c r="AX11" s="72">
        <f>Calc_Revenue_Opex!AX12</f>
        <v/>
      </c>
      <c r="AY11" s="72">
        <f>Calc_Revenue_Opex!AY12</f>
        <v/>
      </c>
      <c r="AZ11" s="72">
        <f>Calc_Revenue_Opex!AZ12</f>
        <v/>
      </c>
      <c r="BA11" s="72">
        <f>Calc_Revenue_Opex!BA12</f>
        <v/>
      </c>
      <c r="BB11" s="72">
        <f>Calc_Revenue_Opex!BB12</f>
        <v/>
      </c>
      <c r="BC11" s="72">
        <f>Calc_Revenue_Opex!BC12</f>
        <v/>
      </c>
      <c r="BD11" s="72">
        <f>Calc_Revenue_Opex!BD12</f>
        <v/>
      </c>
      <c r="BE11" s="72">
        <f>Calc_Revenue_Opex!BE12</f>
        <v/>
      </c>
      <c r="BF11" s="72">
        <f>Calc_Revenue_Opex!BF12</f>
        <v/>
      </c>
      <c r="BG11" s="72">
        <f>Calc_Revenue_Opex!BG12</f>
        <v/>
      </c>
      <c r="BH11" s="72">
        <f>Calc_Revenue_Opex!BH12</f>
        <v/>
      </c>
      <c r="BI11" s="72">
        <f>Calc_Revenue_Opex!BI12</f>
        <v/>
      </c>
      <c r="BJ11" s="72">
        <f>Calc_Revenue_Opex!BJ12</f>
        <v/>
      </c>
      <c r="BK11" s="72">
        <f>Calc_Revenue_Opex!BK12</f>
        <v/>
      </c>
      <c r="BL11" s="72">
        <f>Calc_Revenue_Opex!BL12</f>
        <v/>
      </c>
      <c r="BM11" s="72">
        <f>Calc_Revenue_Opex!BM12</f>
        <v/>
      </c>
      <c r="BN11" s="72">
        <f>Calc_Revenue_Opex!BN12</f>
        <v/>
      </c>
      <c r="BO11" s="72">
        <f>Calc_Revenue_Opex!BO12</f>
        <v/>
      </c>
      <c r="BP11" s="72">
        <f>Calc_Revenue_Opex!BP12</f>
        <v/>
      </c>
      <c r="BQ11" s="72">
        <f>Calc_Revenue_Opex!BQ12</f>
        <v/>
      </c>
      <c r="BR11" s="72">
        <f>Calc_Revenue_Opex!BR12</f>
        <v/>
      </c>
      <c r="BS11" s="72">
        <f>Calc_Revenue_Opex!BS12</f>
        <v/>
      </c>
      <c r="BT11" s="72">
        <f>Calc_Revenue_Opex!BT12</f>
        <v/>
      </c>
      <c r="BU11" s="72">
        <f>Calc_Revenue_Opex!BU12</f>
        <v/>
      </c>
      <c r="BV11" s="72">
        <f>Calc_Revenue_Opex!BV12</f>
        <v/>
      </c>
      <c r="BW11" s="72">
        <f>Calc_Revenue_Opex!BW12</f>
        <v/>
      </c>
      <c r="BX11" s="72">
        <f>Calc_Revenue_Opex!BX12</f>
        <v/>
      </c>
      <c r="BY11" s="72">
        <f>Calc_Revenue_Opex!BY12</f>
        <v/>
      </c>
      <c r="BZ11" s="72">
        <f>Calc_Revenue_Opex!BZ12</f>
        <v/>
      </c>
      <c r="CA11" s="72">
        <f>Calc_Revenue_Opex!CA12</f>
        <v/>
      </c>
      <c r="CB11" s="72">
        <f>Calc_Revenue_Opex!CB12</f>
        <v/>
      </c>
      <c r="CC11" s="72">
        <f>Calc_Revenue_Opex!CC12</f>
        <v/>
      </c>
      <c r="CD11" s="72">
        <f>Calc_Revenue_Opex!CD12</f>
        <v/>
      </c>
    </row>
    <row r="12">
      <c r="A12" t="inlineStr">
        <is>
          <t>Base Depreciation ($) — straight-line on Total Project Cost</t>
        </is>
      </c>
      <c r="C12" s="77">
        <f>Calc_Capex!$Z$17/($B$4*4)</f>
        <v/>
      </c>
      <c r="D12" s="77">
        <f>Calc_Capex!$Z$17/($B$4*4)</f>
        <v/>
      </c>
      <c r="E12" s="77">
        <f>Calc_Capex!$Z$17/($B$4*4)</f>
        <v/>
      </c>
      <c r="F12" s="77">
        <f>Calc_Capex!$Z$17/($B$4*4)</f>
        <v/>
      </c>
      <c r="G12" s="77">
        <f>Calc_Capex!$Z$17/($B$4*4)</f>
        <v/>
      </c>
      <c r="H12" s="77">
        <f>Calc_Capex!$Z$17/($B$4*4)</f>
        <v/>
      </c>
      <c r="I12" s="77">
        <f>Calc_Capex!$Z$17/($B$4*4)</f>
        <v/>
      </c>
      <c r="J12" s="77">
        <f>Calc_Capex!$Z$17/($B$4*4)</f>
        <v/>
      </c>
      <c r="K12" s="77">
        <f>Calc_Capex!$Z$17/($B$4*4)</f>
        <v/>
      </c>
      <c r="L12" s="77">
        <f>Calc_Capex!$Z$17/($B$4*4)</f>
        <v/>
      </c>
      <c r="M12" s="77">
        <f>Calc_Capex!$Z$17/($B$4*4)</f>
        <v/>
      </c>
      <c r="N12" s="77">
        <f>Calc_Capex!$Z$17/($B$4*4)</f>
        <v/>
      </c>
      <c r="O12" s="77">
        <f>Calc_Capex!$Z$17/($B$4*4)</f>
        <v/>
      </c>
      <c r="P12" s="77">
        <f>Calc_Capex!$Z$17/($B$4*4)</f>
        <v/>
      </c>
      <c r="Q12" s="77">
        <f>Calc_Capex!$Z$17/($B$4*4)</f>
        <v/>
      </c>
      <c r="R12" s="77">
        <f>Calc_Capex!$Z$17/($B$4*4)</f>
        <v/>
      </c>
      <c r="S12" s="77">
        <f>Calc_Capex!$Z$17/($B$4*4)</f>
        <v/>
      </c>
      <c r="T12" s="77">
        <f>Calc_Capex!$Z$17/($B$4*4)</f>
        <v/>
      </c>
      <c r="U12" s="77">
        <f>Calc_Capex!$Z$17/($B$4*4)</f>
        <v/>
      </c>
      <c r="V12" s="77">
        <f>Calc_Capex!$Z$17/($B$4*4)</f>
        <v/>
      </c>
      <c r="W12" s="77">
        <f>Calc_Capex!$Z$17/($B$4*4)</f>
        <v/>
      </c>
      <c r="X12" s="77">
        <f>Calc_Capex!$Z$17/($B$4*4)</f>
        <v/>
      </c>
      <c r="Y12" s="77">
        <f>Calc_Capex!$Z$17/($B$4*4)</f>
        <v/>
      </c>
      <c r="Z12" s="77">
        <f>Calc_Capex!$Z$17/($B$4*4)</f>
        <v/>
      </c>
      <c r="AA12" s="77">
        <f>Calc_Capex!$Z$17/($B$4*4)</f>
        <v/>
      </c>
      <c r="AB12" s="77">
        <f>Calc_Capex!$Z$17/($B$4*4)</f>
        <v/>
      </c>
      <c r="AC12" s="77">
        <f>Calc_Capex!$Z$17/($B$4*4)</f>
        <v/>
      </c>
      <c r="AD12" s="77">
        <f>Calc_Capex!$Z$17/($B$4*4)</f>
        <v/>
      </c>
      <c r="AE12" s="77">
        <f>Calc_Capex!$Z$17/($B$4*4)</f>
        <v/>
      </c>
      <c r="AF12" s="77">
        <f>Calc_Capex!$Z$17/($B$4*4)</f>
        <v/>
      </c>
      <c r="AG12" s="77">
        <f>Calc_Capex!$Z$17/($B$4*4)</f>
        <v/>
      </c>
      <c r="AH12" s="77">
        <f>Calc_Capex!$Z$17/($B$4*4)</f>
        <v/>
      </c>
      <c r="AI12" s="77">
        <f>Calc_Capex!$Z$17/($B$4*4)</f>
        <v/>
      </c>
      <c r="AJ12" s="77">
        <f>Calc_Capex!$Z$17/($B$4*4)</f>
        <v/>
      </c>
      <c r="AK12" s="77">
        <f>Calc_Capex!$Z$17/($B$4*4)</f>
        <v/>
      </c>
      <c r="AL12" s="77">
        <f>Calc_Capex!$Z$17/($B$4*4)</f>
        <v/>
      </c>
      <c r="AM12" s="77">
        <f>Calc_Capex!$Z$17/($B$4*4)</f>
        <v/>
      </c>
      <c r="AN12" s="77">
        <f>Calc_Capex!$Z$17/($B$4*4)</f>
        <v/>
      </c>
      <c r="AO12" s="77">
        <f>Calc_Capex!$Z$17/($B$4*4)</f>
        <v/>
      </c>
      <c r="AP12" s="77">
        <f>Calc_Capex!$Z$17/($B$4*4)</f>
        <v/>
      </c>
      <c r="AQ12" s="77">
        <f>Calc_Capex!$Z$17/($B$4*4)</f>
        <v/>
      </c>
      <c r="AR12" s="77">
        <f>Calc_Capex!$Z$17/($B$4*4)</f>
        <v/>
      </c>
      <c r="AS12" s="77">
        <f>Calc_Capex!$Z$17/($B$4*4)</f>
        <v/>
      </c>
      <c r="AT12" s="77">
        <f>Calc_Capex!$Z$17/($B$4*4)</f>
        <v/>
      </c>
      <c r="AU12" s="77">
        <f>Calc_Capex!$Z$17/($B$4*4)</f>
        <v/>
      </c>
      <c r="AV12" s="77">
        <f>Calc_Capex!$Z$17/($B$4*4)</f>
        <v/>
      </c>
      <c r="AW12" s="77">
        <f>Calc_Capex!$Z$17/($B$4*4)</f>
        <v/>
      </c>
      <c r="AX12" s="77">
        <f>Calc_Capex!$Z$17/($B$4*4)</f>
        <v/>
      </c>
      <c r="AY12" s="77">
        <f>Calc_Capex!$Z$17/($B$4*4)</f>
        <v/>
      </c>
      <c r="AZ12" s="77">
        <f>Calc_Capex!$Z$17/($B$4*4)</f>
        <v/>
      </c>
      <c r="BA12" s="77">
        <f>Calc_Capex!$Z$17/($B$4*4)</f>
        <v/>
      </c>
      <c r="BB12" s="77">
        <f>Calc_Capex!$Z$17/($B$4*4)</f>
        <v/>
      </c>
      <c r="BC12" s="77">
        <f>Calc_Capex!$Z$17/($B$4*4)</f>
        <v/>
      </c>
      <c r="BD12" s="77">
        <f>Calc_Capex!$Z$17/($B$4*4)</f>
        <v/>
      </c>
      <c r="BE12" s="77">
        <f>Calc_Capex!$Z$17/($B$4*4)</f>
        <v/>
      </c>
      <c r="BF12" s="77">
        <f>Calc_Capex!$Z$17/($B$4*4)</f>
        <v/>
      </c>
      <c r="BG12" s="77">
        <f>Calc_Capex!$Z$17/($B$4*4)</f>
        <v/>
      </c>
      <c r="BH12" s="77">
        <f>Calc_Capex!$Z$17/($B$4*4)</f>
        <v/>
      </c>
      <c r="BI12" s="77">
        <f>Calc_Capex!$Z$17/($B$4*4)</f>
        <v/>
      </c>
      <c r="BJ12" s="77">
        <f>Calc_Capex!$Z$17/($B$4*4)</f>
        <v/>
      </c>
      <c r="BK12" s="77">
        <f>Calc_Capex!$Z$17/($B$4*4)</f>
        <v/>
      </c>
      <c r="BL12" s="77">
        <f>Calc_Capex!$Z$17/($B$4*4)</f>
        <v/>
      </c>
      <c r="BM12" s="77">
        <f>Calc_Capex!$Z$17/($B$4*4)</f>
        <v/>
      </c>
      <c r="BN12" s="77">
        <f>Calc_Capex!$Z$17/($B$4*4)</f>
        <v/>
      </c>
      <c r="BO12" s="77">
        <f>Calc_Capex!$Z$17/($B$4*4)</f>
        <v/>
      </c>
      <c r="BP12" s="77">
        <f>Calc_Capex!$Z$17/($B$4*4)</f>
        <v/>
      </c>
      <c r="BQ12" s="77">
        <f>Calc_Capex!$Z$17/($B$4*4)</f>
        <v/>
      </c>
      <c r="BR12" s="77">
        <f>Calc_Capex!$Z$17/($B$4*4)</f>
        <v/>
      </c>
      <c r="BS12" s="77">
        <f>Calc_Capex!$Z$17/($B$4*4)</f>
        <v/>
      </c>
      <c r="BT12" s="77">
        <f>Calc_Capex!$Z$17/($B$4*4)</f>
        <v/>
      </c>
      <c r="BU12" s="77">
        <f>Calc_Capex!$Z$17/($B$4*4)</f>
        <v/>
      </c>
      <c r="BV12" s="77">
        <f>Calc_Capex!$Z$17/($B$4*4)</f>
        <v/>
      </c>
      <c r="BW12" s="77">
        <f>Calc_Capex!$Z$17/($B$4*4)</f>
        <v/>
      </c>
      <c r="BX12" s="77">
        <f>Calc_Capex!$Z$17/($B$4*4)</f>
        <v/>
      </c>
      <c r="BY12" s="77">
        <f>Calc_Capex!$Z$17/($B$4*4)</f>
        <v/>
      </c>
      <c r="BZ12" s="77">
        <f>Calc_Capex!$Z$17/($B$4*4)</f>
        <v/>
      </c>
      <c r="CA12" s="77">
        <f>Calc_Capex!$Z$17/($B$4*4)</f>
        <v/>
      </c>
      <c r="CB12" s="77">
        <f>Calc_Capex!$Z$17/($B$4*4)</f>
        <v/>
      </c>
      <c r="CC12" s="77">
        <f>Calc_Capex!$Z$17/($B$4*4)</f>
        <v/>
      </c>
      <c r="CD12" s="77">
        <f>Calc_Capex!$Z$17/($B$4*4)</f>
        <v/>
      </c>
    </row>
    <row r="13">
      <c r="A13" t="inlineStr">
        <is>
          <t>Maintenance Capex ($) — linked from Calc_Revenue_Opex</t>
        </is>
      </c>
      <c r="C13" s="72">
        <f>Calc_Revenue_Opex!C16</f>
        <v/>
      </c>
      <c r="D13" s="72">
        <f>Calc_Revenue_Opex!D16</f>
        <v/>
      </c>
      <c r="E13" s="72">
        <f>Calc_Revenue_Opex!E16</f>
        <v/>
      </c>
      <c r="F13" s="72">
        <f>Calc_Revenue_Opex!F16</f>
        <v/>
      </c>
      <c r="G13" s="72">
        <f>Calc_Revenue_Opex!G16</f>
        <v/>
      </c>
      <c r="H13" s="72">
        <f>Calc_Revenue_Opex!H16</f>
        <v/>
      </c>
      <c r="I13" s="72">
        <f>Calc_Revenue_Opex!I16</f>
        <v/>
      </c>
      <c r="J13" s="72">
        <f>Calc_Revenue_Opex!J16</f>
        <v/>
      </c>
      <c r="K13" s="72">
        <f>Calc_Revenue_Opex!K16</f>
        <v/>
      </c>
      <c r="L13" s="72">
        <f>Calc_Revenue_Opex!L16</f>
        <v/>
      </c>
      <c r="M13" s="72">
        <f>Calc_Revenue_Opex!M16</f>
        <v/>
      </c>
      <c r="N13" s="72">
        <f>Calc_Revenue_Opex!N16</f>
        <v/>
      </c>
      <c r="O13" s="72">
        <f>Calc_Revenue_Opex!O16</f>
        <v/>
      </c>
      <c r="P13" s="72">
        <f>Calc_Revenue_Opex!P16</f>
        <v/>
      </c>
      <c r="Q13" s="72">
        <f>Calc_Revenue_Opex!Q16</f>
        <v/>
      </c>
      <c r="R13" s="72">
        <f>Calc_Revenue_Opex!R16</f>
        <v/>
      </c>
      <c r="S13" s="72">
        <f>Calc_Revenue_Opex!S16</f>
        <v/>
      </c>
      <c r="T13" s="72">
        <f>Calc_Revenue_Opex!T16</f>
        <v/>
      </c>
      <c r="U13" s="72">
        <f>Calc_Revenue_Opex!U16</f>
        <v/>
      </c>
      <c r="V13" s="72">
        <f>Calc_Revenue_Opex!V16</f>
        <v/>
      </c>
      <c r="W13" s="72">
        <f>Calc_Revenue_Opex!W16</f>
        <v/>
      </c>
      <c r="X13" s="72">
        <f>Calc_Revenue_Opex!X16</f>
        <v/>
      </c>
      <c r="Y13" s="72">
        <f>Calc_Revenue_Opex!Y16</f>
        <v/>
      </c>
      <c r="Z13" s="72">
        <f>Calc_Revenue_Opex!Z16</f>
        <v/>
      </c>
      <c r="AA13" s="72">
        <f>Calc_Revenue_Opex!AA16</f>
        <v/>
      </c>
      <c r="AB13" s="72">
        <f>Calc_Revenue_Opex!AB16</f>
        <v/>
      </c>
      <c r="AC13" s="72">
        <f>Calc_Revenue_Opex!AC16</f>
        <v/>
      </c>
      <c r="AD13" s="72">
        <f>Calc_Revenue_Opex!AD16</f>
        <v/>
      </c>
      <c r="AE13" s="72">
        <f>Calc_Revenue_Opex!AE16</f>
        <v/>
      </c>
      <c r="AF13" s="72">
        <f>Calc_Revenue_Opex!AF16</f>
        <v/>
      </c>
      <c r="AG13" s="72">
        <f>Calc_Revenue_Opex!AG16</f>
        <v/>
      </c>
      <c r="AH13" s="72">
        <f>Calc_Revenue_Opex!AH16</f>
        <v/>
      </c>
      <c r="AI13" s="72">
        <f>Calc_Revenue_Opex!AI16</f>
        <v/>
      </c>
      <c r="AJ13" s="72">
        <f>Calc_Revenue_Opex!AJ16</f>
        <v/>
      </c>
      <c r="AK13" s="72">
        <f>Calc_Revenue_Opex!AK16</f>
        <v/>
      </c>
      <c r="AL13" s="72">
        <f>Calc_Revenue_Opex!AL16</f>
        <v/>
      </c>
      <c r="AM13" s="72">
        <f>Calc_Revenue_Opex!AM16</f>
        <v/>
      </c>
      <c r="AN13" s="72">
        <f>Calc_Revenue_Opex!AN16</f>
        <v/>
      </c>
      <c r="AO13" s="72">
        <f>Calc_Revenue_Opex!AO16</f>
        <v/>
      </c>
      <c r="AP13" s="72">
        <f>Calc_Revenue_Opex!AP16</f>
        <v/>
      </c>
      <c r="AQ13" s="72">
        <f>Calc_Revenue_Opex!AQ16</f>
        <v/>
      </c>
      <c r="AR13" s="72">
        <f>Calc_Revenue_Opex!AR16</f>
        <v/>
      </c>
      <c r="AS13" s="72">
        <f>Calc_Revenue_Opex!AS16</f>
        <v/>
      </c>
      <c r="AT13" s="72">
        <f>Calc_Revenue_Opex!AT16</f>
        <v/>
      </c>
      <c r="AU13" s="72">
        <f>Calc_Revenue_Opex!AU16</f>
        <v/>
      </c>
      <c r="AV13" s="72">
        <f>Calc_Revenue_Opex!AV16</f>
        <v/>
      </c>
      <c r="AW13" s="72">
        <f>Calc_Revenue_Opex!AW16</f>
        <v/>
      </c>
      <c r="AX13" s="72">
        <f>Calc_Revenue_Opex!AX16</f>
        <v/>
      </c>
      <c r="AY13" s="72">
        <f>Calc_Revenue_Opex!AY16</f>
        <v/>
      </c>
      <c r="AZ13" s="72">
        <f>Calc_Revenue_Opex!AZ16</f>
        <v/>
      </c>
      <c r="BA13" s="72">
        <f>Calc_Revenue_Opex!BA16</f>
        <v/>
      </c>
      <c r="BB13" s="72">
        <f>Calc_Revenue_Opex!BB16</f>
        <v/>
      </c>
      <c r="BC13" s="72">
        <f>Calc_Revenue_Opex!BC16</f>
        <v/>
      </c>
      <c r="BD13" s="72">
        <f>Calc_Revenue_Opex!BD16</f>
        <v/>
      </c>
      <c r="BE13" s="72">
        <f>Calc_Revenue_Opex!BE16</f>
        <v/>
      </c>
      <c r="BF13" s="72">
        <f>Calc_Revenue_Opex!BF16</f>
        <v/>
      </c>
      <c r="BG13" s="72">
        <f>Calc_Revenue_Opex!BG16</f>
        <v/>
      </c>
      <c r="BH13" s="72">
        <f>Calc_Revenue_Opex!BH16</f>
        <v/>
      </c>
      <c r="BI13" s="72">
        <f>Calc_Revenue_Opex!BI16</f>
        <v/>
      </c>
      <c r="BJ13" s="72">
        <f>Calc_Revenue_Opex!BJ16</f>
        <v/>
      </c>
      <c r="BK13" s="72">
        <f>Calc_Revenue_Opex!BK16</f>
        <v/>
      </c>
      <c r="BL13" s="72">
        <f>Calc_Revenue_Opex!BL16</f>
        <v/>
      </c>
      <c r="BM13" s="72">
        <f>Calc_Revenue_Opex!BM16</f>
        <v/>
      </c>
      <c r="BN13" s="72">
        <f>Calc_Revenue_Opex!BN16</f>
        <v/>
      </c>
      <c r="BO13" s="72">
        <f>Calc_Revenue_Opex!BO16</f>
        <v/>
      </c>
      <c r="BP13" s="72">
        <f>Calc_Revenue_Opex!BP16</f>
        <v/>
      </c>
      <c r="BQ13" s="72">
        <f>Calc_Revenue_Opex!BQ16</f>
        <v/>
      </c>
      <c r="BR13" s="72">
        <f>Calc_Revenue_Opex!BR16</f>
        <v/>
      </c>
      <c r="BS13" s="72">
        <f>Calc_Revenue_Opex!BS16</f>
        <v/>
      </c>
      <c r="BT13" s="72">
        <f>Calc_Revenue_Opex!BT16</f>
        <v/>
      </c>
      <c r="BU13" s="72">
        <f>Calc_Revenue_Opex!BU16</f>
        <v/>
      </c>
      <c r="BV13" s="72">
        <f>Calc_Revenue_Opex!BV16</f>
        <v/>
      </c>
      <c r="BW13" s="72">
        <f>Calc_Revenue_Opex!BW16</f>
        <v/>
      </c>
      <c r="BX13" s="72">
        <f>Calc_Revenue_Opex!BX16</f>
        <v/>
      </c>
      <c r="BY13" s="72">
        <f>Calc_Revenue_Opex!BY16</f>
        <v/>
      </c>
      <c r="BZ13" s="72">
        <f>Calc_Revenue_Opex!BZ16</f>
        <v/>
      </c>
      <c r="CA13" s="72">
        <f>Calc_Revenue_Opex!CA16</f>
        <v/>
      </c>
      <c r="CB13" s="72">
        <f>Calc_Revenue_Opex!CB16</f>
        <v/>
      </c>
      <c r="CC13" s="72">
        <f>Calc_Revenue_Opex!CC16</f>
        <v/>
      </c>
      <c r="CD13" s="72">
        <f>Calc_Revenue_Opex!CD16</f>
        <v/>
      </c>
    </row>
    <row r="14">
      <c r="A14" t="inlineStr">
        <is>
          <t>Maintenance Depreciation ($) — multi-vintage, straight-line</t>
        </is>
      </c>
      <c r="C14" s="77">
        <f>SUM(C13:C13)/($B$5*4)</f>
        <v/>
      </c>
      <c r="D14" s="77">
        <f>SUM(C13:D13)/($B$5*4)</f>
        <v/>
      </c>
      <c r="E14" s="77">
        <f>SUM(C13:E13)/($B$5*4)</f>
        <v/>
      </c>
      <c r="F14" s="77">
        <f>SUM(C13:F13)/($B$5*4)</f>
        <v/>
      </c>
      <c r="G14" s="77">
        <f>SUM(C13:G13)/($B$5*4)</f>
        <v/>
      </c>
      <c r="H14" s="77">
        <f>SUM(C13:H13)/($B$5*4)</f>
        <v/>
      </c>
      <c r="I14" s="77">
        <f>SUM(C13:I13)/($B$5*4)</f>
        <v/>
      </c>
      <c r="J14" s="77">
        <f>SUM(C13:J13)/($B$5*4)</f>
        <v/>
      </c>
      <c r="K14" s="77">
        <f>SUM(C13:K13)/($B$5*4)</f>
        <v/>
      </c>
      <c r="L14" s="77">
        <f>SUM(C13:L13)/($B$5*4)</f>
        <v/>
      </c>
      <c r="M14" s="77">
        <f>SUM(C13:M13)/($B$5*4)</f>
        <v/>
      </c>
      <c r="N14" s="77">
        <f>SUM(C13:N13)/($B$5*4)</f>
        <v/>
      </c>
      <c r="O14" s="77">
        <f>SUM(C13:O13)/($B$5*4)</f>
        <v/>
      </c>
      <c r="P14" s="77">
        <f>SUM(C13:P13)/($B$5*4)</f>
        <v/>
      </c>
      <c r="Q14" s="77">
        <f>SUM(C13:Q13)/($B$5*4)</f>
        <v/>
      </c>
      <c r="R14" s="77">
        <f>SUM(C13:R13)/($B$5*4)</f>
        <v/>
      </c>
      <c r="S14" s="77">
        <f>SUM(C13:S13)/($B$5*4)</f>
        <v/>
      </c>
      <c r="T14" s="77">
        <f>SUM(C13:T13)/($B$5*4)</f>
        <v/>
      </c>
      <c r="U14" s="77">
        <f>SUM(C13:U13)/($B$5*4)</f>
        <v/>
      </c>
      <c r="V14" s="77">
        <f>SUM(C13:V13)/($B$5*4)</f>
        <v/>
      </c>
      <c r="W14" s="77">
        <f>SUM(C13:W13)/($B$5*4)</f>
        <v/>
      </c>
      <c r="X14" s="77">
        <f>SUM(C13:X13)/($B$5*4)</f>
        <v/>
      </c>
      <c r="Y14" s="77">
        <f>SUM(C13:Y13)/($B$5*4)</f>
        <v/>
      </c>
      <c r="Z14" s="77">
        <f>SUM(C13:Z13)/($B$5*4)</f>
        <v/>
      </c>
      <c r="AA14" s="77">
        <f>SUM(C13:AA13)/($B$5*4)</f>
        <v/>
      </c>
      <c r="AB14" s="77">
        <f>SUM(C13:AB13)/($B$5*4)</f>
        <v/>
      </c>
      <c r="AC14" s="77">
        <f>SUM(C13:AC13)/($B$5*4)</f>
        <v/>
      </c>
      <c r="AD14" s="77">
        <f>SUM(C13:AD13)/($B$5*4)</f>
        <v/>
      </c>
      <c r="AE14" s="77">
        <f>SUM(C13:AE13)/($B$5*4)</f>
        <v/>
      </c>
      <c r="AF14" s="77">
        <f>SUM(C13:AF13)/($B$5*4)</f>
        <v/>
      </c>
      <c r="AG14" s="77">
        <f>SUM(C13:AG13)/($B$5*4)</f>
        <v/>
      </c>
      <c r="AH14" s="77">
        <f>SUM(C13:AH13)/($B$5*4)</f>
        <v/>
      </c>
      <c r="AI14" s="77">
        <f>SUM(C13:AI13)/($B$5*4)</f>
        <v/>
      </c>
      <c r="AJ14" s="77">
        <f>SUM(C13:AJ13)/($B$5*4)</f>
        <v/>
      </c>
      <c r="AK14" s="77">
        <f>SUM(C13:AK13)/($B$5*4)</f>
        <v/>
      </c>
      <c r="AL14" s="77">
        <f>SUM(C13:AL13)/($B$5*4)</f>
        <v/>
      </c>
      <c r="AM14" s="77">
        <f>SUM(C13:AM13)/($B$5*4)</f>
        <v/>
      </c>
      <c r="AN14" s="77">
        <f>SUM(C13:AN13)/($B$5*4)</f>
        <v/>
      </c>
      <c r="AO14" s="77">
        <f>SUM(C13:AO13)/($B$5*4)</f>
        <v/>
      </c>
      <c r="AP14" s="77">
        <f>SUM(C13:AP13)/($B$5*4)</f>
        <v/>
      </c>
      <c r="AQ14" s="77">
        <f>SUM(D13:AQ13)/($B$5*4)</f>
        <v/>
      </c>
      <c r="AR14" s="77">
        <f>SUM(E13:AR13)/($B$5*4)</f>
        <v/>
      </c>
      <c r="AS14" s="77">
        <f>SUM(F13:AS13)/($B$5*4)</f>
        <v/>
      </c>
      <c r="AT14" s="77">
        <f>SUM(G13:AT13)/($B$5*4)</f>
        <v/>
      </c>
      <c r="AU14" s="77">
        <f>SUM(H13:AU13)/($B$5*4)</f>
        <v/>
      </c>
      <c r="AV14" s="77">
        <f>SUM(I13:AV13)/($B$5*4)</f>
        <v/>
      </c>
      <c r="AW14" s="77">
        <f>SUM(J13:AW13)/($B$5*4)</f>
        <v/>
      </c>
      <c r="AX14" s="77">
        <f>SUM(K13:AX13)/($B$5*4)</f>
        <v/>
      </c>
      <c r="AY14" s="77">
        <f>SUM(L13:AY13)/($B$5*4)</f>
        <v/>
      </c>
      <c r="AZ14" s="77">
        <f>SUM(M13:AZ13)/($B$5*4)</f>
        <v/>
      </c>
      <c r="BA14" s="77">
        <f>SUM(N13:BA13)/($B$5*4)</f>
        <v/>
      </c>
      <c r="BB14" s="77">
        <f>SUM(O13:BB13)/($B$5*4)</f>
        <v/>
      </c>
      <c r="BC14" s="77">
        <f>SUM(P13:BC13)/($B$5*4)</f>
        <v/>
      </c>
      <c r="BD14" s="77">
        <f>SUM(Q13:BD13)/($B$5*4)</f>
        <v/>
      </c>
      <c r="BE14" s="77">
        <f>SUM(R13:BE13)/($B$5*4)</f>
        <v/>
      </c>
      <c r="BF14" s="77">
        <f>SUM(S13:BF13)/($B$5*4)</f>
        <v/>
      </c>
      <c r="BG14" s="77">
        <f>SUM(T13:BG13)/($B$5*4)</f>
        <v/>
      </c>
      <c r="BH14" s="77">
        <f>SUM(U13:BH13)/($B$5*4)</f>
        <v/>
      </c>
      <c r="BI14" s="77">
        <f>SUM(V13:BI13)/($B$5*4)</f>
        <v/>
      </c>
      <c r="BJ14" s="77">
        <f>SUM(W13:BJ13)/($B$5*4)</f>
        <v/>
      </c>
      <c r="BK14" s="77">
        <f>SUM(X13:BK13)/($B$5*4)</f>
        <v/>
      </c>
      <c r="BL14" s="77">
        <f>SUM(Y13:BL13)/($B$5*4)</f>
        <v/>
      </c>
      <c r="BM14" s="77">
        <f>SUM(Z13:BM13)/($B$5*4)</f>
        <v/>
      </c>
      <c r="BN14" s="77">
        <f>SUM(AA13:BN13)/($B$5*4)</f>
        <v/>
      </c>
      <c r="BO14" s="77">
        <f>SUM(AB13:BO13)/($B$5*4)</f>
        <v/>
      </c>
      <c r="BP14" s="77">
        <f>SUM(AC13:BP13)/($B$5*4)</f>
        <v/>
      </c>
      <c r="BQ14" s="77">
        <f>SUM(AD13:BQ13)/($B$5*4)</f>
        <v/>
      </c>
      <c r="BR14" s="77">
        <f>SUM(AE13:BR13)/($B$5*4)</f>
        <v/>
      </c>
      <c r="BS14" s="77">
        <f>SUM(AF13:BS13)/($B$5*4)</f>
        <v/>
      </c>
      <c r="BT14" s="77">
        <f>SUM(AG13:BT13)/($B$5*4)</f>
        <v/>
      </c>
      <c r="BU14" s="77">
        <f>SUM(AH13:BU13)/($B$5*4)</f>
        <v/>
      </c>
      <c r="BV14" s="77">
        <f>SUM(AI13:BV13)/($B$5*4)</f>
        <v/>
      </c>
      <c r="BW14" s="77">
        <f>SUM(AJ13:BW13)/($B$5*4)</f>
        <v/>
      </c>
      <c r="BX14" s="77">
        <f>SUM(AK13:BX13)/($B$5*4)</f>
        <v/>
      </c>
      <c r="BY14" s="77">
        <f>SUM(AL13:BY13)/($B$5*4)</f>
        <v/>
      </c>
      <c r="BZ14" s="77">
        <f>SUM(AM13:BZ13)/($B$5*4)</f>
        <v/>
      </c>
      <c r="CA14" s="77">
        <f>SUM(AN13:CA13)/($B$5*4)</f>
        <v/>
      </c>
      <c r="CB14" s="77">
        <f>SUM(AO13:CB13)/($B$5*4)</f>
        <v/>
      </c>
      <c r="CC14" s="77">
        <f>SUM(AP13:CC13)/($B$5*4)</f>
        <v/>
      </c>
      <c r="CD14" s="77">
        <f>SUM(AQ13:CD13)/($B$5*4)</f>
        <v/>
      </c>
    </row>
    <row r="15">
      <c r="A15" t="inlineStr">
        <is>
          <t>Total Depreciation ($)</t>
        </is>
      </c>
      <c r="C15" s="77">
        <f>C12+C14</f>
        <v/>
      </c>
      <c r="D15" s="77">
        <f>D12+D14</f>
        <v/>
      </c>
      <c r="E15" s="77">
        <f>E12+E14</f>
        <v/>
      </c>
      <c r="F15" s="77">
        <f>F12+F14</f>
        <v/>
      </c>
      <c r="G15" s="77">
        <f>G12+G14</f>
        <v/>
      </c>
      <c r="H15" s="77">
        <f>H12+H14</f>
        <v/>
      </c>
      <c r="I15" s="77">
        <f>I12+I14</f>
        <v/>
      </c>
      <c r="J15" s="77">
        <f>J12+J14</f>
        <v/>
      </c>
      <c r="K15" s="77">
        <f>K12+K14</f>
        <v/>
      </c>
      <c r="L15" s="77">
        <f>L12+L14</f>
        <v/>
      </c>
      <c r="M15" s="77">
        <f>M12+M14</f>
        <v/>
      </c>
      <c r="N15" s="77">
        <f>N12+N14</f>
        <v/>
      </c>
      <c r="O15" s="77">
        <f>O12+O14</f>
        <v/>
      </c>
      <c r="P15" s="77">
        <f>P12+P14</f>
        <v/>
      </c>
      <c r="Q15" s="77">
        <f>Q12+Q14</f>
        <v/>
      </c>
      <c r="R15" s="77">
        <f>R12+R14</f>
        <v/>
      </c>
      <c r="S15" s="77">
        <f>S12+S14</f>
        <v/>
      </c>
      <c r="T15" s="77">
        <f>T12+T14</f>
        <v/>
      </c>
      <c r="U15" s="77">
        <f>U12+U14</f>
        <v/>
      </c>
      <c r="V15" s="77">
        <f>V12+V14</f>
        <v/>
      </c>
      <c r="W15" s="77">
        <f>W12+W14</f>
        <v/>
      </c>
      <c r="X15" s="77">
        <f>X12+X14</f>
        <v/>
      </c>
      <c r="Y15" s="77">
        <f>Y12+Y14</f>
        <v/>
      </c>
      <c r="Z15" s="77">
        <f>Z12+Z14</f>
        <v/>
      </c>
      <c r="AA15" s="77">
        <f>AA12+AA14</f>
        <v/>
      </c>
      <c r="AB15" s="77">
        <f>AB12+AB14</f>
        <v/>
      </c>
      <c r="AC15" s="77">
        <f>AC12+AC14</f>
        <v/>
      </c>
      <c r="AD15" s="77">
        <f>AD12+AD14</f>
        <v/>
      </c>
      <c r="AE15" s="77">
        <f>AE12+AE14</f>
        <v/>
      </c>
      <c r="AF15" s="77">
        <f>AF12+AF14</f>
        <v/>
      </c>
      <c r="AG15" s="77">
        <f>AG12+AG14</f>
        <v/>
      </c>
      <c r="AH15" s="77">
        <f>AH12+AH14</f>
        <v/>
      </c>
      <c r="AI15" s="77">
        <f>AI12+AI14</f>
        <v/>
      </c>
      <c r="AJ15" s="77">
        <f>AJ12+AJ14</f>
        <v/>
      </c>
      <c r="AK15" s="77">
        <f>AK12+AK14</f>
        <v/>
      </c>
      <c r="AL15" s="77">
        <f>AL12+AL14</f>
        <v/>
      </c>
      <c r="AM15" s="77">
        <f>AM12+AM14</f>
        <v/>
      </c>
      <c r="AN15" s="77">
        <f>AN12+AN14</f>
        <v/>
      </c>
      <c r="AO15" s="77">
        <f>AO12+AO14</f>
        <v/>
      </c>
      <c r="AP15" s="77">
        <f>AP12+AP14</f>
        <v/>
      </c>
      <c r="AQ15" s="77">
        <f>AQ12+AQ14</f>
        <v/>
      </c>
      <c r="AR15" s="77">
        <f>AR12+AR14</f>
        <v/>
      </c>
      <c r="AS15" s="77">
        <f>AS12+AS14</f>
        <v/>
      </c>
      <c r="AT15" s="77">
        <f>AT12+AT14</f>
        <v/>
      </c>
      <c r="AU15" s="77">
        <f>AU12+AU14</f>
        <v/>
      </c>
      <c r="AV15" s="77">
        <f>AV12+AV14</f>
        <v/>
      </c>
      <c r="AW15" s="77">
        <f>AW12+AW14</f>
        <v/>
      </c>
      <c r="AX15" s="77">
        <f>AX12+AX14</f>
        <v/>
      </c>
      <c r="AY15" s="77">
        <f>AY12+AY14</f>
        <v/>
      </c>
      <c r="AZ15" s="77">
        <f>AZ12+AZ14</f>
        <v/>
      </c>
      <c r="BA15" s="77">
        <f>BA12+BA14</f>
        <v/>
      </c>
      <c r="BB15" s="77">
        <f>BB12+BB14</f>
        <v/>
      </c>
      <c r="BC15" s="77">
        <f>BC12+BC14</f>
        <v/>
      </c>
      <c r="BD15" s="77">
        <f>BD12+BD14</f>
        <v/>
      </c>
      <c r="BE15" s="77">
        <f>BE12+BE14</f>
        <v/>
      </c>
      <c r="BF15" s="77">
        <f>BF12+BF14</f>
        <v/>
      </c>
      <c r="BG15" s="77">
        <f>BG12+BG14</f>
        <v/>
      </c>
      <c r="BH15" s="77">
        <f>BH12+BH14</f>
        <v/>
      </c>
      <c r="BI15" s="77">
        <f>BI12+BI14</f>
        <v/>
      </c>
      <c r="BJ15" s="77">
        <f>BJ12+BJ14</f>
        <v/>
      </c>
      <c r="BK15" s="77">
        <f>BK12+BK14</f>
        <v/>
      </c>
      <c r="BL15" s="77">
        <f>BL12+BL14</f>
        <v/>
      </c>
      <c r="BM15" s="77">
        <f>BM12+BM14</f>
        <v/>
      </c>
      <c r="BN15" s="77">
        <f>BN12+BN14</f>
        <v/>
      </c>
      <c r="BO15" s="77">
        <f>BO12+BO14</f>
        <v/>
      </c>
      <c r="BP15" s="77">
        <f>BP12+BP14</f>
        <v/>
      </c>
      <c r="BQ15" s="77">
        <f>BQ12+BQ14</f>
        <v/>
      </c>
      <c r="BR15" s="77">
        <f>BR12+BR14</f>
        <v/>
      </c>
      <c r="BS15" s="77">
        <f>BS12+BS14</f>
        <v/>
      </c>
      <c r="BT15" s="77">
        <f>BT12+BT14</f>
        <v/>
      </c>
      <c r="BU15" s="77">
        <f>BU12+BU14</f>
        <v/>
      </c>
      <c r="BV15" s="77">
        <f>BV12+BV14</f>
        <v/>
      </c>
      <c r="BW15" s="77">
        <f>BW12+BW14</f>
        <v/>
      </c>
      <c r="BX15" s="77">
        <f>BX12+BX14</f>
        <v/>
      </c>
      <c r="BY15" s="77">
        <f>BY12+BY14</f>
        <v/>
      </c>
      <c r="BZ15" s="77">
        <f>BZ12+BZ14</f>
        <v/>
      </c>
      <c r="CA15" s="77">
        <f>CA12+CA14</f>
        <v/>
      </c>
      <c r="CB15" s="77">
        <f>CB12+CB14</f>
        <v/>
      </c>
      <c r="CC15" s="77">
        <f>CC12+CC14</f>
        <v/>
      </c>
      <c r="CD15" s="77">
        <f>CD12+CD14</f>
        <v/>
      </c>
    </row>
    <row r="16">
      <c r="A16" t="inlineStr">
        <is>
          <t>Interest Expense ($) — linked from Calc_Financing_Ops (tax shield)</t>
        </is>
      </c>
      <c r="C16" s="72">
        <f>Calc_Financing_Ops!C19</f>
        <v/>
      </c>
      <c r="D16" s="72">
        <f>Calc_Financing_Ops!D19</f>
        <v/>
      </c>
      <c r="E16" s="72">
        <f>Calc_Financing_Ops!E19</f>
        <v/>
      </c>
      <c r="F16" s="72">
        <f>Calc_Financing_Ops!F19</f>
        <v/>
      </c>
      <c r="G16" s="72">
        <f>Calc_Financing_Ops!G19</f>
        <v/>
      </c>
      <c r="H16" s="72">
        <f>Calc_Financing_Ops!H19</f>
        <v/>
      </c>
      <c r="I16" s="72">
        <f>Calc_Financing_Ops!I19</f>
        <v/>
      </c>
      <c r="J16" s="72">
        <f>Calc_Financing_Ops!J19</f>
        <v/>
      </c>
      <c r="K16" s="72">
        <f>Calc_Financing_Ops!K19</f>
        <v/>
      </c>
      <c r="L16" s="72">
        <f>Calc_Financing_Ops!L19</f>
        <v/>
      </c>
      <c r="M16" s="72">
        <f>Calc_Financing_Ops!M19</f>
        <v/>
      </c>
      <c r="N16" s="72">
        <f>Calc_Financing_Ops!N19</f>
        <v/>
      </c>
      <c r="O16" s="72">
        <f>Calc_Financing_Ops!O19</f>
        <v/>
      </c>
      <c r="P16" s="72">
        <f>Calc_Financing_Ops!P19</f>
        <v/>
      </c>
      <c r="Q16" s="72">
        <f>Calc_Financing_Ops!Q19</f>
        <v/>
      </c>
      <c r="R16" s="72">
        <f>Calc_Financing_Ops!R19</f>
        <v/>
      </c>
      <c r="S16" s="72">
        <f>Calc_Financing_Ops!S19</f>
        <v/>
      </c>
      <c r="T16" s="72">
        <f>Calc_Financing_Ops!T19</f>
        <v/>
      </c>
      <c r="U16" s="72">
        <f>Calc_Financing_Ops!U19</f>
        <v/>
      </c>
      <c r="V16" s="72">
        <f>Calc_Financing_Ops!V19</f>
        <v/>
      </c>
      <c r="W16" s="72">
        <f>Calc_Financing_Ops!W19</f>
        <v/>
      </c>
      <c r="X16" s="72">
        <f>Calc_Financing_Ops!X19</f>
        <v/>
      </c>
      <c r="Y16" s="72">
        <f>Calc_Financing_Ops!Y19</f>
        <v/>
      </c>
      <c r="Z16" s="72">
        <f>Calc_Financing_Ops!Z19</f>
        <v/>
      </c>
      <c r="AA16" s="72">
        <f>Calc_Financing_Ops!AA19</f>
        <v/>
      </c>
      <c r="AB16" s="72">
        <f>Calc_Financing_Ops!AB19</f>
        <v/>
      </c>
      <c r="AC16" s="72">
        <f>Calc_Financing_Ops!AC19</f>
        <v/>
      </c>
      <c r="AD16" s="72">
        <f>Calc_Financing_Ops!AD19</f>
        <v/>
      </c>
      <c r="AE16" s="72">
        <f>Calc_Financing_Ops!AE19</f>
        <v/>
      </c>
      <c r="AF16" s="72">
        <f>Calc_Financing_Ops!AF19</f>
        <v/>
      </c>
      <c r="AG16" s="72">
        <f>Calc_Financing_Ops!AG19</f>
        <v/>
      </c>
      <c r="AH16" s="72">
        <f>Calc_Financing_Ops!AH19</f>
        <v/>
      </c>
      <c r="AI16" s="72">
        <f>Calc_Financing_Ops!AI19</f>
        <v/>
      </c>
      <c r="AJ16" s="72">
        <f>Calc_Financing_Ops!AJ19</f>
        <v/>
      </c>
      <c r="AK16" s="72">
        <f>Calc_Financing_Ops!AK19</f>
        <v/>
      </c>
      <c r="AL16" s="72">
        <f>Calc_Financing_Ops!AL19</f>
        <v/>
      </c>
      <c r="AM16" s="72">
        <f>Calc_Financing_Ops!AM19</f>
        <v/>
      </c>
      <c r="AN16" s="72">
        <f>Calc_Financing_Ops!AN19</f>
        <v/>
      </c>
      <c r="AO16" s="72">
        <f>Calc_Financing_Ops!AO19</f>
        <v/>
      </c>
      <c r="AP16" s="72">
        <f>Calc_Financing_Ops!AP19</f>
        <v/>
      </c>
      <c r="AQ16" s="72">
        <f>Calc_Financing_Ops!AQ19</f>
        <v/>
      </c>
      <c r="AR16" s="72">
        <f>Calc_Financing_Ops!AR19</f>
        <v/>
      </c>
      <c r="AS16" s="72">
        <f>Calc_Financing_Ops!AS19</f>
        <v/>
      </c>
      <c r="AT16" s="72">
        <f>Calc_Financing_Ops!AT19</f>
        <v/>
      </c>
      <c r="AU16" s="72">
        <f>Calc_Financing_Ops!AU19</f>
        <v/>
      </c>
      <c r="AV16" s="72">
        <f>Calc_Financing_Ops!AV19</f>
        <v/>
      </c>
      <c r="AW16" s="72">
        <f>Calc_Financing_Ops!AW19</f>
        <v/>
      </c>
      <c r="AX16" s="72">
        <f>Calc_Financing_Ops!AX19</f>
        <v/>
      </c>
      <c r="AY16" s="72">
        <f>Calc_Financing_Ops!AY19</f>
        <v/>
      </c>
      <c r="AZ16" s="72">
        <f>Calc_Financing_Ops!AZ19</f>
        <v/>
      </c>
      <c r="BA16" s="72">
        <f>Calc_Financing_Ops!BA19</f>
        <v/>
      </c>
      <c r="BB16" s="72">
        <f>Calc_Financing_Ops!BB19</f>
        <v/>
      </c>
      <c r="BC16" s="72">
        <f>Calc_Financing_Ops!BC19</f>
        <v/>
      </c>
      <c r="BD16" s="72">
        <f>Calc_Financing_Ops!BD19</f>
        <v/>
      </c>
      <c r="BE16" s="72">
        <f>Calc_Financing_Ops!BE19</f>
        <v/>
      </c>
      <c r="BF16" s="72">
        <f>Calc_Financing_Ops!BF19</f>
        <v/>
      </c>
      <c r="BG16" s="72">
        <f>Calc_Financing_Ops!BG19</f>
        <v/>
      </c>
      <c r="BH16" s="72">
        <f>Calc_Financing_Ops!BH19</f>
        <v/>
      </c>
      <c r="BI16" s="72">
        <f>Calc_Financing_Ops!BI19</f>
        <v/>
      </c>
      <c r="BJ16" s="72">
        <f>Calc_Financing_Ops!BJ19</f>
        <v/>
      </c>
      <c r="BK16" s="72">
        <f>Calc_Financing_Ops!BK19</f>
        <v/>
      </c>
      <c r="BL16" s="72">
        <f>Calc_Financing_Ops!BL19</f>
        <v/>
      </c>
      <c r="BM16" s="72">
        <f>Calc_Financing_Ops!BM19</f>
        <v/>
      </c>
      <c r="BN16" s="72">
        <f>Calc_Financing_Ops!BN19</f>
        <v/>
      </c>
      <c r="BO16" s="72">
        <f>Calc_Financing_Ops!BO19</f>
        <v/>
      </c>
      <c r="BP16" s="72">
        <f>Calc_Financing_Ops!BP19</f>
        <v/>
      </c>
      <c r="BQ16" s="72">
        <f>Calc_Financing_Ops!BQ19</f>
        <v/>
      </c>
      <c r="BR16" s="72">
        <f>Calc_Financing_Ops!BR19</f>
        <v/>
      </c>
      <c r="BS16" s="72">
        <f>Calc_Financing_Ops!BS19</f>
        <v/>
      </c>
      <c r="BT16" s="72">
        <f>Calc_Financing_Ops!BT19</f>
        <v/>
      </c>
      <c r="BU16" s="72">
        <f>Calc_Financing_Ops!BU19</f>
        <v/>
      </c>
      <c r="BV16" s="72">
        <f>Calc_Financing_Ops!BV19</f>
        <v/>
      </c>
      <c r="BW16" s="72">
        <f>Calc_Financing_Ops!BW19</f>
        <v/>
      </c>
      <c r="BX16" s="72">
        <f>Calc_Financing_Ops!BX19</f>
        <v/>
      </c>
      <c r="BY16" s="72">
        <f>Calc_Financing_Ops!BY19</f>
        <v/>
      </c>
      <c r="BZ16" s="72">
        <f>Calc_Financing_Ops!BZ19</f>
        <v/>
      </c>
      <c r="CA16" s="72">
        <f>Calc_Financing_Ops!CA19</f>
        <v/>
      </c>
      <c r="CB16" s="72">
        <f>Calc_Financing_Ops!CB19</f>
        <v/>
      </c>
      <c r="CC16" s="72">
        <f>Calc_Financing_Ops!CC19</f>
        <v/>
      </c>
      <c r="CD16" s="72">
        <f>Calc_Financing_Ops!CD19</f>
        <v/>
      </c>
    </row>
    <row r="17">
      <c r="A17" t="inlineStr">
        <is>
          <t>EBT ($) = EBITDA - Total Depreciation - Interest</t>
        </is>
      </c>
      <c r="C17" s="77">
        <f>C11-C15-C16</f>
        <v/>
      </c>
      <c r="D17" s="77">
        <f>D11-D15-D16</f>
        <v/>
      </c>
      <c r="E17" s="77">
        <f>E11-E15-E16</f>
        <v/>
      </c>
      <c r="F17" s="77">
        <f>F11-F15-F16</f>
        <v/>
      </c>
      <c r="G17" s="77">
        <f>G11-G15-G16</f>
        <v/>
      </c>
      <c r="H17" s="77">
        <f>H11-H15-H16</f>
        <v/>
      </c>
      <c r="I17" s="77">
        <f>I11-I15-I16</f>
        <v/>
      </c>
      <c r="J17" s="77">
        <f>J11-J15-J16</f>
        <v/>
      </c>
      <c r="K17" s="77">
        <f>K11-K15-K16</f>
        <v/>
      </c>
      <c r="L17" s="77">
        <f>L11-L15-L16</f>
        <v/>
      </c>
      <c r="M17" s="77">
        <f>M11-M15-M16</f>
        <v/>
      </c>
      <c r="N17" s="77">
        <f>N11-N15-N16</f>
        <v/>
      </c>
      <c r="O17" s="77">
        <f>O11-O15-O16</f>
        <v/>
      </c>
      <c r="P17" s="77">
        <f>P11-P15-P16</f>
        <v/>
      </c>
      <c r="Q17" s="77">
        <f>Q11-Q15-Q16</f>
        <v/>
      </c>
      <c r="R17" s="77">
        <f>R11-R15-R16</f>
        <v/>
      </c>
      <c r="S17" s="77">
        <f>S11-S15-S16</f>
        <v/>
      </c>
      <c r="T17" s="77">
        <f>T11-T15-T16</f>
        <v/>
      </c>
      <c r="U17" s="77">
        <f>U11-U15-U16</f>
        <v/>
      </c>
      <c r="V17" s="77">
        <f>V11-V15-V16</f>
        <v/>
      </c>
      <c r="W17" s="77">
        <f>W11-W15-W16</f>
        <v/>
      </c>
      <c r="X17" s="77">
        <f>X11-X15-X16</f>
        <v/>
      </c>
      <c r="Y17" s="77">
        <f>Y11-Y15-Y16</f>
        <v/>
      </c>
      <c r="Z17" s="77">
        <f>Z11-Z15-Z16</f>
        <v/>
      </c>
      <c r="AA17" s="77">
        <f>AA11-AA15-AA16</f>
        <v/>
      </c>
      <c r="AB17" s="77">
        <f>AB11-AB15-AB16</f>
        <v/>
      </c>
      <c r="AC17" s="77">
        <f>AC11-AC15-AC16</f>
        <v/>
      </c>
      <c r="AD17" s="77">
        <f>AD11-AD15-AD16</f>
        <v/>
      </c>
      <c r="AE17" s="77">
        <f>AE11-AE15-AE16</f>
        <v/>
      </c>
      <c r="AF17" s="77">
        <f>AF11-AF15-AF16</f>
        <v/>
      </c>
      <c r="AG17" s="77">
        <f>AG11-AG15-AG16</f>
        <v/>
      </c>
      <c r="AH17" s="77">
        <f>AH11-AH15-AH16</f>
        <v/>
      </c>
      <c r="AI17" s="77">
        <f>AI11-AI15-AI16</f>
        <v/>
      </c>
      <c r="AJ17" s="77">
        <f>AJ11-AJ15-AJ16</f>
        <v/>
      </c>
      <c r="AK17" s="77">
        <f>AK11-AK15-AK16</f>
        <v/>
      </c>
      <c r="AL17" s="77">
        <f>AL11-AL15-AL16</f>
        <v/>
      </c>
      <c r="AM17" s="77">
        <f>AM11-AM15-AM16</f>
        <v/>
      </c>
      <c r="AN17" s="77">
        <f>AN11-AN15-AN16</f>
        <v/>
      </c>
      <c r="AO17" s="77">
        <f>AO11-AO15-AO16</f>
        <v/>
      </c>
      <c r="AP17" s="77">
        <f>AP11-AP15-AP16</f>
        <v/>
      </c>
      <c r="AQ17" s="77">
        <f>AQ11-AQ15-AQ16</f>
        <v/>
      </c>
      <c r="AR17" s="77">
        <f>AR11-AR15-AR16</f>
        <v/>
      </c>
      <c r="AS17" s="77">
        <f>AS11-AS15-AS16</f>
        <v/>
      </c>
      <c r="AT17" s="77">
        <f>AT11-AT15-AT16</f>
        <v/>
      </c>
      <c r="AU17" s="77">
        <f>AU11-AU15-AU16</f>
        <v/>
      </c>
      <c r="AV17" s="77">
        <f>AV11-AV15-AV16</f>
        <v/>
      </c>
      <c r="AW17" s="77">
        <f>AW11-AW15-AW16</f>
        <v/>
      </c>
      <c r="AX17" s="77">
        <f>AX11-AX15-AX16</f>
        <v/>
      </c>
      <c r="AY17" s="77">
        <f>AY11-AY15-AY16</f>
        <v/>
      </c>
      <c r="AZ17" s="77">
        <f>AZ11-AZ15-AZ16</f>
        <v/>
      </c>
      <c r="BA17" s="77">
        <f>BA11-BA15-BA16</f>
        <v/>
      </c>
      <c r="BB17" s="77">
        <f>BB11-BB15-BB16</f>
        <v/>
      </c>
      <c r="BC17" s="77">
        <f>BC11-BC15-BC16</f>
        <v/>
      </c>
      <c r="BD17" s="77">
        <f>BD11-BD15-BD16</f>
        <v/>
      </c>
      <c r="BE17" s="77">
        <f>BE11-BE15-BE16</f>
        <v/>
      </c>
      <c r="BF17" s="77">
        <f>BF11-BF15-BF16</f>
        <v/>
      </c>
      <c r="BG17" s="77">
        <f>BG11-BG15-BG16</f>
        <v/>
      </c>
      <c r="BH17" s="77">
        <f>BH11-BH15-BH16</f>
        <v/>
      </c>
      <c r="BI17" s="77">
        <f>BI11-BI15-BI16</f>
        <v/>
      </c>
      <c r="BJ17" s="77">
        <f>BJ11-BJ15-BJ16</f>
        <v/>
      </c>
      <c r="BK17" s="77">
        <f>BK11-BK15-BK16</f>
        <v/>
      </c>
      <c r="BL17" s="77">
        <f>BL11-BL15-BL16</f>
        <v/>
      </c>
      <c r="BM17" s="77">
        <f>BM11-BM15-BM16</f>
        <v/>
      </c>
      <c r="BN17" s="77">
        <f>BN11-BN15-BN16</f>
        <v/>
      </c>
      <c r="BO17" s="77">
        <f>BO11-BO15-BO16</f>
        <v/>
      </c>
      <c r="BP17" s="77">
        <f>BP11-BP15-BP16</f>
        <v/>
      </c>
      <c r="BQ17" s="77">
        <f>BQ11-BQ15-BQ16</f>
        <v/>
      </c>
      <c r="BR17" s="77">
        <f>BR11-BR15-BR16</f>
        <v/>
      </c>
      <c r="BS17" s="77">
        <f>BS11-BS15-BS16</f>
        <v/>
      </c>
      <c r="BT17" s="77">
        <f>BT11-BT15-BT16</f>
        <v/>
      </c>
      <c r="BU17" s="77">
        <f>BU11-BU15-BU16</f>
        <v/>
      </c>
      <c r="BV17" s="77">
        <f>BV11-BV15-BV16</f>
        <v/>
      </c>
      <c r="BW17" s="77">
        <f>BW11-BW15-BW16</f>
        <v/>
      </c>
      <c r="BX17" s="77">
        <f>BX11-BX15-BX16</f>
        <v/>
      </c>
      <c r="BY17" s="77">
        <f>BY11-BY15-BY16</f>
        <v/>
      </c>
      <c r="BZ17" s="77">
        <f>BZ11-BZ15-BZ16</f>
        <v/>
      </c>
      <c r="CA17" s="77">
        <f>CA11-CA15-CA16</f>
        <v/>
      </c>
      <c r="CB17" s="77">
        <f>CB11-CB15-CB16</f>
        <v/>
      </c>
      <c r="CC17" s="77">
        <f>CC11-CC15-CC16</f>
        <v/>
      </c>
      <c r="CD17" s="77">
        <f>CD11-CD15-CD16</f>
        <v/>
      </c>
    </row>
    <row r="19">
      <c r="A19" t="inlineStr">
        <is>
          <t>Tax Losses b/f, Opening ($)</t>
        </is>
      </c>
      <c r="C19" s="77">
        <f>0</f>
        <v/>
      </c>
      <c r="D19" s="77">
        <f>C22</f>
        <v/>
      </c>
      <c r="E19" s="77">
        <f>D22</f>
        <v/>
      </c>
      <c r="F19" s="77">
        <f>E22</f>
        <v/>
      </c>
      <c r="G19" s="77">
        <f>F22</f>
        <v/>
      </c>
      <c r="H19" s="77">
        <f>G22</f>
        <v/>
      </c>
      <c r="I19" s="77">
        <f>H22</f>
        <v/>
      </c>
      <c r="J19" s="77">
        <f>I22</f>
        <v/>
      </c>
      <c r="K19" s="77">
        <f>J22</f>
        <v/>
      </c>
      <c r="L19" s="77">
        <f>K22</f>
        <v/>
      </c>
      <c r="M19" s="77">
        <f>L22</f>
        <v/>
      </c>
      <c r="N19" s="77">
        <f>M22</f>
        <v/>
      </c>
      <c r="O19" s="77">
        <f>N22</f>
        <v/>
      </c>
      <c r="P19" s="77">
        <f>O22</f>
        <v/>
      </c>
      <c r="Q19" s="77">
        <f>P22</f>
        <v/>
      </c>
      <c r="R19" s="77">
        <f>Q22</f>
        <v/>
      </c>
      <c r="S19" s="77">
        <f>R22</f>
        <v/>
      </c>
      <c r="T19" s="77">
        <f>S22</f>
        <v/>
      </c>
      <c r="U19" s="77">
        <f>T22</f>
        <v/>
      </c>
      <c r="V19" s="77">
        <f>U22</f>
        <v/>
      </c>
      <c r="W19" s="77">
        <f>V22</f>
        <v/>
      </c>
      <c r="X19" s="77">
        <f>W22</f>
        <v/>
      </c>
      <c r="Y19" s="77">
        <f>X22</f>
        <v/>
      </c>
      <c r="Z19" s="77">
        <f>Y22</f>
        <v/>
      </c>
      <c r="AA19" s="77">
        <f>Z22</f>
        <v/>
      </c>
      <c r="AB19" s="77">
        <f>AA22</f>
        <v/>
      </c>
      <c r="AC19" s="77">
        <f>AB22</f>
        <v/>
      </c>
      <c r="AD19" s="77">
        <f>AC22</f>
        <v/>
      </c>
      <c r="AE19" s="77">
        <f>AD22</f>
        <v/>
      </c>
      <c r="AF19" s="77">
        <f>AE22</f>
        <v/>
      </c>
      <c r="AG19" s="77">
        <f>AF22</f>
        <v/>
      </c>
      <c r="AH19" s="77">
        <f>AG22</f>
        <v/>
      </c>
      <c r="AI19" s="77">
        <f>AH22</f>
        <v/>
      </c>
      <c r="AJ19" s="77">
        <f>AI22</f>
        <v/>
      </c>
      <c r="AK19" s="77">
        <f>AJ22</f>
        <v/>
      </c>
      <c r="AL19" s="77">
        <f>AK22</f>
        <v/>
      </c>
      <c r="AM19" s="77">
        <f>AL22</f>
        <v/>
      </c>
      <c r="AN19" s="77">
        <f>AM22</f>
        <v/>
      </c>
      <c r="AO19" s="77">
        <f>AN22</f>
        <v/>
      </c>
      <c r="AP19" s="77">
        <f>AO22</f>
        <v/>
      </c>
      <c r="AQ19" s="77">
        <f>AP22</f>
        <v/>
      </c>
      <c r="AR19" s="77">
        <f>AQ22</f>
        <v/>
      </c>
      <c r="AS19" s="77">
        <f>AR22</f>
        <v/>
      </c>
      <c r="AT19" s="77">
        <f>AS22</f>
        <v/>
      </c>
      <c r="AU19" s="77">
        <f>AT22</f>
        <v/>
      </c>
      <c r="AV19" s="77">
        <f>AU22</f>
        <v/>
      </c>
      <c r="AW19" s="77">
        <f>AV22</f>
        <v/>
      </c>
      <c r="AX19" s="77">
        <f>AW22</f>
        <v/>
      </c>
      <c r="AY19" s="77">
        <f>AX22</f>
        <v/>
      </c>
      <c r="AZ19" s="77">
        <f>AY22</f>
        <v/>
      </c>
      <c r="BA19" s="77">
        <f>AZ22</f>
        <v/>
      </c>
      <c r="BB19" s="77">
        <f>BA22</f>
        <v/>
      </c>
      <c r="BC19" s="77">
        <f>BB22</f>
        <v/>
      </c>
      <c r="BD19" s="77">
        <f>BC22</f>
        <v/>
      </c>
      <c r="BE19" s="77">
        <f>BD22</f>
        <v/>
      </c>
      <c r="BF19" s="77">
        <f>BE22</f>
        <v/>
      </c>
      <c r="BG19" s="77">
        <f>BF22</f>
        <v/>
      </c>
      <c r="BH19" s="77">
        <f>BG22</f>
        <v/>
      </c>
      <c r="BI19" s="77">
        <f>BH22</f>
        <v/>
      </c>
      <c r="BJ19" s="77">
        <f>BI22</f>
        <v/>
      </c>
      <c r="BK19" s="77">
        <f>BJ22</f>
        <v/>
      </c>
      <c r="BL19" s="77">
        <f>BK22</f>
        <v/>
      </c>
      <c r="BM19" s="77">
        <f>BL22</f>
        <v/>
      </c>
      <c r="BN19" s="77">
        <f>BM22</f>
        <v/>
      </c>
      <c r="BO19" s="77">
        <f>BN22</f>
        <v/>
      </c>
      <c r="BP19" s="77">
        <f>BO22</f>
        <v/>
      </c>
      <c r="BQ19" s="77">
        <f>BP22</f>
        <v/>
      </c>
      <c r="BR19" s="77">
        <f>BQ22</f>
        <v/>
      </c>
      <c r="BS19" s="77">
        <f>BR22</f>
        <v/>
      </c>
      <c r="BT19" s="77">
        <f>BS22</f>
        <v/>
      </c>
      <c r="BU19" s="77">
        <f>BT22</f>
        <v/>
      </c>
      <c r="BV19" s="77">
        <f>BU22</f>
        <v/>
      </c>
      <c r="BW19" s="77">
        <f>BV22</f>
        <v/>
      </c>
      <c r="BX19" s="77">
        <f>BW22</f>
        <v/>
      </c>
      <c r="BY19" s="77">
        <f>BX22</f>
        <v/>
      </c>
      <c r="BZ19" s="77">
        <f>BY22</f>
        <v/>
      </c>
      <c r="CA19" s="77">
        <f>BZ22</f>
        <v/>
      </c>
      <c r="CB19" s="77">
        <f>CA22</f>
        <v/>
      </c>
      <c r="CC19" s="77">
        <f>CB22</f>
        <v/>
      </c>
      <c r="CD19" s="77">
        <f>CC22</f>
        <v/>
      </c>
    </row>
    <row r="20">
      <c r="A20" t="inlineStr">
        <is>
          <t>Losses Arising ($) — this quarter's negative EBT</t>
        </is>
      </c>
      <c r="C20" s="77">
        <f>MAX(-C17,0)</f>
        <v/>
      </c>
      <c r="D20" s="77">
        <f>MAX(-D17,0)</f>
        <v/>
      </c>
      <c r="E20" s="77">
        <f>MAX(-E17,0)</f>
        <v/>
      </c>
      <c r="F20" s="77">
        <f>MAX(-F17,0)</f>
        <v/>
      </c>
      <c r="G20" s="77">
        <f>MAX(-G17,0)</f>
        <v/>
      </c>
      <c r="H20" s="77">
        <f>MAX(-H17,0)</f>
        <v/>
      </c>
      <c r="I20" s="77">
        <f>MAX(-I17,0)</f>
        <v/>
      </c>
      <c r="J20" s="77">
        <f>MAX(-J17,0)</f>
        <v/>
      </c>
      <c r="K20" s="77">
        <f>MAX(-K17,0)</f>
        <v/>
      </c>
      <c r="L20" s="77">
        <f>MAX(-L17,0)</f>
        <v/>
      </c>
      <c r="M20" s="77">
        <f>MAX(-M17,0)</f>
        <v/>
      </c>
      <c r="N20" s="77">
        <f>MAX(-N17,0)</f>
        <v/>
      </c>
      <c r="O20" s="77">
        <f>MAX(-O17,0)</f>
        <v/>
      </c>
      <c r="P20" s="77">
        <f>MAX(-P17,0)</f>
        <v/>
      </c>
      <c r="Q20" s="77">
        <f>MAX(-Q17,0)</f>
        <v/>
      </c>
      <c r="R20" s="77">
        <f>MAX(-R17,0)</f>
        <v/>
      </c>
      <c r="S20" s="77">
        <f>MAX(-S17,0)</f>
        <v/>
      </c>
      <c r="T20" s="77">
        <f>MAX(-T17,0)</f>
        <v/>
      </c>
      <c r="U20" s="77">
        <f>MAX(-U17,0)</f>
        <v/>
      </c>
      <c r="V20" s="77">
        <f>MAX(-V17,0)</f>
        <v/>
      </c>
      <c r="W20" s="77">
        <f>MAX(-W17,0)</f>
        <v/>
      </c>
      <c r="X20" s="77">
        <f>MAX(-X17,0)</f>
        <v/>
      </c>
      <c r="Y20" s="77">
        <f>MAX(-Y17,0)</f>
        <v/>
      </c>
      <c r="Z20" s="77">
        <f>MAX(-Z17,0)</f>
        <v/>
      </c>
      <c r="AA20" s="77">
        <f>MAX(-AA17,0)</f>
        <v/>
      </c>
      <c r="AB20" s="77">
        <f>MAX(-AB17,0)</f>
        <v/>
      </c>
      <c r="AC20" s="77">
        <f>MAX(-AC17,0)</f>
        <v/>
      </c>
      <c r="AD20" s="77">
        <f>MAX(-AD17,0)</f>
        <v/>
      </c>
      <c r="AE20" s="77">
        <f>MAX(-AE17,0)</f>
        <v/>
      </c>
      <c r="AF20" s="77">
        <f>MAX(-AF17,0)</f>
        <v/>
      </c>
      <c r="AG20" s="77">
        <f>MAX(-AG17,0)</f>
        <v/>
      </c>
      <c r="AH20" s="77">
        <f>MAX(-AH17,0)</f>
        <v/>
      </c>
      <c r="AI20" s="77">
        <f>MAX(-AI17,0)</f>
        <v/>
      </c>
      <c r="AJ20" s="77">
        <f>MAX(-AJ17,0)</f>
        <v/>
      </c>
      <c r="AK20" s="77">
        <f>MAX(-AK17,0)</f>
        <v/>
      </c>
      <c r="AL20" s="77">
        <f>MAX(-AL17,0)</f>
        <v/>
      </c>
      <c r="AM20" s="77">
        <f>MAX(-AM17,0)</f>
        <v/>
      </c>
      <c r="AN20" s="77">
        <f>MAX(-AN17,0)</f>
        <v/>
      </c>
      <c r="AO20" s="77">
        <f>MAX(-AO17,0)</f>
        <v/>
      </c>
      <c r="AP20" s="77">
        <f>MAX(-AP17,0)</f>
        <v/>
      </c>
      <c r="AQ20" s="77">
        <f>MAX(-AQ17,0)</f>
        <v/>
      </c>
      <c r="AR20" s="77">
        <f>MAX(-AR17,0)</f>
        <v/>
      </c>
      <c r="AS20" s="77">
        <f>MAX(-AS17,0)</f>
        <v/>
      </c>
      <c r="AT20" s="77">
        <f>MAX(-AT17,0)</f>
        <v/>
      </c>
      <c r="AU20" s="77">
        <f>MAX(-AU17,0)</f>
        <v/>
      </c>
      <c r="AV20" s="77">
        <f>MAX(-AV17,0)</f>
        <v/>
      </c>
      <c r="AW20" s="77">
        <f>MAX(-AW17,0)</f>
        <v/>
      </c>
      <c r="AX20" s="77">
        <f>MAX(-AX17,0)</f>
        <v/>
      </c>
      <c r="AY20" s="77">
        <f>MAX(-AY17,0)</f>
        <v/>
      </c>
      <c r="AZ20" s="77">
        <f>MAX(-AZ17,0)</f>
        <v/>
      </c>
      <c r="BA20" s="77">
        <f>MAX(-BA17,0)</f>
        <v/>
      </c>
      <c r="BB20" s="77">
        <f>MAX(-BB17,0)</f>
        <v/>
      </c>
      <c r="BC20" s="77">
        <f>MAX(-BC17,0)</f>
        <v/>
      </c>
      <c r="BD20" s="77">
        <f>MAX(-BD17,0)</f>
        <v/>
      </c>
      <c r="BE20" s="77">
        <f>MAX(-BE17,0)</f>
        <v/>
      </c>
      <c r="BF20" s="77">
        <f>MAX(-BF17,0)</f>
        <v/>
      </c>
      <c r="BG20" s="77">
        <f>MAX(-BG17,0)</f>
        <v/>
      </c>
      <c r="BH20" s="77">
        <f>MAX(-BH17,0)</f>
        <v/>
      </c>
      <c r="BI20" s="77">
        <f>MAX(-BI17,0)</f>
        <v/>
      </c>
      <c r="BJ20" s="77">
        <f>MAX(-BJ17,0)</f>
        <v/>
      </c>
      <c r="BK20" s="77">
        <f>MAX(-BK17,0)</f>
        <v/>
      </c>
      <c r="BL20" s="77">
        <f>MAX(-BL17,0)</f>
        <v/>
      </c>
      <c r="BM20" s="77">
        <f>MAX(-BM17,0)</f>
        <v/>
      </c>
      <c r="BN20" s="77">
        <f>MAX(-BN17,0)</f>
        <v/>
      </c>
      <c r="BO20" s="77">
        <f>MAX(-BO17,0)</f>
        <v/>
      </c>
      <c r="BP20" s="77">
        <f>MAX(-BP17,0)</f>
        <v/>
      </c>
      <c r="BQ20" s="77">
        <f>MAX(-BQ17,0)</f>
        <v/>
      </c>
      <c r="BR20" s="77">
        <f>MAX(-BR17,0)</f>
        <v/>
      </c>
      <c r="BS20" s="77">
        <f>MAX(-BS17,0)</f>
        <v/>
      </c>
      <c r="BT20" s="77">
        <f>MAX(-BT17,0)</f>
        <v/>
      </c>
      <c r="BU20" s="77">
        <f>MAX(-BU17,0)</f>
        <v/>
      </c>
      <c r="BV20" s="77">
        <f>MAX(-BV17,0)</f>
        <v/>
      </c>
      <c r="BW20" s="77">
        <f>MAX(-BW17,0)</f>
        <v/>
      </c>
      <c r="BX20" s="77">
        <f>MAX(-BX17,0)</f>
        <v/>
      </c>
      <c r="BY20" s="77">
        <f>MAX(-BY17,0)</f>
        <v/>
      </c>
      <c r="BZ20" s="77">
        <f>MAX(-BZ17,0)</f>
        <v/>
      </c>
      <c r="CA20" s="77">
        <f>MAX(-CA17,0)</f>
        <v/>
      </c>
      <c r="CB20" s="77">
        <f>MAX(-CB17,0)</f>
        <v/>
      </c>
      <c r="CC20" s="77">
        <f>MAX(-CC17,0)</f>
        <v/>
      </c>
      <c r="CD20" s="77">
        <f>MAX(-CD17,0)</f>
        <v/>
      </c>
    </row>
    <row r="21">
      <c r="A21" t="inlineStr">
        <is>
          <t>Losses Utilised ($) — capped at taxable profit</t>
        </is>
      </c>
      <c r="C21" s="77">
        <f>IF($B$6&lt;&gt;"Carried Forward",0,MIN(MAX(C17,0),C19))</f>
        <v/>
      </c>
      <c r="D21" s="77">
        <f>IF($B$6&lt;&gt;"Carried Forward",0,MIN(MAX(D17,0),D19))</f>
        <v/>
      </c>
      <c r="E21" s="77">
        <f>IF($B$6&lt;&gt;"Carried Forward",0,MIN(MAX(E17,0),E19))</f>
        <v/>
      </c>
      <c r="F21" s="77">
        <f>IF($B$6&lt;&gt;"Carried Forward",0,MIN(MAX(F17,0),F19))</f>
        <v/>
      </c>
      <c r="G21" s="77">
        <f>IF($B$6&lt;&gt;"Carried Forward",0,MIN(MAX(G17,0),G19))</f>
        <v/>
      </c>
      <c r="H21" s="77">
        <f>IF($B$6&lt;&gt;"Carried Forward",0,MIN(MAX(H17,0),H19))</f>
        <v/>
      </c>
      <c r="I21" s="77">
        <f>IF($B$6&lt;&gt;"Carried Forward",0,MIN(MAX(I17,0),I19))</f>
        <v/>
      </c>
      <c r="J21" s="77">
        <f>IF($B$6&lt;&gt;"Carried Forward",0,MIN(MAX(J17,0),J19))</f>
        <v/>
      </c>
      <c r="K21" s="77">
        <f>IF($B$6&lt;&gt;"Carried Forward",0,MIN(MAX(K17,0),K19))</f>
        <v/>
      </c>
      <c r="L21" s="77">
        <f>IF($B$6&lt;&gt;"Carried Forward",0,MIN(MAX(L17,0),L19))</f>
        <v/>
      </c>
      <c r="M21" s="77">
        <f>IF($B$6&lt;&gt;"Carried Forward",0,MIN(MAX(M17,0),M19))</f>
        <v/>
      </c>
      <c r="N21" s="77">
        <f>IF($B$6&lt;&gt;"Carried Forward",0,MIN(MAX(N17,0),N19))</f>
        <v/>
      </c>
      <c r="O21" s="77">
        <f>IF($B$6&lt;&gt;"Carried Forward",0,MIN(MAX(O17,0),O19))</f>
        <v/>
      </c>
      <c r="P21" s="77">
        <f>IF($B$6&lt;&gt;"Carried Forward",0,MIN(MAX(P17,0),P19))</f>
        <v/>
      </c>
      <c r="Q21" s="77">
        <f>IF($B$6&lt;&gt;"Carried Forward",0,MIN(MAX(Q17,0),Q19))</f>
        <v/>
      </c>
      <c r="R21" s="77">
        <f>IF($B$6&lt;&gt;"Carried Forward",0,MIN(MAX(R17,0),R19))</f>
        <v/>
      </c>
      <c r="S21" s="77">
        <f>IF($B$6&lt;&gt;"Carried Forward",0,MIN(MAX(S17,0),S19))</f>
        <v/>
      </c>
      <c r="T21" s="77">
        <f>IF($B$6&lt;&gt;"Carried Forward",0,MIN(MAX(T17,0),T19))</f>
        <v/>
      </c>
      <c r="U21" s="77">
        <f>IF($B$6&lt;&gt;"Carried Forward",0,MIN(MAX(U17,0),U19))</f>
        <v/>
      </c>
      <c r="V21" s="77">
        <f>IF($B$6&lt;&gt;"Carried Forward",0,MIN(MAX(V17,0),V19))</f>
        <v/>
      </c>
      <c r="W21" s="77">
        <f>IF($B$6&lt;&gt;"Carried Forward",0,MIN(MAX(W17,0),W19))</f>
        <v/>
      </c>
      <c r="X21" s="77">
        <f>IF($B$6&lt;&gt;"Carried Forward",0,MIN(MAX(X17,0),X19))</f>
        <v/>
      </c>
      <c r="Y21" s="77">
        <f>IF($B$6&lt;&gt;"Carried Forward",0,MIN(MAX(Y17,0),Y19))</f>
        <v/>
      </c>
      <c r="Z21" s="77">
        <f>IF($B$6&lt;&gt;"Carried Forward",0,MIN(MAX(Z17,0),Z19))</f>
        <v/>
      </c>
      <c r="AA21" s="77">
        <f>IF($B$6&lt;&gt;"Carried Forward",0,MIN(MAX(AA17,0),AA19))</f>
        <v/>
      </c>
      <c r="AB21" s="77">
        <f>IF($B$6&lt;&gt;"Carried Forward",0,MIN(MAX(AB17,0),AB19))</f>
        <v/>
      </c>
      <c r="AC21" s="77">
        <f>IF($B$6&lt;&gt;"Carried Forward",0,MIN(MAX(AC17,0),AC19))</f>
        <v/>
      </c>
      <c r="AD21" s="77">
        <f>IF($B$6&lt;&gt;"Carried Forward",0,MIN(MAX(AD17,0),AD19))</f>
        <v/>
      </c>
      <c r="AE21" s="77">
        <f>IF($B$6&lt;&gt;"Carried Forward",0,MIN(MAX(AE17,0),AE19))</f>
        <v/>
      </c>
      <c r="AF21" s="77">
        <f>IF($B$6&lt;&gt;"Carried Forward",0,MIN(MAX(AF17,0),AF19))</f>
        <v/>
      </c>
      <c r="AG21" s="77">
        <f>IF($B$6&lt;&gt;"Carried Forward",0,MIN(MAX(AG17,0),AG19))</f>
        <v/>
      </c>
      <c r="AH21" s="77">
        <f>IF($B$6&lt;&gt;"Carried Forward",0,MIN(MAX(AH17,0),AH19))</f>
        <v/>
      </c>
      <c r="AI21" s="77">
        <f>IF($B$6&lt;&gt;"Carried Forward",0,MIN(MAX(AI17,0),AI19))</f>
        <v/>
      </c>
      <c r="AJ21" s="77">
        <f>IF($B$6&lt;&gt;"Carried Forward",0,MIN(MAX(AJ17,0),AJ19))</f>
        <v/>
      </c>
      <c r="AK21" s="77">
        <f>IF($B$6&lt;&gt;"Carried Forward",0,MIN(MAX(AK17,0),AK19))</f>
        <v/>
      </c>
      <c r="AL21" s="77">
        <f>IF($B$6&lt;&gt;"Carried Forward",0,MIN(MAX(AL17,0),AL19))</f>
        <v/>
      </c>
      <c r="AM21" s="77">
        <f>IF($B$6&lt;&gt;"Carried Forward",0,MIN(MAX(AM17,0),AM19))</f>
        <v/>
      </c>
      <c r="AN21" s="77">
        <f>IF($B$6&lt;&gt;"Carried Forward",0,MIN(MAX(AN17,0),AN19))</f>
        <v/>
      </c>
      <c r="AO21" s="77">
        <f>IF($B$6&lt;&gt;"Carried Forward",0,MIN(MAX(AO17,0),AO19))</f>
        <v/>
      </c>
      <c r="AP21" s="77">
        <f>IF($B$6&lt;&gt;"Carried Forward",0,MIN(MAX(AP17,0),AP19))</f>
        <v/>
      </c>
      <c r="AQ21" s="77">
        <f>IF($B$6&lt;&gt;"Carried Forward",0,MIN(MAX(AQ17,0),AQ19))</f>
        <v/>
      </c>
      <c r="AR21" s="77">
        <f>IF($B$6&lt;&gt;"Carried Forward",0,MIN(MAX(AR17,0),AR19))</f>
        <v/>
      </c>
      <c r="AS21" s="77">
        <f>IF($B$6&lt;&gt;"Carried Forward",0,MIN(MAX(AS17,0),AS19))</f>
        <v/>
      </c>
      <c r="AT21" s="77">
        <f>IF($B$6&lt;&gt;"Carried Forward",0,MIN(MAX(AT17,0),AT19))</f>
        <v/>
      </c>
      <c r="AU21" s="77">
        <f>IF($B$6&lt;&gt;"Carried Forward",0,MIN(MAX(AU17,0),AU19))</f>
        <v/>
      </c>
      <c r="AV21" s="77">
        <f>IF($B$6&lt;&gt;"Carried Forward",0,MIN(MAX(AV17,0),AV19))</f>
        <v/>
      </c>
      <c r="AW21" s="77">
        <f>IF($B$6&lt;&gt;"Carried Forward",0,MIN(MAX(AW17,0),AW19))</f>
        <v/>
      </c>
      <c r="AX21" s="77">
        <f>IF($B$6&lt;&gt;"Carried Forward",0,MIN(MAX(AX17,0),AX19))</f>
        <v/>
      </c>
      <c r="AY21" s="77">
        <f>IF($B$6&lt;&gt;"Carried Forward",0,MIN(MAX(AY17,0),AY19))</f>
        <v/>
      </c>
      <c r="AZ21" s="77">
        <f>IF($B$6&lt;&gt;"Carried Forward",0,MIN(MAX(AZ17,0),AZ19))</f>
        <v/>
      </c>
      <c r="BA21" s="77">
        <f>IF($B$6&lt;&gt;"Carried Forward",0,MIN(MAX(BA17,0),BA19))</f>
        <v/>
      </c>
      <c r="BB21" s="77">
        <f>IF($B$6&lt;&gt;"Carried Forward",0,MIN(MAX(BB17,0),BB19))</f>
        <v/>
      </c>
      <c r="BC21" s="77">
        <f>IF($B$6&lt;&gt;"Carried Forward",0,MIN(MAX(BC17,0),BC19))</f>
        <v/>
      </c>
      <c r="BD21" s="77">
        <f>IF($B$6&lt;&gt;"Carried Forward",0,MIN(MAX(BD17,0),BD19))</f>
        <v/>
      </c>
      <c r="BE21" s="77">
        <f>IF($B$6&lt;&gt;"Carried Forward",0,MIN(MAX(BE17,0),BE19))</f>
        <v/>
      </c>
      <c r="BF21" s="77">
        <f>IF($B$6&lt;&gt;"Carried Forward",0,MIN(MAX(BF17,0),BF19))</f>
        <v/>
      </c>
      <c r="BG21" s="77">
        <f>IF($B$6&lt;&gt;"Carried Forward",0,MIN(MAX(BG17,0),BG19))</f>
        <v/>
      </c>
      <c r="BH21" s="77">
        <f>IF($B$6&lt;&gt;"Carried Forward",0,MIN(MAX(BH17,0),BH19))</f>
        <v/>
      </c>
      <c r="BI21" s="77">
        <f>IF($B$6&lt;&gt;"Carried Forward",0,MIN(MAX(BI17,0),BI19))</f>
        <v/>
      </c>
      <c r="BJ21" s="77">
        <f>IF($B$6&lt;&gt;"Carried Forward",0,MIN(MAX(BJ17,0),BJ19))</f>
        <v/>
      </c>
      <c r="BK21" s="77">
        <f>IF($B$6&lt;&gt;"Carried Forward",0,MIN(MAX(BK17,0),BK19))</f>
        <v/>
      </c>
      <c r="BL21" s="77">
        <f>IF($B$6&lt;&gt;"Carried Forward",0,MIN(MAX(BL17,0),BL19))</f>
        <v/>
      </c>
      <c r="BM21" s="77">
        <f>IF($B$6&lt;&gt;"Carried Forward",0,MIN(MAX(BM17,0),BM19))</f>
        <v/>
      </c>
      <c r="BN21" s="77">
        <f>IF($B$6&lt;&gt;"Carried Forward",0,MIN(MAX(BN17,0),BN19))</f>
        <v/>
      </c>
      <c r="BO21" s="77">
        <f>IF($B$6&lt;&gt;"Carried Forward",0,MIN(MAX(BO17,0),BO19))</f>
        <v/>
      </c>
      <c r="BP21" s="77">
        <f>IF($B$6&lt;&gt;"Carried Forward",0,MIN(MAX(BP17,0),BP19))</f>
        <v/>
      </c>
      <c r="BQ21" s="77">
        <f>IF($B$6&lt;&gt;"Carried Forward",0,MIN(MAX(BQ17,0),BQ19))</f>
        <v/>
      </c>
      <c r="BR21" s="77">
        <f>IF($B$6&lt;&gt;"Carried Forward",0,MIN(MAX(BR17,0),BR19))</f>
        <v/>
      </c>
      <c r="BS21" s="77">
        <f>IF($B$6&lt;&gt;"Carried Forward",0,MIN(MAX(BS17,0),BS19))</f>
        <v/>
      </c>
      <c r="BT21" s="77">
        <f>IF($B$6&lt;&gt;"Carried Forward",0,MIN(MAX(BT17,0),BT19))</f>
        <v/>
      </c>
      <c r="BU21" s="77">
        <f>IF($B$6&lt;&gt;"Carried Forward",0,MIN(MAX(BU17,0),BU19))</f>
        <v/>
      </c>
      <c r="BV21" s="77">
        <f>IF($B$6&lt;&gt;"Carried Forward",0,MIN(MAX(BV17,0),BV19))</f>
        <v/>
      </c>
      <c r="BW21" s="77">
        <f>IF($B$6&lt;&gt;"Carried Forward",0,MIN(MAX(BW17,0),BW19))</f>
        <v/>
      </c>
      <c r="BX21" s="77">
        <f>IF($B$6&lt;&gt;"Carried Forward",0,MIN(MAX(BX17,0),BX19))</f>
        <v/>
      </c>
      <c r="BY21" s="77">
        <f>IF($B$6&lt;&gt;"Carried Forward",0,MIN(MAX(BY17,0),BY19))</f>
        <v/>
      </c>
      <c r="BZ21" s="77">
        <f>IF($B$6&lt;&gt;"Carried Forward",0,MIN(MAX(BZ17,0),BZ19))</f>
        <v/>
      </c>
      <c r="CA21" s="77">
        <f>IF($B$6&lt;&gt;"Carried Forward",0,MIN(MAX(CA17,0),CA19))</f>
        <v/>
      </c>
      <c r="CB21" s="77">
        <f>IF($B$6&lt;&gt;"Carried Forward",0,MIN(MAX(CB17,0),CB19))</f>
        <v/>
      </c>
      <c r="CC21" s="77">
        <f>IF($B$6&lt;&gt;"Carried Forward",0,MIN(MAX(CC17,0),CC19))</f>
        <v/>
      </c>
      <c r="CD21" s="77">
        <f>IF($B$6&lt;&gt;"Carried Forward",0,MIN(MAX(CD17,0),CD19))</f>
        <v/>
      </c>
    </row>
    <row r="22">
      <c r="A22" t="inlineStr">
        <is>
          <t>Tax Losses c/f, Closing ($)</t>
        </is>
      </c>
      <c r="C22" s="77">
        <f>C19+C20-C21</f>
        <v/>
      </c>
      <c r="D22" s="77">
        <f>D19+D20-D21</f>
        <v/>
      </c>
      <c r="E22" s="77">
        <f>E19+E20-E21</f>
        <v/>
      </c>
      <c r="F22" s="77">
        <f>F19+F20-F21</f>
        <v/>
      </c>
      <c r="G22" s="77">
        <f>G19+G20-G21</f>
        <v/>
      </c>
      <c r="H22" s="77">
        <f>H19+H20-H21</f>
        <v/>
      </c>
      <c r="I22" s="77">
        <f>I19+I20-I21</f>
        <v/>
      </c>
      <c r="J22" s="77">
        <f>J19+J20-J21</f>
        <v/>
      </c>
      <c r="K22" s="77">
        <f>K19+K20-K21</f>
        <v/>
      </c>
      <c r="L22" s="77">
        <f>L19+L20-L21</f>
        <v/>
      </c>
      <c r="M22" s="77">
        <f>M19+M20-M21</f>
        <v/>
      </c>
      <c r="N22" s="77">
        <f>N19+N20-N21</f>
        <v/>
      </c>
      <c r="O22" s="77">
        <f>O19+O20-O21</f>
        <v/>
      </c>
      <c r="P22" s="77">
        <f>P19+P20-P21</f>
        <v/>
      </c>
      <c r="Q22" s="77">
        <f>Q19+Q20-Q21</f>
        <v/>
      </c>
      <c r="R22" s="77">
        <f>R19+R20-R21</f>
        <v/>
      </c>
      <c r="S22" s="77">
        <f>S19+S20-S21</f>
        <v/>
      </c>
      <c r="T22" s="77">
        <f>T19+T20-T21</f>
        <v/>
      </c>
      <c r="U22" s="77">
        <f>U19+U20-U21</f>
        <v/>
      </c>
      <c r="V22" s="77">
        <f>V19+V20-V21</f>
        <v/>
      </c>
      <c r="W22" s="77">
        <f>W19+W20-W21</f>
        <v/>
      </c>
      <c r="X22" s="77">
        <f>X19+X20-X21</f>
        <v/>
      </c>
      <c r="Y22" s="77">
        <f>Y19+Y20-Y21</f>
        <v/>
      </c>
      <c r="Z22" s="77">
        <f>Z19+Z20-Z21</f>
        <v/>
      </c>
      <c r="AA22" s="77">
        <f>AA19+AA20-AA21</f>
        <v/>
      </c>
      <c r="AB22" s="77">
        <f>AB19+AB20-AB21</f>
        <v/>
      </c>
      <c r="AC22" s="77">
        <f>AC19+AC20-AC21</f>
        <v/>
      </c>
      <c r="AD22" s="77">
        <f>AD19+AD20-AD21</f>
        <v/>
      </c>
      <c r="AE22" s="77">
        <f>AE19+AE20-AE21</f>
        <v/>
      </c>
      <c r="AF22" s="77">
        <f>AF19+AF20-AF21</f>
        <v/>
      </c>
      <c r="AG22" s="77">
        <f>AG19+AG20-AG21</f>
        <v/>
      </c>
      <c r="AH22" s="77">
        <f>AH19+AH20-AH21</f>
        <v/>
      </c>
      <c r="AI22" s="77">
        <f>AI19+AI20-AI21</f>
        <v/>
      </c>
      <c r="AJ22" s="77">
        <f>AJ19+AJ20-AJ21</f>
        <v/>
      </c>
      <c r="AK22" s="77">
        <f>AK19+AK20-AK21</f>
        <v/>
      </c>
      <c r="AL22" s="77">
        <f>AL19+AL20-AL21</f>
        <v/>
      </c>
      <c r="AM22" s="77">
        <f>AM19+AM20-AM21</f>
        <v/>
      </c>
      <c r="AN22" s="77">
        <f>AN19+AN20-AN21</f>
        <v/>
      </c>
      <c r="AO22" s="77">
        <f>AO19+AO20-AO21</f>
        <v/>
      </c>
      <c r="AP22" s="77">
        <f>AP19+AP20-AP21</f>
        <v/>
      </c>
      <c r="AQ22" s="77">
        <f>AQ19+AQ20-AQ21</f>
        <v/>
      </c>
      <c r="AR22" s="77">
        <f>AR19+AR20-AR21</f>
        <v/>
      </c>
      <c r="AS22" s="77">
        <f>AS19+AS20-AS21</f>
        <v/>
      </c>
      <c r="AT22" s="77">
        <f>AT19+AT20-AT21</f>
        <v/>
      </c>
      <c r="AU22" s="77">
        <f>AU19+AU20-AU21</f>
        <v/>
      </c>
      <c r="AV22" s="77">
        <f>AV19+AV20-AV21</f>
        <v/>
      </c>
      <c r="AW22" s="77">
        <f>AW19+AW20-AW21</f>
        <v/>
      </c>
      <c r="AX22" s="77">
        <f>AX19+AX20-AX21</f>
        <v/>
      </c>
      <c r="AY22" s="77">
        <f>AY19+AY20-AY21</f>
        <v/>
      </c>
      <c r="AZ22" s="77">
        <f>AZ19+AZ20-AZ21</f>
        <v/>
      </c>
      <c r="BA22" s="77">
        <f>BA19+BA20-BA21</f>
        <v/>
      </c>
      <c r="BB22" s="77">
        <f>BB19+BB20-BB21</f>
        <v/>
      </c>
      <c r="BC22" s="77">
        <f>BC19+BC20-BC21</f>
        <v/>
      </c>
      <c r="BD22" s="77">
        <f>BD19+BD20-BD21</f>
        <v/>
      </c>
      <c r="BE22" s="77">
        <f>BE19+BE20-BE21</f>
        <v/>
      </c>
      <c r="BF22" s="77">
        <f>BF19+BF20-BF21</f>
        <v/>
      </c>
      <c r="BG22" s="77">
        <f>BG19+BG20-BG21</f>
        <v/>
      </c>
      <c r="BH22" s="77">
        <f>BH19+BH20-BH21</f>
        <v/>
      </c>
      <c r="BI22" s="77">
        <f>BI19+BI20-BI21</f>
        <v/>
      </c>
      <c r="BJ22" s="77">
        <f>BJ19+BJ20-BJ21</f>
        <v/>
      </c>
      <c r="BK22" s="77">
        <f>BK19+BK20-BK21</f>
        <v/>
      </c>
      <c r="BL22" s="77">
        <f>BL19+BL20-BL21</f>
        <v/>
      </c>
      <c r="BM22" s="77">
        <f>BM19+BM20-BM21</f>
        <v/>
      </c>
      <c r="BN22" s="77">
        <f>BN19+BN20-BN21</f>
        <v/>
      </c>
      <c r="BO22" s="77">
        <f>BO19+BO20-BO21</f>
        <v/>
      </c>
      <c r="BP22" s="77">
        <f>BP19+BP20-BP21</f>
        <v/>
      </c>
      <c r="BQ22" s="77">
        <f>BQ19+BQ20-BQ21</f>
        <v/>
      </c>
      <c r="BR22" s="77">
        <f>BR19+BR20-BR21</f>
        <v/>
      </c>
      <c r="BS22" s="77">
        <f>BS19+BS20-BS21</f>
        <v/>
      </c>
      <c r="BT22" s="77">
        <f>BT19+BT20-BT21</f>
        <v/>
      </c>
      <c r="BU22" s="77">
        <f>BU19+BU20-BU21</f>
        <v/>
      </c>
      <c r="BV22" s="77">
        <f>BV19+BV20-BV21</f>
        <v/>
      </c>
      <c r="BW22" s="77">
        <f>BW19+BW20-BW21</f>
        <v/>
      </c>
      <c r="BX22" s="77">
        <f>BX19+BX20-BX21</f>
        <v/>
      </c>
      <c r="BY22" s="77">
        <f>BY19+BY20-BY21</f>
        <v/>
      </c>
      <c r="BZ22" s="77">
        <f>BZ19+BZ20-BZ21</f>
        <v/>
      </c>
      <c r="CA22" s="77">
        <f>CA19+CA20-CA21</f>
        <v/>
      </c>
      <c r="CB22" s="77">
        <f>CB19+CB20-CB21</f>
        <v/>
      </c>
      <c r="CC22" s="77">
        <f>CC19+CC20-CC21</f>
        <v/>
      </c>
      <c r="CD22" s="77">
        <f>CD19+CD20-CD21</f>
        <v/>
      </c>
    </row>
    <row r="24">
      <c r="A24" t="inlineStr">
        <is>
          <t>Taxable Income ($) = positive EBT less losses utilised</t>
        </is>
      </c>
      <c r="C24" s="77">
        <f>MAX(C17,0)-C21</f>
        <v/>
      </c>
      <c r="D24" s="77">
        <f>MAX(D17,0)-D21</f>
        <v/>
      </c>
      <c r="E24" s="77">
        <f>MAX(E17,0)-E21</f>
        <v/>
      </c>
      <c r="F24" s="77">
        <f>MAX(F17,0)-F21</f>
        <v/>
      </c>
      <c r="G24" s="77">
        <f>MAX(G17,0)-G21</f>
        <v/>
      </c>
      <c r="H24" s="77">
        <f>MAX(H17,0)-H21</f>
        <v/>
      </c>
      <c r="I24" s="77">
        <f>MAX(I17,0)-I21</f>
        <v/>
      </c>
      <c r="J24" s="77">
        <f>MAX(J17,0)-J21</f>
        <v/>
      </c>
      <c r="K24" s="77">
        <f>MAX(K17,0)-K21</f>
        <v/>
      </c>
      <c r="L24" s="77">
        <f>MAX(L17,0)-L21</f>
        <v/>
      </c>
      <c r="M24" s="77">
        <f>MAX(M17,0)-M21</f>
        <v/>
      </c>
      <c r="N24" s="77">
        <f>MAX(N17,0)-N21</f>
        <v/>
      </c>
      <c r="O24" s="77">
        <f>MAX(O17,0)-O21</f>
        <v/>
      </c>
      <c r="P24" s="77">
        <f>MAX(P17,0)-P21</f>
        <v/>
      </c>
      <c r="Q24" s="77">
        <f>MAX(Q17,0)-Q21</f>
        <v/>
      </c>
      <c r="R24" s="77">
        <f>MAX(R17,0)-R21</f>
        <v/>
      </c>
      <c r="S24" s="77">
        <f>MAX(S17,0)-S21</f>
        <v/>
      </c>
      <c r="T24" s="77">
        <f>MAX(T17,0)-T21</f>
        <v/>
      </c>
      <c r="U24" s="77">
        <f>MAX(U17,0)-U21</f>
        <v/>
      </c>
      <c r="V24" s="77">
        <f>MAX(V17,0)-V21</f>
        <v/>
      </c>
      <c r="W24" s="77">
        <f>MAX(W17,0)-W21</f>
        <v/>
      </c>
      <c r="X24" s="77">
        <f>MAX(X17,0)-X21</f>
        <v/>
      </c>
      <c r="Y24" s="77">
        <f>MAX(Y17,0)-Y21</f>
        <v/>
      </c>
      <c r="Z24" s="77">
        <f>MAX(Z17,0)-Z21</f>
        <v/>
      </c>
      <c r="AA24" s="77">
        <f>MAX(AA17,0)-AA21</f>
        <v/>
      </c>
      <c r="AB24" s="77">
        <f>MAX(AB17,0)-AB21</f>
        <v/>
      </c>
      <c r="AC24" s="77">
        <f>MAX(AC17,0)-AC21</f>
        <v/>
      </c>
      <c r="AD24" s="77">
        <f>MAX(AD17,0)-AD21</f>
        <v/>
      </c>
      <c r="AE24" s="77">
        <f>MAX(AE17,0)-AE21</f>
        <v/>
      </c>
      <c r="AF24" s="77">
        <f>MAX(AF17,0)-AF21</f>
        <v/>
      </c>
      <c r="AG24" s="77">
        <f>MAX(AG17,0)-AG21</f>
        <v/>
      </c>
      <c r="AH24" s="77">
        <f>MAX(AH17,0)-AH21</f>
        <v/>
      </c>
      <c r="AI24" s="77">
        <f>MAX(AI17,0)-AI21</f>
        <v/>
      </c>
      <c r="AJ24" s="77">
        <f>MAX(AJ17,0)-AJ21</f>
        <v/>
      </c>
      <c r="AK24" s="77">
        <f>MAX(AK17,0)-AK21</f>
        <v/>
      </c>
      <c r="AL24" s="77">
        <f>MAX(AL17,0)-AL21</f>
        <v/>
      </c>
      <c r="AM24" s="77">
        <f>MAX(AM17,0)-AM21</f>
        <v/>
      </c>
      <c r="AN24" s="77">
        <f>MAX(AN17,0)-AN21</f>
        <v/>
      </c>
      <c r="AO24" s="77">
        <f>MAX(AO17,0)-AO21</f>
        <v/>
      </c>
      <c r="AP24" s="77">
        <f>MAX(AP17,0)-AP21</f>
        <v/>
      </c>
      <c r="AQ24" s="77">
        <f>MAX(AQ17,0)-AQ21</f>
        <v/>
      </c>
      <c r="AR24" s="77">
        <f>MAX(AR17,0)-AR21</f>
        <v/>
      </c>
      <c r="AS24" s="77">
        <f>MAX(AS17,0)-AS21</f>
        <v/>
      </c>
      <c r="AT24" s="77">
        <f>MAX(AT17,0)-AT21</f>
        <v/>
      </c>
      <c r="AU24" s="77">
        <f>MAX(AU17,0)-AU21</f>
        <v/>
      </c>
      <c r="AV24" s="77">
        <f>MAX(AV17,0)-AV21</f>
        <v/>
      </c>
      <c r="AW24" s="77">
        <f>MAX(AW17,0)-AW21</f>
        <v/>
      </c>
      <c r="AX24" s="77">
        <f>MAX(AX17,0)-AX21</f>
        <v/>
      </c>
      <c r="AY24" s="77">
        <f>MAX(AY17,0)-AY21</f>
        <v/>
      </c>
      <c r="AZ24" s="77">
        <f>MAX(AZ17,0)-AZ21</f>
        <v/>
      </c>
      <c r="BA24" s="77">
        <f>MAX(BA17,0)-BA21</f>
        <v/>
      </c>
      <c r="BB24" s="77">
        <f>MAX(BB17,0)-BB21</f>
        <v/>
      </c>
      <c r="BC24" s="77">
        <f>MAX(BC17,0)-BC21</f>
        <v/>
      </c>
      <c r="BD24" s="77">
        <f>MAX(BD17,0)-BD21</f>
        <v/>
      </c>
      <c r="BE24" s="77">
        <f>MAX(BE17,0)-BE21</f>
        <v/>
      </c>
      <c r="BF24" s="77">
        <f>MAX(BF17,0)-BF21</f>
        <v/>
      </c>
      <c r="BG24" s="77">
        <f>MAX(BG17,0)-BG21</f>
        <v/>
      </c>
      <c r="BH24" s="77">
        <f>MAX(BH17,0)-BH21</f>
        <v/>
      </c>
      <c r="BI24" s="77">
        <f>MAX(BI17,0)-BI21</f>
        <v/>
      </c>
      <c r="BJ24" s="77">
        <f>MAX(BJ17,0)-BJ21</f>
        <v/>
      </c>
      <c r="BK24" s="77">
        <f>MAX(BK17,0)-BK21</f>
        <v/>
      </c>
      <c r="BL24" s="77">
        <f>MAX(BL17,0)-BL21</f>
        <v/>
      </c>
      <c r="BM24" s="77">
        <f>MAX(BM17,0)-BM21</f>
        <v/>
      </c>
      <c r="BN24" s="77">
        <f>MAX(BN17,0)-BN21</f>
        <v/>
      </c>
      <c r="BO24" s="77">
        <f>MAX(BO17,0)-BO21</f>
        <v/>
      </c>
      <c r="BP24" s="77">
        <f>MAX(BP17,0)-BP21</f>
        <v/>
      </c>
      <c r="BQ24" s="77">
        <f>MAX(BQ17,0)-BQ21</f>
        <v/>
      </c>
      <c r="BR24" s="77">
        <f>MAX(BR17,0)-BR21</f>
        <v/>
      </c>
      <c r="BS24" s="77">
        <f>MAX(BS17,0)-BS21</f>
        <v/>
      </c>
      <c r="BT24" s="77">
        <f>MAX(BT17,0)-BT21</f>
        <v/>
      </c>
      <c r="BU24" s="77">
        <f>MAX(BU17,0)-BU21</f>
        <v/>
      </c>
      <c r="BV24" s="77">
        <f>MAX(BV17,0)-BV21</f>
        <v/>
      </c>
      <c r="BW24" s="77">
        <f>MAX(BW17,0)-BW21</f>
        <v/>
      </c>
      <c r="BX24" s="77">
        <f>MAX(BX17,0)-BX21</f>
        <v/>
      </c>
      <c r="BY24" s="77">
        <f>MAX(BY17,0)-BY21</f>
        <v/>
      </c>
      <c r="BZ24" s="77">
        <f>MAX(BZ17,0)-BZ21</f>
        <v/>
      </c>
      <c r="CA24" s="77">
        <f>MAX(CA17,0)-CA21</f>
        <v/>
      </c>
      <c r="CB24" s="77">
        <f>MAX(CB17,0)-CB21</f>
        <v/>
      </c>
      <c r="CC24" s="77">
        <f>MAX(CC17,0)-CC21</f>
        <v/>
      </c>
      <c r="CD24" s="77">
        <f>MAX(CD17,0)-CD21</f>
        <v/>
      </c>
    </row>
    <row r="25">
      <c r="A25" t="inlineStr">
        <is>
          <t>Tax ($)</t>
        </is>
      </c>
      <c r="C25" s="77">
        <f>C24*$B$3</f>
        <v/>
      </c>
      <c r="D25" s="77">
        <f>D24*$B$3</f>
        <v/>
      </c>
      <c r="E25" s="77">
        <f>E24*$B$3</f>
        <v/>
      </c>
      <c r="F25" s="77">
        <f>F24*$B$3</f>
        <v/>
      </c>
      <c r="G25" s="77">
        <f>G24*$B$3</f>
        <v/>
      </c>
      <c r="H25" s="77">
        <f>H24*$B$3</f>
        <v/>
      </c>
      <c r="I25" s="77">
        <f>I24*$B$3</f>
        <v/>
      </c>
      <c r="J25" s="77">
        <f>J24*$B$3</f>
        <v/>
      </c>
      <c r="K25" s="77">
        <f>K24*$B$3</f>
        <v/>
      </c>
      <c r="L25" s="77">
        <f>L24*$B$3</f>
        <v/>
      </c>
      <c r="M25" s="77">
        <f>M24*$B$3</f>
        <v/>
      </c>
      <c r="N25" s="77">
        <f>N24*$B$3</f>
        <v/>
      </c>
      <c r="O25" s="77">
        <f>O24*$B$3</f>
        <v/>
      </c>
      <c r="P25" s="77">
        <f>P24*$B$3</f>
        <v/>
      </c>
      <c r="Q25" s="77">
        <f>Q24*$B$3</f>
        <v/>
      </c>
      <c r="R25" s="77">
        <f>R24*$B$3</f>
        <v/>
      </c>
      <c r="S25" s="77">
        <f>S24*$B$3</f>
        <v/>
      </c>
      <c r="T25" s="77">
        <f>T24*$B$3</f>
        <v/>
      </c>
      <c r="U25" s="77">
        <f>U24*$B$3</f>
        <v/>
      </c>
      <c r="V25" s="77">
        <f>V24*$B$3</f>
        <v/>
      </c>
      <c r="W25" s="77">
        <f>W24*$B$3</f>
        <v/>
      </c>
      <c r="X25" s="77">
        <f>X24*$B$3</f>
        <v/>
      </c>
      <c r="Y25" s="77">
        <f>Y24*$B$3</f>
        <v/>
      </c>
      <c r="Z25" s="77">
        <f>Z24*$B$3</f>
        <v/>
      </c>
      <c r="AA25" s="77">
        <f>AA24*$B$3</f>
        <v/>
      </c>
      <c r="AB25" s="77">
        <f>AB24*$B$3</f>
        <v/>
      </c>
      <c r="AC25" s="77">
        <f>AC24*$B$3</f>
        <v/>
      </c>
      <c r="AD25" s="77">
        <f>AD24*$B$3</f>
        <v/>
      </c>
      <c r="AE25" s="77">
        <f>AE24*$B$3</f>
        <v/>
      </c>
      <c r="AF25" s="77">
        <f>AF24*$B$3</f>
        <v/>
      </c>
      <c r="AG25" s="77">
        <f>AG24*$B$3</f>
        <v/>
      </c>
      <c r="AH25" s="77">
        <f>AH24*$B$3</f>
        <v/>
      </c>
      <c r="AI25" s="77">
        <f>AI24*$B$3</f>
        <v/>
      </c>
      <c r="AJ25" s="77">
        <f>AJ24*$B$3</f>
        <v/>
      </c>
      <c r="AK25" s="77">
        <f>AK24*$B$3</f>
        <v/>
      </c>
      <c r="AL25" s="77">
        <f>AL24*$B$3</f>
        <v/>
      </c>
      <c r="AM25" s="77">
        <f>AM24*$B$3</f>
        <v/>
      </c>
      <c r="AN25" s="77">
        <f>AN24*$B$3</f>
        <v/>
      </c>
      <c r="AO25" s="77">
        <f>AO24*$B$3</f>
        <v/>
      </c>
      <c r="AP25" s="77">
        <f>AP24*$B$3</f>
        <v/>
      </c>
      <c r="AQ25" s="77">
        <f>AQ24*$B$3</f>
        <v/>
      </c>
      <c r="AR25" s="77">
        <f>AR24*$B$3</f>
        <v/>
      </c>
      <c r="AS25" s="77">
        <f>AS24*$B$3</f>
        <v/>
      </c>
      <c r="AT25" s="77">
        <f>AT24*$B$3</f>
        <v/>
      </c>
      <c r="AU25" s="77">
        <f>AU24*$B$3</f>
        <v/>
      </c>
      <c r="AV25" s="77">
        <f>AV24*$B$3</f>
        <v/>
      </c>
      <c r="AW25" s="77">
        <f>AW24*$B$3</f>
        <v/>
      </c>
      <c r="AX25" s="77">
        <f>AX24*$B$3</f>
        <v/>
      </c>
      <c r="AY25" s="77">
        <f>AY24*$B$3</f>
        <v/>
      </c>
      <c r="AZ25" s="77">
        <f>AZ24*$B$3</f>
        <v/>
      </c>
      <c r="BA25" s="77">
        <f>BA24*$B$3</f>
        <v/>
      </c>
      <c r="BB25" s="77">
        <f>BB24*$B$3</f>
        <v/>
      </c>
      <c r="BC25" s="77">
        <f>BC24*$B$3</f>
        <v/>
      </c>
      <c r="BD25" s="77">
        <f>BD24*$B$3</f>
        <v/>
      </c>
      <c r="BE25" s="77">
        <f>BE24*$B$3</f>
        <v/>
      </c>
      <c r="BF25" s="77">
        <f>BF24*$B$3</f>
        <v/>
      </c>
      <c r="BG25" s="77">
        <f>BG24*$B$3</f>
        <v/>
      </c>
      <c r="BH25" s="77">
        <f>BH24*$B$3</f>
        <v/>
      </c>
      <c r="BI25" s="77">
        <f>BI24*$B$3</f>
        <v/>
      </c>
      <c r="BJ25" s="77">
        <f>BJ24*$B$3</f>
        <v/>
      </c>
      <c r="BK25" s="77">
        <f>BK24*$B$3</f>
        <v/>
      </c>
      <c r="BL25" s="77">
        <f>BL24*$B$3</f>
        <v/>
      </c>
      <c r="BM25" s="77">
        <f>BM24*$B$3</f>
        <v/>
      </c>
      <c r="BN25" s="77">
        <f>BN24*$B$3</f>
        <v/>
      </c>
      <c r="BO25" s="77">
        <f>BO24*$B$3</f>
        <v/>
      </c>
      <c r="BP25" s="77">
        <f>BP24*$B$3</f>
        <v/>
      </c>
      <c r="BQ25" s="77">
        <f>BQ24*$B$3</f>
        <v/>
      </c>
      <c r="BR25" s="77">
        <f>BR24*$B$3</f>
        <v/>
      </c>
      <c r="BS25" s="77">
        <f>BS24*$B$3</f>
        <v/>
      </c>
      <c r="BT25" s="77">
        <f>BT24*$B$3</f>
        <v/>
      </c>
      <c r="BU25" s="77">
        <f>BU24*$B$3</f>
        <v/>
      </c>
      <c r="BV25" s="77">
        <f>BV24*$B$3</f>
        <v/>
      </c>
      <c r="BW25" s="77">
        <f>BW24*$B$3</f>
        <v/>
      </c>
      <c r="BX25" s="77">
        <f>BX24*$B$3</f>
        <v/>
      </c>
      <c r="BY25" s="77">
        <f>BY24*$B$3</f>
        <v/>
      </c>
      <c r="BZ25" s="77">
        <f>BZ24*$B$3</f>
        <v/>
      </c>
      <c r="CA25" s="77">
        <f>CA24*$B$3</f>
        <v/>
      </c>
      <c r="CB25" s="77">
        <f>CB24*$B$3</f>
        <v/>
      </c>
      <c r="CC25" s="77">
        <f>CC24*$B$3</f>
        <v/>
      </c>
      <c r="CD25" s="77">
        <f>CD24*$B$3</f>
        <v/>
      </c>
    </row>
    <row r="26">
      <c r="A26" t="inlineStr">
        <is>
          <t>Net Income ($)</t>
        </is>
      </c>
      <c r="C26" s="77">
        <f>C17-C25</f>
        <v/>
      </c>
      <c r="D26" s="77">
        <f>D17-D25</f>
        <v/>
      </c>
      <c r="E26" s="77">
        <f>E17-E25</f>
        <v/>
      </c>
      <c r="F26" s="77">
        <f>F17-F25</f>
        <v/>
      </c>
      <c r="G26" s="77">
        <f>G17-G25</f>
        <v/>
      </c>
      <c r="H26" s="77">
        <f>H17-H25</f>
        <v/>
      </c>
      <c r="I26" s="77">
        <f>I17-I25</f>
        <v/>
      </c>
      <c r="J26" s="77">
        <f>J17-J25</f>
        <v/>
      </c>
      <c r="K26" s="77">
        <f>K17-K25</f>
        <v/>
      </c>
      <c r="L26" s="77">
        <f>L17-L25</f>
        <v/>
      </c>
      <c r="M26" s="77">
        <f>M17-M25</f>
        <v/>
      </c>
      <c r="N26" s="77">
        <f>N17-N25</f>
        <v/>
      </c>
      <c r="O26" s="77">
        <f>O17-O25</f>
        <v/>
      </c>
      <c r="P26" s="77">
        <f>P17-P25</f>
        <v/>
      </c>
      <c r="Q26" s="77">
        <f>Q17-Q25</f>
        <v/>
      </c>
      <c r="R26" s="77">
        <f>R17-R25</f>
        <v/>
      </c>
      <c r="S26" s="77">
        <f>S17-S25</f>
        <v/>
      </c>
      <c r="T26" s="77">
        <f>T17-T25</f>
        <v/>
      </c>
      <c r="U26" s="77">
        <f>U17-U25</f>
        <v/>
      </c>
      <c r="V26" s="77">
        <f>V17-V25</f>
        <v/>
      </c>
      <c r="W26" s="77">
        <f>W17-W25</f>
        <v/>
      </c>
      <c r="X26" s="77">
        <f>X17-X25</f>
        <v/>
      </c>
      <c r="Y26" s="77">
        <f>Y17-Y25</f>
        <v/>
      </c>
      <c r="Z26" s="77">
        <f>Z17-Z25</f>
        <v/>
      </c>
      <c r="AA26" s="77">
        <f>AA17-AA25</f>
        <v/>
      </c>
      <c r="AB26" s="77">
        <f>AB17-AB25</f>
        <v/>
      </c>
      <c r="AC26" s="77">
        <f>AC17-AC25</f>
        <v/>
      </c>
      <c r="AD26" s="77">
        <f>AD17-AD25</f>
        <v/>
      </c>
      <c r="AE26" s="77">
        <f>AE17-AE25</f>
        <v/>
      </c>
      <c r="AF26" s="77">
        <f>AF17-AF25</f>
        <v/>
      </c>
      <c r="AG26" s="77">
        <f>AG17-AG25</f>
        <v/>
      </c>
      <c r="AH26" s="77">
        <f>AH17-AH25</f>
        <v/>
      </c>
      <c r="AI26" s="77">
        <f>AI17-AI25</f>
        <v/>
      </c>
      <c r="AJ26" s="77">
        <f>AJ17-AJ25</f>
        <v/>
      </c>
      <c r="AK26" s="77">
        <f>AK17-AK25</f>
        <v/>
      </c>
      <c r="AL26" s="77">
        <f>AL17-AL25</f>
        <v/>
      </c>
      <c r="AM26" s="77">
        <f>AM17-AM25</f>
        <v/>
      </c>
      <c r="AN26" s="77">
        <f>AN17-AN25</f>
        <v/>
      </c>
      <c r="AO26" s="77">
        <f>AO17-AO25</f>
        <v/>
      </c>
      <c r="AP26" s="77">
        <f>AP17-AP25</f>
        <v/>
      </c>
      <c r="AQ26" s="77">
        <f>AQ17-AQ25</f>
        <v/>
      </c>
      <c r="AR26" s="77">
        <f>AR17-AR25</f>
        <v/>
      </c>
      <c r="AS26" s="77">
        <f>AS17-AS25</f>
        <v/>
      </c>
      <c r="AT26" s="77">
        <f>AT17-AT25</f>
        <v/>
      </c>
      <c r="AU26" s="77">
        <f>AU17-AU25</f>
        <v/>
      </c>
      <c r="AV26" s="77">
        <f>AV17-AV25</f>
        <v/>
      </c>
      <c r="AW26" s="77">
        <f>AW17-AW25</f>
        <v/>
      </c>
      <c r="AX26" s="77">
        <f>AX17-AX25</f>
        <v/>
      </c>
      <c r="AY26" s="77">
        <f>AY17-AY25</f>
        <v/>
      </c>
      <c r="AZ26" s="77">
        <f>AZ17-AZ25</f>
        <v/>
      </c>
      <c r="BA26" s="77">
        <f>BA17-BA25</f>
        <v/>
      </c>
      <c r="BB26" s="77">
        <f>BB17-BB25</f>
        <v/>
      </c>
      <c r="BC26" s="77">
        <f>BC17-BC25</f>
        <v/>
      </c>
      <c r="BD26" s="77">
        <f>BD17-BD25</f>
        <v/>
      </c>
      <c r="BE26" s="77">
        <f>BE17-BE25</f>
        <v/>
      </c>
      <c r="BF26" s="77">
        <f>BF17-BF25</f>
        <v/>
      </c>
      <c r="BG26" s="77">
        <f>BG17-BG25</f>
        <v/>
      </c>
      <c r="BH26" s="77">
        <f>BH17-BH25</f>
        <v/>
      </c>
      <c r="BI26" s="77">
        <f>BI17-BI25</f>
        <v/>
      </c>
      <c r="BJ26" s="77">
        <f>BJ17-BJ25</f>
        <v/>
      </c>
      <c r="BK26" s="77">
        <f>BK17-BK25</f>
        <v/>
      </c>
      <c r="BL26" s="77">
        <f>BL17-BL25</f>
        <v/>
      </c>
      <c r="BM26" s="77">
        <f>BM17-BM25</f>
        <v/>
      </c>
      <c r="BN26" s="77">
        <f>BN17-BN25</f>
        <v/>
      </c>
      <c r="BO26" s="77">
        <f>BO17-BO25</f>
        <v/>
      </c>
      <c r="BP26" s="77">
        <f>BP17-BP25</f>
        <v/>
      </c>
      <c r="BQ26" s="77">
        <f>BQ17-BQ25</f>
        <v/>
      </c>
      <c r="BR26" s="77">
        <f>BR17-BR25</f>
        <v/>
      </c>
      <c r="BS26" s="77">
        <f>BS17-BS25</f>
        <v/>
      </c>
      <c r="BT26" s="77">
        <f>BT17-BT25</f>
        <v/>
      </c>
      <c r="BU26" s="77">
        <f>BU17-BU25</f>
        <v/>
      </c>
      <c r="BV26" s="77">
        <f>BV17-BV25</f>
        <v/>
      </c>
      <c r="BW26" s="77">
        <f>BW17-BW25</f>
        <v/>
      </c>
      <c r="BX26" s="77">
        <f>BX17-BX25</f>
        <v/>
      </c>
      <c r="BY26" s="77">
        <f>BY17-BY25</f>
        <v/>
      </c>
      <c r="BZ26" s="77">
        <f>BZ17-BZ25</f>
        <v/>
      </c>
      <c r="CA26" s="77">
        <f>CA17-CA25</f>
        <v/>
      </c>
      <c r="CB26" s="77">
        <f>CB17-CB25</f>
        <v/>
      </c>
      <c r="CC26" s="77">
        <f>CC17-CC25</f>
        <v/>
      </c>
      <c r="CD26" s="77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2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2">
        <f>IF(SUM(C14:CD14)&lt;=SUM(C13:CD13)+0.01,1,0)</f>
        <v/>
      </c>
    </row>
    <row r="32">
      <c r="A32" t="inlineStr">
        <is>
          <t>Check: Tax losses c/f never negative</t>
        </is>
      </c>
      <c r="CD32" s="82">
        <f>IF(MIN(C22:CD22)&gt;=-0.01,1,0)</f>
        <v/>
      </c>
    </row>
    <row r="33">
      <c r="A33" t="inlineStr">
        <is>
          <t>Check: Losses utilised &lt;= losses arising over life</t>
        </is>
      </c>
      <c r="CD33" s="82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5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7" t="n">
        <v>70000000</v>
      </c>
    </row>
    <row r="8">
      <c r="A8" t="inlineStr">
        <is>
          <t>Sculpted Debt Capacity ($) = PV of sculpting basis, capped at Max Gearing</t>
        </is>
      </c>
      <c r="B8" s="88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89">
        <f>$B$8-$B$7</f>
        <v/>
      </c>
    </row>
    <row r="11">
      <c r="A11" t="inlineStr">
        <is>
          <t>Implied Gearing (solved) = Opening Debt / Total Project Cost</t>
        </is>
      </c>
      <c r="B11" s="90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2">
        <f>Calc_Financing_Cons!Z25</f>
        <v/>
      </c>
      <c r="D18" s="77">
        <f>C23</f>
        <v/>
      </c>
      <c r="E18" s="77">
        <f>D23</f>
        <v/>
      </c>
      <c r="F18" s="77">
        <f>E23</f>
        <v/>
      </c>
      <c r="G18" s="77">
        <f>F23</f>
        <v/>
      </c>
      <c r="H18" s="77">
        <f>G23</f>
        <v/>
      </c>
      <c r="I18" s="77">
        <f>H23</f>
        <v/>
      </c>
      <c r="J18" s="77">
        <f>I23</f>
        <v/>
      </c>
      <c r="K18" s="77">
        <f>J23</f>
        <v/>
      </c>
      <c r="L18" s="77">
        <f>K23</f>
        <v/>
      </c>
      <c r="M18" s="77">
        <f>L23</f>
        <v/>
      </c>
      <c r="N18" s="77">
        <f>M23</f>
        <v/>
      </c>
      <c r="O18" s="77">
        <f>N23</f>
        <v/>
      </c>
      <c r="P18" s="77">
        <f>O23</f>
        <v/>
      </c>
      <c r="Q18" s="77">
        <f>P23</f>
        <v/>
      </c>
      <c r="R18" s="77">
        <f>Q23</f>
        <v/>
      </c>
      <c r="S18" s="77">
        <f>R23</f>
        <v/>
      </c>
      <c r="T18" s="77">
        <f>S23</f>
        <v/>
      </c>
      <c r="U18" s="77">
        <f>T23</f>
        <v/>
      </c>
      <c r="V18" s="77">
        <f>U23</f>
        <v/>
      </c>
      <c r="W18" s="77">
        <f>V23</f>
        <v/>
      </c>
      <c r="X18" s="77">
        <f>W23</f>
        <v/>
      </c>
      <c r="Y18" s="77">
        <f>X23</f>
        <v/>
      </c>
      <c r="Z18" s="77">
        <f>Y23</f>
        <v/>
      </c>
      <c r="AA18" s="77">
        <f>Z23</f>
        <v/>
      </c>
      <c r="AB18" s="77">
        <f>AA23</f>
        <v/>
      </c>
      <c r="AC18" s="77">
        <f>AB23</f>
        <v/>
      </c>
      <c r="AD18" s="77">
        <f>AC23</f>
        <v/>
      </c>
      <c r="AE18" s="77">
        <f>AD23</f>
        <v/>
      </c>
      <c r="AF18" s="77">
        <f>AE23</f>
        <v/>
      </c>
      <c r="AG18" s="77">
        <f>AF23</f>
        <v/>
      </c>
      <c r="AH18" s="77">
        <f>AG23</f>
        <v/>
      </c>
      <c r="AI18" s="77">
        <f>AH23</f>
        <v/>
      </c>
      <c r="AJ18" s="77">
        <f>AI23</f>
        <v/>
      </c>
      <c r="AK18" s="77">
        <f>AJ23</f>
        <v/>
      </c>
      <c r="AL18" s="77">
        <f>AK23</f>
        <v/>
      </c>
      <c r="AM18" s="77">
        <f>AL23</f>
        <v/>
      </c>
      <c r="AN18" s="77">
        <f>AM23</f>
        <v/>
      </c>
      <c r="AO18" s="77">
        <f>AN23</f>
        <v/>
      </c>
      <c r="AP18" s="77">
        <f>AO23</f>
        <v/>
      </c>
      <c r="AQ18" s="77">
        <f>AP23</f>
        <v/>
      </c>
      <c r="AR18" s="77">
        <f>AQ23</f>
        <v/>
      </c>
      <c r="AS18" s="77">
        <f>AR23</f>
        <v/>
      </c>
      <c r="AT18" s="77">
        <f>AS23</f>
        <v/>
      </c>
      <c r="AU18" s="77">
        <f>AT23</f>
        <v/>
      </c>
      <c r="AV18" s="77">
        <f>AU23</f>
        <v/>
      </c>
      <c r="AW18" s="77">
        <f>AV23</f>
        <v/>
      </c>
      <c r="AX18" s="77">
        <f>AW23</f>
        <v/>
      </c>
      <c r="AY18" s="77">
        <f>AX23</f>
        <v/>
      </c>
      <c r="AZ18" s="77">
        <f>AY23</f>
        <v/>
      </c>
      <c r="BA18" s="77">
        <f>AZ23</f>
        <v/>
      </c>
      <c r="BB18" s="77">
        <f>BA23</f>
        <v/>
      </c>
      <c r="BC18" s="77">
        <f>BB23</f>
        <v/>
      </c>
      <c r="BD18" s="77">
        <f>BC23</f>
        <v/>
      </c>
      <c r="BE18" s="77">
        <f>BD23</f>
        <v/>
      </c>
      <c r="BF18" s="77">
        <f>BE23</f>
        <v/>
      </c>
      <c r="BG18" s="77">
        <f>BF23</f>
        <v/>
      </c>
      <c r="BH18" s="77">
        <f>BG23</f>
        <v/>
      </c>
      <c r="BI18" s="77">
        <f>BH23</f>
        <v/>
      </c>
      <c r="BJ18" s="77">
        <f>BI23</f>
        <v/>
      </c>
      <c r="BK18" s="77">
        <f>BJ23</f>
        <v/>
      </c>
      <c r="BL18" s="77">
        <f>BK23</f>
        <v/>
      </c>
      <c r="BM18" s="77">
        <f>BL23</f>
        <v/>
      </c>
      <c r="BN18" s="77">
        <f>BM23</f>
        <v/>
      </c>
      <c r="BO18" s="77">
        <f>BN23</f>
        <v/>
      </c>
      <c r="BP18" s="77">
        <f>BO23</f>
        <v/>
      </c>
      <c r="BQ18" s="77">
        <f>BP23</f>
        <v/>
      </c>
      <c r="BR18" s="77">
        <f>BQ23</f>
        <v/>
      </c>
      <c r="BS18" s="77">
        <f>BR23</f>
        <v/>
      </c>
      <c r="BT18" s="77">
        <f>BS23</f>
        <v/>
      </c>
      <c r="BU18" s="77">
        <f>BT23</f>
        <v/>
      </c>
      <c r="BV18" s="77">
        <f>BU23</f>
        <v/>
      </c>
      <c r="BW18" s="77">
        <f>BV23</f>
        <v/>
      </c>
      <c r="BX18" s="77">
        <f>BW23</f>
        <v/>
      </c>
      <c r="BY18" s="77">
        <f>BX23</f>
        <v/>
      </c>
      <c r="BZ18" s="77">
        <f>BY23</f>
        <v/>
      </c>
      <c r="CA18" s="77">
        <f>BZ23</f>
        <v/>
      </c>
      <c r="CB18" s="77">
        <f>CA23</f>
        <v/>
      </c>
      <c r="CC18" s="77">
        <f>CB23</f>
        <v/>
      </c>
      <c r="CD18" s="77">
        <f>CC23</f>
        <v/>
      </c>
    </row>
    <row r="19">
      <c r="A19" t="inlineStr">
        <is>
          <t>Interest ($)</t>
        </is>
      </c>
      <c r="C19" s="77">
        <f>C18*$B$4/4</f>
        <v/>
      </c>
      <c r="D19" s="77">
        <f>D18*$B$4/4</f>
        <v/>
      </c>
      <c r="E19" s="77">
        <f>E18*$B$4/4</f>
        <v/>
      </c>
      <c r="F19" s="77">
        <f>F18*$B$4/4</f>
        <v/>
      </c>
      <c r="G19" s="77">
        <f>G18*$B$4/4</f>
        <v/>
      </c>
      <c r="H19" s="77">
        <f>H18*$B$4/4</f>
        <v/>
      </c>
      <c r="I19" s="77">
        <f>I18*$B$4/4</f>
        <v/>
      </c>
      <c r="J19" s="77">
        <f>J18*$B$4/4</f>
        <v/>
      </c>
      <c r="K19" s="77">
        <f>K18*$B$4/4</f>
        <v/>
      </c>
      <c r="L19" s="77">
        <f>L18*$B$4/4</f>
        <v/>
      </c>
      <c r="M19" s="77">
        <f>M18*$B$4/4</f>
        <v/>
      </c>
      <c r="N19" s="77">
        <f>N18*$B$4/4</f>
        <v/>
      </c>
      <c r="O19" s="77">
        <f>O18*$B$4/4</f>
        <v/>
      </c>
      <c r="P19" s="77">
        <f>P18*$B$4/4</f>
        <v/>
      </c>
      <c r="Q19" s="77">
        <f>Q18*$B$4/4</f>
        <v/>
      </c>
      <c r="R19" s="77">
        <f>R18*$B$4/4</f>
        <v/>
      </c>
      <c r="S19" s="77">
        <f>S18*$B$4/4</f>
        <v/>
      </c>
      <c r="T19" s="77">
        <f>T18*$B$4/4</f>
        <v/>
      </c>
      <c r="U19" s="77">
        <f>U18*$B$4/4</f>
        <v/>
      </c>
      <c r="V19" s="77">
        <f>V18*$B$4/4</f>
        <v/>
      </c>
      <c r="W19" s="77">
        <f>W18*$B$4/4</f>
        <v/>
      </c>
      <c r="X19" s="77">
        <f>X18*$B$4/4</f>
        <v/>
      </c>
      <c r="Y19" s="77">
        <f>Y18*$B$4/4</f>
        <v/>
      </c>
      <c r="Z19" s="77">
        <f>Z18*$B$4/4</f>
        <v/>
      </c>
      <c r="AA19" s="77">
        <f>AA18*$B$4/4</f>
        <v/>
      </c>
      <c r="AB19" s="77">
        <f>AB18*$B$4/4</f>
        <v/>
      </c>
      <c r="AC19" s="77">
        <f>AC18*$B$4/4</f>
        <v/>
      </c>
      <c r="AD19" s="77">
        <f>AD18*$B$4/4</f>
        <v/>
      </c>
      <c r="AE19" s="77">
        <f>AE18*$B$4/4</f>
        <v/>
      </c>
      <c r="AF19" s="77">
        <f>AF18*$B$4/4</f>
        <v/>
      </c>
      <c r="AG19" s="77">
        <f>AG18*$B$4/4</f>
        <v/>
      </c>
      <c r="AH19" s="77">
        <f>AH18*$B$4/4</f>
        <v/>
      </c>
      <c r="AI19" s="77">
        <f>AI18*$B$4/4</f>
        <v/>
      </c>
      <c r="AJ19" s="77">
        <f>AJ18*$B$4/4</f>
        <v/>
      </c>
      <c r="AK19" s="77">
        <f>AK18*$B$4/4</f>
        <v/>
      </c>
      <c r="AL19" s="77">
        <f>AL18*$B$4/4</f>
        <v/>
      </c>
      <c r="AM19" s="77">
        <f>AM18*$B$4/4</f>
        <v/>
      </c>
      <c r="AN19" s="77">
        <f>AN18*$B$4/4</f>
        <v/>
      </c>
      <c r="AO19" s="77">
        <f>AO18*$B$4/4</f>
        <v/>
      </c>
      <c r="AP19" s="77">
        <f>AP18*$B$4/4</f>
        <v/>
      </c>
      <c r="AQ19" s="77">
        <f>AQ18*$B$4/4</f>
        <v/>
      </c>
      <c r="AR19" s="77">
        <f>AR18*$B$4/4</f>
        <v/>
      </c>
      <c r="AS19" s="77">
        <f>AS18*$B$4/4</f>
        <v/>
      </c>
      <c r="AT19" s="77">
        <f>AT18*$B$4/4</f>
        <v/>
      </c>
      <c r="AU19" s="77">
        <f>AU18*$B$4/4</f>
        <v/>
      </c>
      <c r="AV19" s="77">
        <f>AV18*$B$4/4</f>
        <v/>
      </c>
      <c r="AW19" s="77">
        <f>AW18*$B$4/4</f>
        <v/>
      </c>
      <c r="AX19" s="77">
        <f>AX18*$B$4/4</f>
        <v/>
      </c>
      <c r="AY19" s="77">
        <f>AY18*$B$4/4</f>
        <v/>
      </c>
      <c r="AZ19" s="77">
        <f>AZ18*$B$4/4</f>
        <v/>
      </c>
      <c r="BA19" s="77">
        <f>BA18*$B$4/4</f>
        <v/>
      </c>
      <c r="BB19" s="77">
        <f>BB18*$B$4/4</f>
        <v/>
      </c>
      <c r="BC19" s="77">
        <f>BC18*$B$4/4</f>
        <v/>
      </c>
      <c r="BD19" s="77">
        <f>BD18*$B$4/4</f>
        <v/>
      </c>
      <c r="BE19" s="77">
        <f>BE18*$B$4/4</f>
        <v/>
      </c>
      <c r="BF19" s="77">
        <f>BF18*$B$4/4</f>
        <v/>
      </c>
      <c r="BG19" s="77">
        <f>BG18*$B$4/4</f>
        <v/>
      </c>
      <c r="BH19" s="77">
        <f>BH18*$B$4/4</f>
        <v/>
      </c>
      <c r="BI19" s="77">
        <f>BI18*$B$4/4</f>
        <v/>
      </c>
      <c r="BJ19" s="77">
        <f>BJ18*$B$4/4</f>
        <v/>
      </c>
      <c r="BK19" s="77">
        <f>BK18*$B$4/4</f>
        <v/>
      </c>
      <c r="BL19" s="77">
        <f>BL18*$B$4/4</f>
        <v/>
      </c>
      <c r="BM19" s="77">
        <f>BM18*$B$4/4</f>
        <v/>
      </c>
      <c r="BN19" s="77">
        <f>BN18*$B$4/4</f>
        <v/>
      </c>
      <c r="BO19" s="77">
        <f>BO18*$B$4/4</f>
        <v/>
      </c>
      <c r="BP19" s="77">
        <f>BP18*$B$4/4</f>
        <v/>
      </c>
      <c r="BQ19" s="77">
        <f>BQ18*$B$4/4</f>
        <v/>
      </c>
      <c r="BR19" s="77">
        <f>BR18*$B$4/4</f>
        <v/>
      </c>
      <c r="BS19" s="77">
        <f>BS18*$B$4/4</f>
        <v/>
      </c>
      <c r="BT19" s="77">
        <f>BT18*$B$4/4</f>
        <v/>
      </c>
      <c r="BU19" s="77">
        <f>BU18*$B$4/4</f>
        <v/>
      </c>
      <c r="BV19" s="77">
        <f>BV18*$B$4/4</f>
        <v/>
      </c>
      <c r="BW19" s="77">
        <f>BW18*$B$4/4</f>
        <v/>
      </c>
      <c r="BX19" s="77">
        <f>BX18*$B$4/4</f>
        <v/>
      </c>
      <c r="BY19" s="77">
        <f>BY18*$B$4/4</f>
        <v/>
      </c>
      <c r="BZ19" s="77">
        <f>BZ18*$B$4/4</f>
        <v/>
      </c>
      <c r="CA19" s="77">
        <f>CA18*$B$4/4</f>
        <v/>
      </c>
      <c r="CB19" s="77">
        <f>CB18*$B$4/4</f>
        <v/>
      </c>
      <c r="CC19" s="77">
        <f>CC18*$B$4/4</f>
        <v/>
      </c>
      <c r="CD19" s="77">
        <f>CD18*$B$4/4</f>
        <v/>
      </c>
    </row>
    <row r="20">
      <c r="A20" t="inlineStr">
        <is>
          <t>Sculpting Basis ($) = CFADS / Target DSCR (uncapped)</t>
        </is>
      </c>
      <c r="C20" s="77">
        <f>Calc_CFADS!C5/$B$5</f>
        <v/>
      </c>
      <c r="D20" s="77">
        <f>Calc_CFADS!D5/$B$5</f>
        <v/>
      </c>
      <c r="E20" s="77">
        <f>Calc_CFADS!E5/$B$5</f>
        <v/>
      </c>
      <c r="F20" s="77">
        <f>Calc_CFADS!F5/$B$5</f>
        <v/>
      </c>
      <c r="G20" s="77">
        <f>Calc_CFADS!G5/$B$5</f>
        <v/>
      </c>
      <c r="H20" s="77">
        <f>Calc_CFADS!H5/$B$5</f>
        <v/>
      </c>
      <c r="I20" s="77">
        <f>Calc_CFADS!I5/$B$5</f>
        <v/>
      </c>
      <c r="J20" s="77">
        <f>Calc_CFADS!J5/$B$5</f>
        <v/>
      </c>
      <c r="K20" s="77">
        <f>Calc_CFADS!K5/$B$5</f>
        <v/>
      </c>
      <c r="L20" s="77">
        <f>Calc_CFADS!L5/$B$5</f>
        <v/>
      </c>
      <c r="M20" s="77">
        <f>Calc_CFADS!M5/$B$5</f>
        <v/>
      </c>
      <c r="N20" s="77">
        <f>Calc_CFADS!N5/$B$5</f>
        <v/>
      </c>
      <c r="O20" s="77">
        <f>Calc_CFADS!O5/$B$5</f>
        <v/>
      </c>
      <c r="P20" s="77">
        <f>Calc_CFADS!P5/$B$5</f>
        <v/>
      </c>
      <c r="Q20" s="77">
        <f>Calc_CFADS!Q5/$B$5</f>
        <v/>
      </c>
      <c r="R20" s="77">
        <f>Calc_CFADS!R5/$B$5</f>
        <v/>
      </c>
      <c r="S20" s="77">
        <f>Calc_CFADS!S5/$B$5</f>
        <v/>
      </c>
      <c r="T20" s="77">
        <f>Calc_CFADS!T5/$B$5</f>
        <v/>
      </c>
      <c r="U20" s="77">
        <f>Calc_CFADS!U5/$B$5</f>
        <v/>
      </c>
      <c r="V20" s="77">
        <f>Calc_CFADS!V5/$B$5</f>
        <v/>
      </c>
      <c r="W20" s="77">
        <f>Calc_CFADS!W5/$B$5</f>
        <v/>
      </c>
      <c r="X20" s="77">
        <f>Calc_CFADS!X5/$B$5</f>
        <v/>
      </c>
      <c r="Y20" s="77">
        <f>Calc_CFADS!Y5/$B$5</f>
        <v/>
      </c>
      <c r="Z20" s="77">
        <f>Calc_CFADS!Z5/$B$5</f>
        <v/>
      </c>
      <c r="AA20" s="77">
        <f>Calc_CFADS!AA5/$B$5</f>
        <v/>
      </c>
      <c r="AB20" s="77">
        <f>Calc_CFADS!AB5/$B$5</f>
        <v/>
      </c>
      <c r="AC20" s="77">
        <f>Calc_CFADS!AC5/$B$5</f>
        <v/>
      </c>
      <c r="AD20" s="77">
        <f>Calc_CFADS!AD5/$B$5</f>
        <v/>
      </c>
      <c r="AE20" s="77">
        <f>Calc_CFADS!AE5/$B$5</f>
        <v/>
      </c>
      <c r="AF20" s="77">
        <f>Calc_CFADS!AF5/$B$5</f>
        <v/>
      </c>
      <c r="AG20" s="77">
        <f>Calc_CFADS!AG5/$B$5</f>
        <v/>
      </c>
      <c r="AH20" s="77">
        <f>Calc_CFADS!AH5/$B$5</f>
        <v/>
      </c>
      <c r="AI20" s="77">
        <f>Calc_CFADS!AI5/$B$5</f>
        <v/>
      </c>
      <c r="AJ20" s="77">
        <f>Calc_CFADS!AJ5/$B$5</f>
        <v/>
      </c>
      <c r="AK20" s="77">
        <f>Calc_CFADS!AK5/$B$5</f>
        <v/>
      </c>
      <c r="AL20" s="77">
        <f>Calc_CFADS!AL5/$B$5</f>
        <v/>
      </c>
      <c r="AM20" s="77">
        <f>Calc_CFADS!AM5/$B$5</f>
        <v/>
      </c>
      <c r="AN20" s="77">
        <f>Calc_CFADS!AN5/$B$5</f>
        <v/>
      </c>
      <c r="AO20" s="77">
        <f>Calc_CFADS!AO5/$B$5</f>
        <v/>
      </c>
      <c r="AP20" s="77">
        <f>Calc_CFADS!AP5/$B$5</f>
        <v/>
      </c>
      <c r="AQ20" s="77">
        <f>Calc_CFADS!AQ5/$B$5</f>
        <v/>
      </c>
      <c r="AR20" s="77">
        <f>Calc_CFADS!AR5/$B$5</f>
        <v/>
      </c>
      <c r="AS20" s="77">
        <f>Calc_CFADS!AS5/$B$5</f>
        <v/>
      </c>
      <c r="AT20" s="77">
        <f>Calc_CFADS!AT5/$B$5</f>
        <v/>
      </c>
      <c r="AU20" s="77">
        <f>Calc_CFADS!AU5/$B$5</f>
        <v/>
      </c>
      <c r="AV20" s="77">
        <f>Calc_CFADS!AV5/$B$5</f>
        <v/>
      </c>
      <c r="AW20" s="77">
        <f>Calc_CFADS!AW5/$B$5</f>
        <v/>
      </c>
      <c r="AX20" s="77">
        <f>Calc_CFADS!AX5/$B$5</f>
        <v/>
      </c>
      <c r="AY20" s="77">
        <f>Calc_CFADS!AY5/$B$5</f>
        <v/>
      </c>
      <c r="AZ20" s="77">
        <f>Calc_CFADS!AZ5/$B$5</f>
        <v/>
      </c>
      <c r="BA20" s="77">
        <f>Calc_CFADS!BA5/$B$5</f>
        <v/>
      </c>
      <c r="BB20" s="77">
        <f>Calc_CFADS!BB5/$B$5</f>
        <v/>
      </c>
      <c r="BC20" s="77">
        <f>Calc_CFADS!BC5/$B$5</f>
        <v/>
      </c>
      <c r="BD20" s="77">
        <f>Calc_CFADS!BD5/$B$5</f>
        <v/>
      </c>
      <c r="BE20" s="77">
        <f>Calc_CFADS!BE5/$B$5</f>
        <v/>
      </c>
      <c r="BF20" s="77">
        <f>Calc_CFADS!BF5/$B$5</f>
        <v/>
      </c>
      <c r="BG20" s="77">
        <f>Calc_CFADS!BG5/$B$5</f>
        <v/>
      </c>
      <c r="BH20" s="77">
        <f>Calc_CFADS!BH5/$B$5</f>
        <v/>
      </c>
      <c r="BI20" s="77">
        <f>Calc_CFADS!BI5/$B$5</f>
        <v/>
      </c>
      <c r="BJ20" s="77">
        <f>Calc_CFADS!BJ5/$B$5</f>
        <v/>
      </c>
      <c r="BK20" s="77">
        <f>0</f>
        <v/>
      </c>
      <c r="BL20" s="77">
        <f>0</f>
        <v/>
      </c>
      <c r="BM20" s="77">
        <f>0</f>
        <v/>
      </c>
      <c r="BN20" s="77">
        <f>0</f>
        <v/>
      </c>
      <c r="BO20" s="77">
        <f>0</f>
        <v/>
      </c>
      <c r="BP20" s="77">
        <f>0</f>
        <v/>
      </c>
      <c r="BQ20" s="77">
        <f>0</f>
        <v/>
      </c>
      <c r="BR20" s="77">
        <f>0</f>
        <v/>
      </c>
      <c r="BS20" s="77">
        <f>0</f>
        <v/>
      </c>
      <c r="BT20" s="77">
        <f>0</f>
        <v/>
      </c>
      <c r="BU20" s="77">
        <f>0</f>
        <v/>
      </c>
      <c r="BV20" s="77">
        <f>0</f>
        <v/>
      </c>
      <c r="BW20" s="77">
        <f>0</f>
        <v/>
      </c>
      <c r="BX20" s="77">
        <f>0</f>
        <v/>
      </c>
      <c r="BY20" s="77">
        <f>0</f>
        <v/>
      </c>
      <c r="BZ20" s="77">
        <f>0</f>
        <v/>
      </c>
      <c r="CA20" s="77">
        <f>0</f>
        <v/>
      </c>
      <c r="CB20" s="77">
        <f>0</f>
        <v/>
      </c>
      <c r="CC20" s="77">
        <f>0</f>
        <v/>
      </c>
      <c r="CD20" s="77">
        <f>0</f>
        <v/>
      </c>
    </row>
    <row r="21">
      <c r="A21" t="inlineStr">
        <is>
          <t>Debt Service ($) — sculpted to Target DSCR</t>
        </is>
      </c>
      <c r="C21" s="77">
        <f>IF($B$3="DSCR Sculpted",MAX(C19,MIN(C20,C18+C19)),MIN(-PMT($B$4/4,$B$9*4,Calc_Financing_Cons!Z25),C18+C19))</f>
        <v/>
      </c>
      <c r="D21" s="77">
        <f>IF($B$3="DSCR Sculpted",MAX(D19,MIN(D20,D18+D19)),MIN(-PMT($B$4/4,$B$9*4,Calc_Financing_Cons!Z25),D18+D19))</f>
        <v/>
      </c>
      <c r="E21" s="77">
        <f>IF($B$3="DSCR Sculpted",MAX(E19,MIN(E20,E18+E19)),MIN(-PMT($B$4/4,$B$9*4,Calc_Financing_Cons!Z25),E18+E19))</f>
        <v/>
      </c>
      <c r="F21" s="77">
        <f>IF($B$3="DSCR Sculpted",MAX(F19,MIN(F20,F18+F19)),MIN(-PMT($B$4/4,$B$9*4,Calc_Financing_Cons!Z25),F18+F19))</f>
        <v/>
      </c>
      <c r="G21" s="77">
        <f>IF($B$3="DSCR Sculpted",MAX(G19,MIN(G20,G18+G19)),MIN(-PMT($B$4/4,$B$9*4,Calc_Financing_Cons!Z25),G18+G19))</f>
        <v/>
      </c>
      <c r="H21" s="77">
        <f>IF($B$3="DSCR Sculpted",MAX(H19,MIN(H20,H18+H19)),MIN(-PMT($B$4/4,$B$9*4,Calc_Financing_Cons!Z25),H18+H19))</f>
        <v/>
      </c>
      <c r="I21" s="77">
        <f>IF($B$3="DSCR Sculpted",MAX(I19,MIN(I20,I18+I19)),MIN(-PMT($B$4/4,$B$9*4,Calc_Financing_Cons!Z25),I18+I19))</f>
        <v/>
      </c>
      <c r="J21" s="77">
        <f>IF($B$3="DSCR Sculpted",MAX(J19,MIN(J20,J18+J19)),MIN(-PMT($B$4/4,$B$9*4,Calc_Financing_Cons!Z25),J18+J19))</f>
        <v/>
      </c>
      <c r="K21" s="77">
        <f>IF($B$3="DSCR Sculpted",MAX(K19,MIN(K20,K18+K19)),MIN(-PMT($B$4/4,$B$9*4,Calc_Financing_Cons!Z25),K18+K19))</f>
        <v/>
      </c>
      <c r="L21" s="77">
        <f>IF($B$3="DSCR Sculpted",MAX(L19,MIN(L20,L18+L19)),MIN(-PMT($B$4/4,$B$9*4,Calc_Financing_Cons!Z25),L18+L19))</f>
        <v/>
      </c>
      <c r="M21" s="77">
        <f>IF($B$3="DSCR Sculpted",MAX(M19,MIN(M20,M18+M19)),MIN(-PMT($B$4/4,$B$9*4,Calc_Financing_Cons!Z25),M18+M19))</f>
        <v/>
      </c>
      <c r="N21" s="77">
        <f>IF($B$3="DSCR Sculpted",MAX(N19,MIN(N20,N18+N19)),MIN(-PMT($B$4/4,$B$9*4,Calc_Financing_Cons!Z25),N18+N19))</f>
        <v/>
      </c>
      <c r="O21" s="77">
        <f>IF($B$3="DSCR Sculpted",MAX(O19,MIN(O20,O18+O19)),MIN(-PMT($B$4/4,$B$9*4,Calc_Financing_Cons!Z25),O18+O19))</f>
        <v/>
      </c>
      <c r="P21" s="77">
        <f>IF($B$3="DSCR Sculpted",MAX(P19,MIN(P20,P18+P19)),MIN(-PMT($B$4/4,$B$9*4,Calc_Financing_Cons!Z25),P18+P19))</f>
        <v/>
      </c>
      <c r="Q21" s="77">
        <f>IF($B$3="DSCR Sculpted",MAX(Q19,MIN(Q20,Q18+Q19)),MIN(-PMT($B$4/4,$B$9*4,Calc_Financing_Cons!Z25),Q18+Q19))</f>
        <v/>
      </c>
      <c r="R21" s="77">
        <f>IF($B$3="DSCR Sculpted",MAX(R19,MIN(R20,R18+R19)),MIN(-PMT($B$4/4,$B$9*4,Calc_Financing_Cons!Z25),R18+R19))</f>
        <v/>
      </c>
      <c r="S21" s="77">
        <f>IF($B$3="DSCR Sculpted",MAX(S19,MIN(S20,S18+S19)),MIN(-PMT($B$4/4,$B$9*4,Calc_Financing_Cons!Z25),S18+S19))</f>
        <v/>
      </c>
      <c r="T21" s="77">
        <f>IF($B$3="DSCR Sculpted",MAX(T19,MIN(T20,T18+T19)),MIN(-PMT($B$4/4,$B$9*4,Calc_Financing_Cons!Z25),T18+T19))</f>
        <v/>
      </c>
      <c r="U21" s="77">
        <f>IF($B$3="DSCR Sculpted",MAX(U19,MIN(U20,U18+U19)),MIN(-PMT($B$4/4,$B$9*4,Calc_Financing_Cons!Z25),U18+U19))</f>
        <v/>
      </c>
      <c r="V21" s="77">
        <f>IF($B$3="DSCR Sculpted",MAX(V19,MIN(V20,V18+V19)),MIN(-PMT($B$4/4,$B$9*4,Calc_Financing_Cons!Z25),V18+V19))</f>
        <v/>
      </c>
      <c r="W21" s="77">
        <f>IF($B$3="DSCR Sculpted",MAX(W19,MIN(W20,W18+W19)),MIN(-PMT($B$4/4,$B$9*4,Calc_Financing_Cons!Z25),W18+W19))</f>
        <v/>
      </c>
      <c r="X21" s="77">
        <f>IF($B$3="DSCR Sculpted",MAX(X19,MIN(X20,X18+X19)),MIN(-PMT($B$4/4,$B$9*4,Calc_Financing_Cons!Z25),X18+X19))</f>
        <v/>
      </c>
      <c r="Y21" s="77">
        <f>IF($B$3="DSCR Sculpted",MAX(Y19,MIN(Y20,Y18+Y19)),MIN(-PMT($B$4/4,$B$9*4,Calc_Financing_Cons!Z25),Y18+Y19))</f>
        <v/>
      </c>
      <c r="Z21" s="77">
        <f>IF($B$3="DSCR Sculpted",MAX(Z19,MIN(Z20,Z18+Z19)),MIN(-PMT($B$4/4,$B$9*4,Calc_Financing_Cons!Z25),Z18+Z19))</f>
        <v/>
      </c>
      <c r="AA21" s="77">
        <f>IF($B$3="DSCR Sculpted",MAX(AA19,MIN(AA20,AA18+AA19)),MIN(-PMT($B$4/4,$B$9*4,Calc_Financing_Cons!Z25),AA18+AA19))</f>
        <v/>
      </c>
      <c r="AB21" s="77">
        <f>IF($B$3="DSCR Sculpted",MAX(AB19,MIN(AB20,AB18+AB19)),MIN(-PMT($B$4/4,$B$9*4,Calc_Financing_Cons!Z25),AB18+AB19))</f>
        <v/>
      </c>
      <c r="AC21" s="77">
        <f>IF($B$3="DSCR Sculpted",MAX(AC19,MIN(AC20,AC18+AC19)),MIN(-PMT($B$4/4,$B$9*4,Calc_Financing_Cons!Z25),AC18+AC19))</f>
        <v/>
      </c>
      <c r="AD21" s="77">
        <f>IF($B$3="DSCR Sculpted",MAX(AD19,MIN(AD20,AD18+AD19)),MIN(-PMT($B$4/4,$B$9*4,Calc_Financing_Cons!Z25),AD18+AD19))</f>
        <v/>
      </c>
      <c r="AE21" s="77">
        <f>IF($B$3="DSCR Sculpted",MAX(AE19,MIN(AE20,AE18+AE19)),MIN(-PMT($B$4/4,$B$9*4,Calc_Financing_Cons!Z25),AE18+AE19))</f>
        <v/>
      </c>
      <c r="AF21" s="77">
        <f>IF($B$3="DSCR Sculpted",MAX(AF19,MIN(AF20,AF18+AF19)),MIN(-PMT($B$4/4,$B$9*4,Calc_Financing_Cons!Z25),AF18+AF19))</f>
        <v/>
      </c>
      <c r="AG21" s="77">
        <f>IF($B$3="DSCR Sculpted",MAX(AG19,MIN(AG20,AG18+AG19)),MIN(-PMT($B$4/4,$B$9*4,Calc_Financing_Cons!Z25),AG18+AG19))</f>
        <v/>
      </c>
      <c r="AH21" s="77">
        <f>IF($B$3="DSCR Sculpted",MAX(AH19,MIN(AH20,AH18+AH19)),MIN(-PMT($B$4/4,$B$9*4,Calc_Financing_Cons!Z25),AH18+AH19))</f>
        <v/>
      </c>
      <c r="AI21" s="77">
        <f>IF($B$3="DSCR Sculpted",MAX(AI19,MIN(AI20,AI18+AI19)),MIN(-PMT($B$4/4,$B$9*4,Calc_Financing_Cons!Z25),AI18+AI19))</f>
        <v/>
      </c>
      <c r="AJ21" s="77">
        <f>IF($B$3="DSCR Sculpted",MAX(AJ19,MIN(AJ20,AJ18+AJ19)),MIN(-PMT($B$4/4,$B$9*4,Calc_Financing_Cons!Z25),AJ18+AJ19))</f>
        <v/>
      </c>
      <c r="AK21" s="77">
        <f>IF($B$3="DSCR Sculpted",MAX(AK19,MIN(AK20,AK18+AK19)),MIN(-PMT($B$4/4,$B$9*4,Calc_Financing_Cons!Z25),AK18+AK19))</f>
        <v/>
      </c>
      <c r="AL21" s="77">
        <f>IF($B$3="DSCR Sculpted",MAX(AL19,MIN(AL20,AL18+AL19)),MIN(-PMT($B$4/4,$B$9*4,Calc_Financing_Cons!Z25),AL18+AL19))</f>
        <v/>
      </c>
      <c r="AM21" s="77">
        <f>IF($B$3="DSCR Sculpted",MAX(AM19,MIN(AM20,AM18+AM19)),MIN(-PMT($B$4/4,$B$9*4,Calc_Financing_Cons!Z25),AM18+AM19))</f>
        <v/>
      </c>
      <c r="AN21" s="77">
        <f>IF($B$3="DSCR Sculpted",MAX(AN19,MIN(AN20,AN18+AN19)),MIN(-PMT($B$4/4,$B$9*4,Calc_Financing_Cons!Z25),AN18+AN19))</f>
        <v/>
      </c>
      <c r="AO21" s="77">
        <f>IF($B$3="DSCR Sculpted",MAX(AO19,MIN(AO20,AO18+AO19)),MIN(-PMT($B$4/4,$B$9*4,Calc_Financing_Cons!Z25),AO18+AO19))</f>
        <v/>
      </c>
      <c r="AP21" s="77">
        <f>IF($B$3="DSCR Sculpted",MAX(AP19,MIN(AP20,AP18+AP19)),MIN(-PMT($B$4/4,$B$9*4,Calc_Financing_Cons!Z25),AP18+AP19))</f>
        <v/>
      </c>
      <c r="AQ21" s="77">
        <f>IF($B$3="DSCR Sculpted",MAX(AQ19,MIN(AQ20,AQ18+AQ19)),MIN(-PMT($B$4/4,$B$9*4,Calc_Financing_Cons!Z25),AQ18+AQ19))</f>
        <v/>
      </c>
      <c r="AR21" s="77">
        <f>IF($B$3="DSCR Sculpted",MAX(AR19,MIN(AR20,AR18+AR19)),MIN(-PMT($B$4/4,$B$9*4,Calc_Financing_Cons!Z25),AR18+AR19))</f>
        <v/>
      </c>
      <c r="AS21" s="77">
        <f>IF($B$3="DSCR Sculpted",MAX(AS19,MIN(AS20,AS18+AS19)),MIN(-PMT($B$4/4,$B$9*4,Calc_Financing_Cons!Z25),AS18+AS19))</f>
        <v/>
      </c>
      <c r="AT21" s="77">
        <f>IF($B$3="DSCR Sculpted",MAX(AT19,MIN(AT20,AT18+AT19)),MIN(-PMT($B$4/4,$B$9*4,Calc_Financing_Cons!Z25),AT18+AT19))</f>
        <v/>
      </c>
      <c r="AU21" s="77">
        <f>IF($B$3="DSCR Sculpted",MAX(AU19,MIN(AU20,AU18+AU19)),MIN(-PMT($B$4/4,$B$9*4,Calc_Financing_Cons!Z25),AU18+AU19))</f>
        <v/>
      </c>
      <c r="AV21" s="77">
        <f>IF($B$3="DSCR Sculpted",MAX(AV19,MIN(AV20,AV18+AV19)),MIN(-PMT($B$4/4,$B$9*4,Calc_Financing_Cons!Z25),AV18+AV19))</f>
        <v/>
      </c>
      <c r="AW21" s="77">
        <f>IF($B$3="DSCR Sculpted",MAX(AW19,MIN(AW20,AW18+AW19)),MIN(-PMT($B$4/4,$B$9*4,Calc_Financing_Cons!Z25),AW18+AW19))</f>
        <v/>
      </c>
      <c r="AX21" s="77">
        <f>IF($B$3="DSCR Sculpted",MAX(AX19,MIN(AX20,AX18+AX19)),MIN(-PMT($B$4/4,$B$9*4,Calc_Financing_Cons!Z25),AX18+AX19))</f>
        <v/>
      </c>
      <c r="AY21" s="77">
        <f>IF($B$3="DSCR Sculpted",MAX(AY19,MIN(AY20,AY18+AY19)),MIN(-PMT($B$4/4,$B$9*4,Calc_Financing_Cons!Z25),AY18+AY19))</f>
        <v/>
      </c>
      <c r="AZ21" s="77">
        <f>IF($B$3="DSCR Sculpted",MAX(AZ19,MIN(AZ20,AZ18+AZ19)),MIN(-PMT($B$4/4,$B$9*4,Calc_Financing_Cons!Z25),AZ18+AZ19))</f>
        <v/>
      </c>
      <c r="BA21" s="77">
        <f>IF($B$3="DSCR Sculpted",MAX(BA19,MIN(BA20,BA18+BA19)),MIN(-PMT($B$4/4,$B$9*4,Calc_Financing_Cons!Z25),BA18+BA19))</f>
        <v/>
      </c>
      <c r="BB21" s="77">
        <f>IF($B$3="DSCR Sculpted",MAX(BB19,MIN(BB20,BB18+BB19)),MIN(-PMT($B$4/4,$B$9*4,Calc_Financing_Cons!Z25),BB18+BB19))</f>
        <v/>
      </c>
      <c r="BC21" s="77">
        <f>IF($B$3="DSCR Sculpted",MAX(BC19,MIN(BC20,BC18+BC19)),MIN(-PMT($B$4/4,$B$9*4,Calc_Financing_Cons!Z25),BC18+BC19))</f>
        <v/>
      </c>
      <c r="BD21" s="77">
        <f>IF($B$3="DSCR Sculpted",MAX(BD19,MIN(BD20,BD18+BD19)),MIN(-PMT($B$4/4,$B$9*4,Calc_Financing_Cons!Z25),BD18+BD19))</f>
        <v/>
      </c>
      <c r="BE21" s="77">
        <f>IF($B$3="DSCR Sculpted",MAX(BE19,MIN(BE20,BE18+BE19)),MIN(-PMT($B$4/4,$B$9*4,Calc_Financing_Cons!Z25),BE18+BE19))</f>
        <v/>
      </c>
      <c r="BF21" s="77">
        <f>IF($B$3="DSCR Sculpted",MAX(BF19,MIN(BF20,BF18+BF19)),MIN(-PMT($B$4/4,$B$9*4,Calc_Financing_Cons!Z25),BF18+BF19))</f>
        <v/>
      </c>
      <c r="BG21" s="77">
        <f>IF($B$3="DSCR Sculpted",MAX(BG19,MIN(BG20,BG18+BG19)),MIN(-PMT($B$4/4,$B$9*4,Calc_Financing_Cons!Z25),BG18+BG19))</f>
        <v/>
      </c>
      <c r="BH21" s="77">
        <f>IF($B$3="DSCR Sculpted",MAX(BH19,MIN(BH20,BH18+BH19)),MIN(-PMT($B$4/4,$B$9*4,Calc_Financing_Cons!Z25),BH18+BH19))</f>
        <v/>
      </c>
      <c r="BI21" s="77">
        <f>IF($B$3="DSCR Sculpted",MAX(BI19,MIN(BI20,BI18+BI19)),MIN(-PMT($B$4/4,$B$9*4,Calc_Financing_Cons!Z25),BI18+BI19))</f>
        <v/>
      </c>
      <c r="BJ21" s="77">
        <f>IF($B$3="DSCR Sculpted",MAX(BJ19,MIN(BJ20,BJ18+BJ19)),MIN(-PMT($B$4/4,$B$9*4,Calc_Financing_Cons!Z25),BJ18+BJ19))</f>
        <v/>
      </c>
      <c r="BK21" s="77">
        <f>0</f>
        <v/>
      </c>
      <c r="BL21" s="77">
        <f>0</f>
        <v/>
      </c>
      <c r="BM21" s="77">
        <f>0</f>
        <v/>
      </c>
      <c r="BN21" s="77">
        <f>0</f>
        <v/>
      </c>
      <c r="BO21" s="77">
        <f>0</f>
        <v/>
      </c>
      <c r="BP21" s="77">
        <f>0</f>
        <v/>
      </c>
      <c r="BQ21" s="77">
        <f>0</f>
        <v/>
      </c>
      <c r="BR21" s="77">
        <f>0</f>
        <v/>
      </c>
      <c r="BS21" s="77">
        <f>0</f>
        <v/>
      </c>
      <c r="BT21" s="77">
        <f>0</f>
        <v/>
      </c>
      <c r="BU21" s="77">
        <f>0</f>
        <v/>
      </c>
      <c r="BV21" s="77">
        <f>0</f>
        <v/>
      </c>
      <c r="BW21" s="77">
        <f>0</f>
        <v/>
      </c>
      <c r="BX21" s="77">
        <f>0</f>
        <v/>
      </c>
      <c r="BY21" s="77">
        <f>0</f>
        <v/>
      </c>
      <c r="BZ21" s="77">
        <f>0</f>
        <v/>
      </c>
      <c r="CA21" s="77">
        <f>0</f>
        <v/>
      </c>
      <c r="CB21" s="77">
        <f>0</f>
        <v/>
      </c>
      <c r="CC21" s="77">
        <f>0</f>
        <v/>
      </c>
      <c r="CD21" s="77">
        <f>0</f>
        <v/>
      </c>
    </row>
    <row r="22">
      <c r="A22" t="inlineStr">
        <is>
          <t>Principal ($)</t>
        </is>
      </c>
      <c r="C22" s="77">
        <f>C21-C19</f>
        <v/>
      </c>
      <c r="D22" s="77">
        <f>D21-D19</f>
        <v/>
      </c>
      <c r="E22" s="77">
        <f>E21-E19</f>
        <v/>
      </c>
      <c r="F22" s="77">
        <f>F21-F19</f>
        <v/>
      </c>
      <c r="G22" s="77">
        <f>G21-G19</f>
        <v/>
      </c>
      <c r="H22" s="77">
        <f>H21-H19</f>
        <v/>
      </c>
      <c r="I22" s="77">
        <f>I21-I19</f>
        <v/>
      </c>
      <c r="J22" s="77">
        <f>J21-J19</f>
        <v/>
      </c>
      <c r="K22" s="77">
        <f>K21-K19</f>
        <v/>
      </c>
      <c r="L22" s="77">
        <f>L21-L19</f>
        <v/>
      </c>
      <c r="M22" s="77">
        <f>M21-M19</f>
        <v/>
      </c>
      <c r="N22" s="77">
        <f>N21-N19</f>
        <v/>
      </c>
      <c r="O22" s="77">
        <f>O21-O19</f>
        <v/>
      </c>
      <c r="P22" s="77">
        <f>P21-P19</f>
        <v/>
      </c>
      <c r="Q22" s="77">
        <f>Q21-Q19</f>
        <v/>
      </c>
      <c r="R22" s="77">
        <f>R21-R19</f>
        <v/>
      </c>
      <c r="S22" s="77">
        <f>S21-S19</f>
        <v/>
      </c>
      <c r="T22" s="77">
        <f>T21-T19</f>
        <v/>
      </c>
      <c r="U22" s="77">
        <f>U21-U19</f>
        <v/>
      </c>
      <c r="V22" s="77">
        <f>V21-V19</f>
        <v/>
      </c>
      <c r="W22" s="77">
        <f>W21-W19</f>
        <v/>
      </c>
      <c r="X22" s="77">
        <f>X21-X19</f>
        <v/>
      </c>
      <c r="Y22" s="77">
        <f>Y21-Y19</f>
        <v/>
      </c>
      <c r="Z22" s="77">
        <f>Z21-Z19</f>
        <v/>
      </c>
      <c r="AA22" s="77">
        <f>AA21-AA19</f>
        <v/>
      </c>
      <c r="AB22" s="77">
        <f>AB21-AB19</f>
        <v/>
      </c>
      <c r="AC22" s="77">
        <f>AC21-AC19</f>
        <v/>
      </c>
      <c r="AD22" s="77">
        <f>AD21-AD19</f>
        <v/>
      </c>
      <c r="AE22" s="77">
        <f>AE21-AE19</f>
        <v/>
      </c>
      <c r="AF22" s="77">
        <f>AF21-AF19</f>
        <v/>
      </c>
      <c r="AG22" s="77">
        <f>AG21-AG19</f>
        <v/>
      </c>
      <c r="AH22" s="77">
        <f>AH21-AH19</f>
        <v/>
      </c>
      <c r="AI22" s="77">
        <f>AI21-AI19</f>
        <v/>
      </c>
      <c r="AJ22" s="77">
        <f>AJ21-AJ19</f>
        <v/>
      </c>
      <c r="AK22" s="77">
        <f>AK21-AK19</f>
        <v/>
      </c>
      <c r="AL22" s="77">
        <f>AL21-AL19</f>
        <v/>
      </c>
      <c r="AM22" s="77">
        <f>AM21-AM19</f>
        <v/>
      </c>
      <c r="AN22" s="77">
        <f>AN21-AN19</f>
        <v/>
      </c>
      <c r="AO22" s="77">
        <f>AO21-AO19</f>
        <v/>
      </c>
      <c r="AP22" s="77">
        <f>AP21-AP19</f>
        <v/>
      </c>
      <c r="AQ22" s="77">
        <f>AQ21-AQ19</f>
        <v/>
      </c>
      <c r="AR22" s="77">
        <f>AR21-AR19</f>
        <v/>
      </c>
      <c r="AS22" s="77">
        <f>AS21-AS19</f>
        <v/>
      </c>
      <c r="AT22" s="77">
        <f>AT21-AT19</f>
        <v/>
      </c>
      <c r="AU22" s="77">
        <f>AU21-AU19</f>
        <v/>
      </c>
      <c r="AV22" s="77">
        <f>AV21-AV19</f>
        <v/>
      </c>
      <c r="AW22" s="77">
        <f>AW21-AW19</f>
        <v/>
      </c>
      <c r="AX22" s="77">
        <f>AX21-AX19</f>
        <v/>
      </c>
      <c r="AY22" s="77">
        <f>AY21-AY19</f>
        <v/>
      </c>
      <c r="AZ22" s="77">
        <f>AZ21-AZ19</f>
        <v/>
      </c>
      <c r="BA22" s="77">
        <f>BA21-BA19</f>
        <v/>
      </c>
      <c r="BB22" s="77">
        <f>BB21-BB19</f>
        <v/>
      </c>
      <c r="BC22" s="77">
        <f>BC21-BC19</f>
        <v/>
      </c>
      <c r="BD22" s="77">
        <f>BD21-BD19</f>
        <v/>
      </c>
      <c r="BE22" s="77">
        <f>BE21-BE19</f>
        <v/>
      </c>
      <c r="BF22" s="77">
        <f>BF21-BF19</f>
        <v/>
      </c>
      <c r="BG22" s="77">
        <f>BG21-BG19</f>
        <v/>
      </c>
      <c r="BH22" s="77">
        <f>BH21-BH19</f>
        <v/>
      </c>
      <c r="BI22" s="77">
        <f>BI21-BI19</f>
        <v/>
      </c>
      <c r="BJ22" s="77">
        <f>BJ21-BJ19</f>
        <v/>
      </c>
      <c r="BK22" s="77">
        <f>BK21-BK19</f>
        <v/>
      </c>
      <c r="BL22" s="77">
        <f>BL21-BL19</f>
        <v/>
      </c>
      <c r="BM22" s="77">
        <f>BM21-BM19</f>
        <v/>
      </c>
      <c r="BN22" s="77">
        <f>BN21-BN19</f>
        <v/>
      </c>
      <c r="BO22" s="77">
        <f>BO21-BO19</f>
        <v/>
      </c>
      <c r="BP22" s="77">
        <f>BP21-BP19</f>
        <v/>
      </c>
      <c r="BQ22" s="77">
        <f>BQ21-BQ19</f>
        <v/>
      </c>
      <c r="BR22" s="77">
        <f>BR21-BR19</f>
        <v/>
      </c>
      <c r="BS22" s="77">
        <f>BS21-BS19</f>
        <v/>
      </c>
      <c r="BT22" s="77">
        <f>BT21-BT19</f>
        <v/>
      </c>
      <c r="BU22" s="77">
        <f>BU21-BU19</f>
        <v/>
      </c>
      <c r="BV22" s="77">
        <f>BV21-BV19</f>
        <v/>
      </c>
      <c r="BW22" s="77">
        <f>BW21-BW19</f>
        <v/>
      </c>
      <c r="BX22" s="77">
        <f>BX21-BX19</f>
        <v/>
      </c>
      <c r="BY22" s="77">
        <f>BY21-BY19</f>
        <v/>
      </c>
      <c r="BZ22" s="77">
        <f>BZ21-BZ19</f>
        <v/>
      </c>
      <c r="CA22" s="77">
        <f>CA21-CA19</f>
        <v/>
      </c>
      <c r="CB22" s="77">
        <f>CB21-CB19</f>
        <v/>
      </c>
      <c r="CC22" s="77">
        <f>CC21-CC19</f>
        <v/>
      </c>
      <c r="CD22" s="77">
        <f>CD21-CD19</f>
        <v/>
      </c>
    </row>
    <row r="23">
      <c r="A23" t="inlineStr">
        <is>
          <t>Closing Debt Balance ($)</t>
        </is>
      </c>
      <c r="C23" s="77">
        <f>C18-C22</f>
        <v/>
      </c>
      <c r="D23" s="77">
        <f>D18-D22</f>
        <v/>
      </c>
      <c r="E23" s="77">
        <f>E18-E22</f>
        <v/>
      </c>
      <c r="F23" s="77">
        <f>F18-F22</f>
        <v/>
      </c>
      <c r="G23" s="77">
        <f>G18-G22</f>
        <v/>
      </c>
      <c r="H23" s="77">
        <f>H18-H22</f>
        <v/>
      </c>
      <c r="I23" s="77">
        <f>I18-I22</f>
        <v/>
      </c>
      <c r="J23" s="77">
        <f>J18-J22</f>
        <v/>
      </c>
      <c r="K23" s="77">
        <f>K18-K22</f>
        <v/>
      </c>
      <c r="L23" s="77">
        <f>L18-L22</f>
        <v/>
      </c>
      <c r="M23" s="77">
        <f>M18-M22</f>
        <v/>
      </c>
      <c r="N23" s="77">
        <f>N18-N22</f>
        <v/>
      </c>
      <c r="O23" s="77">
        <f>O18-O22</f>
        <v/>
      </c>
      <c r="P23" s="77">
        <f>P18-P22</f>
        <v/>
      </c>
      <c r="Q23" s="77">
        <f>Q18-Q22</f>
        <v/>
      </c>
      <c r="R23" s="77">
        <f>R18-R22</f>
        <v/>
      </c>
      <c r="S23" s="77">
        <f>S18-S22</f>
        <v/>
      </c>
      <c r="T23" s="77">
        <f>T18-T22</f>
        <v/>
      </c>
      <c r="U23" s="77">
        <f>U18-U22</f>
        <v/>
      </c>
      <c r="V23" s="77">
        <f>V18-V22</f>
        <v/>
      </c>
      <c r="W23" s="77">
        <f>W18-W22</f>
        <v/>
      </c>
      <c r="X23" s="77">
        <f>X18-X22</f>
        <v/>
      </c>
      <c r="Y23" s="77">
        <f>Y18-Y22</f>
        <v/>
      </c>
      <c r="Z23" s="77">
        <f>Z18-Z22</f>
        <v/>
      </c>
      <c r="AA23" s="77">
        <f>AA18-AA22</f>
        <v/>
      </c>
      <c r="AB23" s="77">
        <f>AB18-AB22</f>
        <v/>
      </c>
      <c r="AC23" s="77">
        <f>AC18-AC22</f>
        <v/>
      </c>
      <c r="AD23" s="77">
        <f>AD18-AD22</f>
        <v/>
      </c>
      <c r="AE23" s="77">
        <f>AE18-AE22</f>
        <v/>
      </c>
      <c r="AF23" s="77">
        <f>AF18-AF22</f>
        <v/>
      </c>
      <c r="AG23" s="77">
        <f>AG18-AG22</f>
        <v/>
      </c>
      <c r="AH23" s="77">
        <f>AH18-AH22</f>
        <v/>
      </c>
      <c r="AI23" s="77">
        <f>AI18-AI22</f>
        <v/>
      </c>
      <c r="AJ23" s="77">
        <f>AJ18-AJ22</f>
        <v/>
      </c>
      <c r="AK23" s="77">
        <f>AK18-AK22</f>
        <v/>
      </c>
      <c r="AL23" s="77">
        <f>AL18-AL22</f>
        <v/>
      </c>
      <c r="AM23" s="77">
        <f>AM18-AM22</f>
        <v/>
      </c>
      <c r="AN23" s="77">
        <f>AN18-AN22</f>
        <v/>
      </c>
      <c r="AO23" s="77">
        <f>AO18-AO22</f>
        <v/>
      </c>
      <c r="AP23" s="77">
        <f>AP18-AP22</f>
        <v/>
      </c>
      <c r="AQ23" s="77">
        <f>AQ18-AQ22</f>
        <v/>
      </c>
      <c r="AR23" s="77">
        <f>AR18-AR22</f>
        <v/>
      </c>
      <c r="AS23" s="77">
        <f>AS18-AS22</f>
        <v/>
      </c>
      <c r="AT23" s="77">
        <f>AT18-AT22</f>
        <v/>
      </c>
      <c r="AU23" s="77">
        <f>AU18-AU22</f>
        <v/>
      </c>
      <c r="AV23" s="77">
        <f>AV18-AV22</f>
        <v/>
      </c>
      <c r="AW23" s="77">
        <f>AW18-AW22</f>
        <v/>
      </c>
      <c r="AX23" s="77">
        <f>AX18-AX22</f>
        <v/>
      </c>
      <c r="AY23" s="77">
        <f>AY18-AY22</f>
        <v/>
      </c>
      <c r="AZ23" s="77">
        <f>AZ18-AZ22</f>
        <v/>
      </c>
      <c r="BA23" s="77">
        <f>BA18-BA22</f>
        <v/>
      </c>
      <c r="BB23" s="77">
        <f>BB18-BB22</f>
        <v/>
      </c>
      <c r="BC23" s="77">
        <f>BC18-BC22</f>
        <v/>
      </c>
      <c r="BD23" s="77">
        <f>BD18-BD22</f>
        <v/>
      </c>
      <c r="BE23" s="77">
        <f>BE18-BE22</f>
        <v/>
      </c>
      <c r="BF23" s="77">
        <f>BF18-BF22</f>
        <v/>
      </c>
      <c r="BG23" s="77">
        <f>BG18-BG22</f>
        <v/>
      </c>
      <c r="BH23" s="77">
        <f>BH18-BH22</f>
        <v/>
      </c>
      <c r="BI23" s="77">
        <f>BI18-BI22</f>
        <v/>
      </c>
      <c r="BJ23" s="77">
        <f>BJ18-BJ22</f>
        <v/>
      </c>
      <c r="BK23" s="77">
        <f>BK18-BK22</f>
        <v/>
      </c>
      <c r="BL23" s="77">
        <f>BL18-BL22</f>
        <v/>
      </c>
      <c r="BM23" s="77">
        <f>BM18-BM22</f>
        <v/>
      </c>
      <c r="BN23" s="77">
        <f>BN18-BN22</f>
        <v/>
      </c>
      <c r="BO23" s="77">
        <f>BO18-BO22</f>
        <v/>
      </c>
      <c r="BP23" s="77">
        <f>BP18-BP22</f>
        <v/>
      </c>
      <c r="BQ23" s="77">
        <f>BQ18-BQ22</f>
        <v/>
      </c>
      <c r="BR23" s="77">
        <f>BR18-BR22</f>
        <v/>
      </c>
      <c r="BS23" s="77">
        <f>BS18-BS22</f>
        <v/>
      </c>
      <c r="BT23" s="77">
        <f>BT18-BT22</f>
        <v/>
      </c>
      <c r="BU23" s="77">
        <f>BU18-BU22</f>
        <v/>
      </c>
      <c r="BV23" s="77">
        <f>BV18-BV22</f>
        <v/>
      </c>
      <c r="BW23" s="77">
        <f>BW18-BW22</f>
        <v/>
      </c>
      <c r="BX23" s="77">
        <f>BX18-BX22</f>
        <v/>
      </c>
      <c r="BY23" s="77">
        <f>BY18-BY22</f>
        <v/>
      </c>
      <c r="BZ23" s="77">
        <f>BZ18-BZ22</f>
        <v/>
      </c>
      <c r="CA23" s="77">
        <f>CA18-CA22</f>
        <v/>
      </c>
      <c r="CB23" s="77">
        <f>CB18-CB22</f>
        <v/>
      </c>
      <c r="CC23" s="77">
        <f>CC18-CC22</f>
        <v/>
      </c>
      <c r="CD23" s="77">
        <f>CD18-CD22</f>
        <v/>
      </c>
    </row>
    <row r="24">
      <c r="A24" t="inlineStr">
        <is>
          <t>DSCR (achieved)</t>
        </is>
      </c>
      <c r="C24" s="75">
        <f>IF(C21=0,"",Calc_CFADS!C5/C21)</f>
        <v/>
      </c>
      <c r="D24" s="75">
        <f>IF(D21=0,"",Calc_CFADS!D5/D21)</f>
        <v/>
      </c>
      <c r="E24" s="75">
        <f>IF(E21=0,"",Calc_CFADS!E5/E21)</f>
        <v/>
      </c>
      <c r="F24" s="75">
        <f>IF(F21=0,"",Calc_CFADS!F5/F21)</f>
        <v/>
      </c>
      <c r="G24" s="75">
        <f>IF(G21=0,"",Calc_CFADS!G5/G21)</f>
        <v/>
      </c>
      <c r="H24" s="75">
        <f>IF(H21=0,"",Calc_CFADS!H5/H21)</f>
        <v/>
      </c>
      <c r="I24" s="75">
        <f>IF(I21=0,"",Calc_CFADS!I5/I21)</f>
        <v/>
      </c>
      <c r="J24" s="75">
        <f>IF(J21=0,"",Calc_CFADS!J5/J21)</f>
        <v/>
      </c>
      <c r="K24" s="75">
        <f>IF(K21=0,"",Calc_CFADS!K5/K21)</f>
        <v/>
      </c>
      <c r="L24" s="75">
        <f>IF(L21=0,"",Calc_CFADS!L5/L21)</f>
        <v/>
      </c>
      <c r="M24" s="75">
        <f>IF(M21=0,"",Calc_CFADS!M5/M21)</f>
        <v/>
      </c>
      <c r="N24" s="75">
        <f>IF(N21=0,"",Calc_CFADS!N5/N21)</f>
        <v/>
      </c>
      <c r="O24" s="75">
        <f>IF(O21=0,"",Calc_CFADS!O5/O21)</f>
        <v/>
      </c>
      <c r="P24" s="75">
        <f>IF(P21=0,"",Calc_CFADS!P5/P21)</f>
        <v/>
      </c>
      <c r="Q24" s="75">
        <f>IF(Q21=0,"",Calc_CFADS!Q5/Q21)</f>
        <v/>
      </c>
      <c r="R24" s="75">
        <f>IF(R21=0,"",Calc_CFADS!R5/R21)</f>
        <v/>
      </c>
      <c r="S24" s="75">
        <f>IF(S21=0,"",Calc_CFADS!S5/S21)</f>
        <v/>
      </c>
      <c r="T24" s="75">
        <f>IF(T21=0,"",Calc_CFADS!T5/T21)</f>
        <v/>
      </c>
      <c r="U24" s="75">
        <f>IF(U21=0,"",Calc_CFADS!U5/U21)</f>
        <v/>
      </c>
      <c r="V24" s="75">
        <f>IF(V21=0,"",Calc_CFADS!V5/V21)</f>
        <v/>
      </c>
      <c r="W24" s="75">
        <f>IF(W21=0,"",Calc_CFADS!W5/W21)</f>
        <v/>
      </c>
      <c r="X24" s="75">
        <f>IF(X21=0,"",Calc_CFADS!X5/X21)</f>
        <v/>
      </c>
      <c r="Y24" s="75">
        <f>IF(Y21=0,"",Calc_CFADS!Y5/Y21)</f>
        <v/>
      </c>
      <c r="Z24" s="75">
        <f>IF(Z21=0,"",Calc_CFADS!Z5/Z21)</f>
        <v/>
      </c>
      <c r="AA24" s="75">
        <f>IF(AA21=0,"",Calc_CFADS!AA5/AA21)</f>
        <v/>
      </c>
      <c r="AB24" s="75">
        <f>IF(AB21=0,"",Calc_CFADS!AB5/AB21)</f>
        <v/>
      </c>
      <c r="AC24" s="75">
        <f>IF(AC21=0,"",Calc_CFADS!AC5/AC21)</f>
        <v/>
      </c>
      <c r="AD24" s="75">
        <f>IF(AD21=0,"",Calc_CFADS!AD5/AD21)</f>
        <v/>
      </c>
      <c r="AE24" s="75">
        <f>IF(AE21=0,"",Calc_CFADS!AE5/AE21)</f>
        <v/>
      </c>
      <c r="AF24" s="75">
        <f>IF(AF21=0,"",Calc_CFADS!AF5/AF21)</f>
        <v/>
      </c>
      <c r="AG24" s="75">
        <f>IF(AG21=0,"",Calc_CFADS!AG5/AG21)</f>
        <v/>
      </c>
      <c r="AH24" s="75">
        <f>IF(AH21=0,"",Calc_CFADS!AH5/AH21)</f>
        <v/>
      </c>
      <c r="AI24" s="75">
        <f>IF(AI21=0,"",Calc_CFADS!AI5/AI21)</f>
        <v/>
      </c>
      <c r="AJ24" s="75">
        <f>IF(AJ21=0,"",Calc_CFADS!AJ5/AJ21)</f>
        <v/>
      </c>
      <c r="AK24" s="75">
        <f>IF(AK21=0,"",Calc_CFADS!AK5/AK21)</f>
        <v/>
      </c>
      <c r="AL24" s="75">
        <f>IF(AL21=0,"",Calc_CFADS!AL5/AL21)</f>
        <v/>
      </c>
      <c r="AM24" s="75">
        <f>IF(AM21=0,"",Calc_CFADS!AM5/AM21)</f>
        <v/>
      </c>
      <c r="AN24" s="75">
        <f>IF(AN21=0,"",Calc_CFADS!AN5/AN21)</f>
        <v/>
      </c>
      <c r="AO24" s="75">
        <f>IF(AO21=0,"",Calc_CFADS!AO5/AO21)</f>
        <v/>
      </c>
      <c r="AP24" s="75">
        <f>IF(AP21=0,"",Calc_CFADS!AP5/AP21)</f>
        <v/>
      </c>
      <c r="AQ24" s="75">
        <f>IF(AQ21=0,"",Calc_CFADS!AQ5/AQ21)</f>
        <v/>
      </c>
      <c r="AR24" s="75">
        <f>IF(AR21=0,"",Calc_CFADS!AR5/AR21)</f>
        <v/>
      </c>
      <c r="AS24" s="75">
        <f>IF(AS21=0,"",Calc_CFADS!AS5/AS21)</f>
        <v/>
      </c>
      <c r="AT24" s="75">
        <f>IF(AT21=0,"",Calc_CFADS!AT5/AT21)</f>
        <v/>
      </c>
      <c r="AU24" s="75">
        <f>IF(AU21=0,"",Calc_CFADS!AU5/AU21)</f>
        <v/>
      </c>
      <c r="AV24" s="75">
        <f>IF(AV21=0,"",Calc_CFADS!AV5/AV21)</f>
        <v/>
      </c>
      <c r="AW24" s="75">
        <f>IF(AW21=0,"",Calc_CFADS!AW5/AW21)</f>
        <v/>
      </c>
      <c r="AX24" s="75">
        <f>IF(AX21=0,"",Calc_CFADS!AX5/AX21)</f>
        <v/>
      </c>
      <c r="AY24" s="75">
        <f>IF(AY21=0,"",Calc_CFADS!AY5/AY21)</f>
        <v/>
      </c>
      <c r="AZ24" s="75">
        <f>IF(AZ21=0,"",Calc_CFADS!AZ5/AZ21)</f>
        <v/>
      </c>
      <c r="BA24" s="75">
        <f>IF(BA21=0,"",Calc_CFADS!BA5/BA21)</f>
        <v/>
      </c>
      <c r="BB24" s="75">
        <f>IF(BB21=0,"",Calc_CFADS!BB5/BB21)</f>
        <v/>
      </c>
      <c r="BC24" s="75">
        <f>IF(BC21=0,"",Calc_CFADS!BC5/BC21)</f>
        <v/>
      </c>
      <c r="BD24" s="75">
        <f>IF(BD21=0,"",Calc_CFADS!BD5/BD21)</f>
        <v/>
      </c>
      <c r="BE24" s="75">
        <f>IF(BE21=0,"",Calc_CFADS!BE5/BE21)</f>
        <v/>
      </c>
      <c r="BF24" s="75">
        <f>IF(BF21=0,"",Calc_CFADS!BF5/BF21)</f>
        <v/>
      </c>
      <c r="BG24" s="75">
        <f>IF(BG21=0,"",Calc_CFADS!BG5/BG21)</f>
        <v/>
      </c>
      <c r="BH24" s="75">
        <f>IF(BH21=0,"",Calc_CFADS!BH5/BH21)</f>
        <v/>
      </c>
      <c r="BI24" s="75">
        <f>IF(BI21=0,"",Calc_CFADS!BI5/BI21)</f>
        <v/>
      </c>
      <c r="BJ24" s="75">
        <f>IF(BJ21=0,"",Calc_CFADS!BJ5/BJ21)</f>
        <v/>
      </c>
      <c r="BK24" s="75">
        <f>IF(BK21=0,"",Calc_CFADS!BK5/BK21)</f>
        <v/>
      </c>
      <c r="BL24" s="75">
        <f>IF(BL21=0,"",Calc_CFADS!BL5/BL21)</f>
        <v/>
      </c>
      <c r="BM24" s="75">
        <f>IF(BM21=0,"",Calc_CFADS!BM5/BM21)</f>
        <v/>
      </c>
      <c r="BN24" s="75">
        <f>IF(BN21=0,"",Calc_CFADS!BN5/BN21)</f>
        <v/>
      </c>
      <c r="BO24" s="75">
        <f>IF(BO21=0,"",Calc_CFADS!BO5/BO21)</f>
        <v/>
      </c>
      <c r="BP24" s="75">
        <f>IF(BP21=0,"",Calc_CFADS!BP5/BP21)</f>
        <v/>
      </c>
      <c r="BQ24" s="75">
        <f>IF(BQ21=0,"",Calc_CFADS!BQ5/BQ21)</f>
        <v/>
      </c>
      <c r="BR24" s="75">
        <f>IF(BR21=0,"",Calc_CFADS!BR5/BR21)</f>
        <v/>
      </c>
      <c r="BS24" s="75">
        <f>IF(BS21=0,"",Calc_CFADS!BS5/BS21)</f>
        <v/>
      </c>
      <c r="BT24" s="75">
        <f>IF(BT21=0,"",Calc_CFADS!BT5/BT21)</f>
        <v/>
      </c>
      <c r="BU24" s="75">
        <f>IF(BU21=0,"",Calc_CFADS!BU5/BU21)</f>
        <v/>
      </c>
      <c r="BV24" s="75">
        <f>IF(BV21=0,"",Calc_CFADS!BV5/BV21)</f>
        <v/>
      </c>
      <c r="BW24" s="75">
        <f>IF(BW21=0,"",Calc_CFADS!BW5/BW21)</f>
        <v/>
      </c>
      <c r="BX24" s="75">
        <f>IF(BX21=0,"",Calc_CFADS!BX5/BX21)</f>
        <v/>
      </c>
      <c r="BY24" s="75">
        <f>IF(BY21=0,"",Calc_CFADS!BY5/BY21)</f>
        <v/>
      </c>
      <c r="BZ24" s="75">
        <f>IF(BZ21=0,"",Calc_CFADS!BZ5/BZ21)</f>
        <v/>
      </c>
      <c r="CA24" s="75">
        <f>IF(CA21=0,"",Calc_CFADS!CA5/CA21)</f>
        <v/>
      </c>
      <c r="CB24" s="75">
        <f>IF(CB21=0,"",Calc_CFADS!CB5/CB21)</f>
        <v/>
      </c>
      <c r="CC24" s="75">
        <f>IF(CC21=0,"",Calc_CFADS!CC5/CC21)</f>
        <v/>
      </c>
      <c r="CD24" s="75">
        <f>IF(CD21=0,"",Calc_CFADS!CD5/CD21)</f>
        <v/>
      </c>
    </row>
    <row r="26">
      <c r="A26" t="inlineStr">
        <is>
          <t>DSRA Target ($) = next 2 quarters' debt service</t>
        </is>
      </c>
      <c r="C26" s="77">
        <f>SUM(D21:E21)</f>
        <v/>
      </c>
      <c r="D26" s="77">
        <f>SUM(E21:F21)</f>
        <v/>
      </c>
      <c r="E26" s="77">
        <f>SUM(F21:G21)</f>
        <v/>
      </c>
      <c r="F26" s="77">
        <f>SUM(G21:H21)</f>
        <v/>
      </c>
      <c r="G26" s="77">
        <f>SUM(H21:I21)</f>
        <v/>
      </c>
      <c r="H26" s="77">
        <f>SUM(I21:J21)</f>
        <v/>
      </c>
      <c r="I26" s="77">
        <f>SUM(J21:K21)</f>
        <v/>
      </c>
      <c r="J26" s="77">
        <f>SUM(K21:L21)</f>
        <v/>
      </c>
      <c r="K26" s="77">
        <f>SUM(L21:M21)</f>
        <v/>
      </c>
      <c r="L26" s="77">
        <f>SUM(M21:N21)</f>
        <v/>
      </c>
      <c r="M26" s="77">
        <f>SUM(N21:O21)</f>
        <v/>
      </c>
      <c r="N26" s="77">
        <f>SUM(O21:P21)</f>
        <v/>
      </c>
      <c r="O26" s="77">
        <f>SUM(P21:Q21)</f>
        <v/>
      </c>
      <c r="P26" s="77">
        <f>SUM(Q21:R21)</f>
        <v/>
      </c>
      <c r="Q26" s="77">
        <f>SUM(R21:S21)</f>
        <v/>
      </c>
      <c r="R26" s="77">
        <f>SUM(S21:T21)</f>
        <v/>
      </c>
      <c r="S26" s="77">
        <f>SUM(T21:U21)</f>
        <v/>
      </c>
      <c r="T26" s="77">
        <f>SUM(U21:V21)</f>
        <v/>
      </c>
      <c r="U26" s="77">
        <f>SUM(V21:W21)</f>
        <v/>
      </c>
      <c r="V26" s="77">
        <f>SUM(W21:X21)</f>
        <v/>
      </c>
      <c r="W26" s="77">
        <f>SUM(X21:Y21)</f>
        <v/>
      </c>
      <c r="X26" s="77">
        <f>SUM(Y21:Z21)</f>
        <v/>
      </c>
      <c r="Y26" s="77">
        <f>SUM(Z21:AA21)</f>
        <v/>
      </c>
      <c r="Z26" s="77">
        <f>SUM(AA21:AB21)</f>
        <v/>
      </c>
      <c r="AA26" s="77">
        <f>SUM(AB21:AC21)</f>
        <v/>
      </c>
      <c r="AB26" s="77">
        <f>SUM(AC21:AD21)</f>
        <v/>
      </c>
      <c r="AC26" s="77">
        <f>SUM(AD21:AE21)</f>
        <v/>
      </c>
      <c r="AD26" s="77">
        <f>SUM(AE21:AF21)</f>
        <v/>
      </c>
      <c r="AE26" s="77">
        <f>SUM(AF21:AG21)</f>
        <v/>
      </c>
      <c r="AF26" s="77">
        <f>SUM(AG21:AH21)</f>
        <v/>
      </c>
      <c r="AG26" s="77">
        <f>SUM(AH21:AI21)</f>
        <v/>
      </c>
      <c r="AH26" s="77">
        <f>SUM(AI21:AJ21)</f>
        <v/>
      </c>
      <c r="AI26" s="77">
        <f>SUM(AJ21:AK21)</f>
        <v/>
      </c>
      <c r="AJ26" s="77">
        <f>SUM(AK21:AL21)</f>
        <v/>
      </c>
      <c r="AK26" s="77">
        <f>SUM(AL21:AM21)</f>
        <v/>
      </c>
      <c r="AL26" s="77">
        <f>SUM(AM21:AN21)</f>
        <v/>
      </c>
      <c r="AM26" s="77">
        <f>SUM(AN21:AO21)</f>
        <v/>
      </c>
      <c r="AN26" s="77">
        <f>SUM(AO21:AP21)</f>
        <v/>
      </c>
      <c r="AO26" s="77">
        <f>SUM(AP21:AQ21)</f>
        <v/>
      </c>
      <c r="AP26" s="77">
        <f>SUM(AQ21:AR21)</f>
        <v/>
      </c>
      <c r="AQ26" s="77">
        <f>SUM(AR21:AS21)</f>
        <v/>
      </c>
      <c r="AR26" s="77">
        <f>SUM(AS21:AT21)</f>
        <v/>
      </c>
      <c r="AS26" s="77">
        <f>SUM(AT21:AU21)</f>
        <v/>
      </c>
      <c r="AT26" s="77">
        <f>SUM(AU21:AV21)</f>
        <v/>
      </c>
      <c r="AU26" s="77">
        <f>SUM(AV21:AW21)</f>
        <v/>
      </c>
      <c r="AV26" s="77">
        <f>SUM(AW21:AX21)</f>
        <v/>
      </c>
      <c r="AW26" s="77">
        <f>SUM(AX21:AY21)</f>
        <v/>
      </c>
      <c r="AX26" s="77">
        <f>SUM(AY21:AZ21)</f>
        <v/>
      </c>
      <c r="AY26" s="77">
        <f>SUM(AZ21:BA21)</f>
        <v/>
      </c>
      <c r="AZ26" s="77">
        <f>SUM(BA21:BB21)</f>
        <v/>
      </c>
      <c r="BA26" s="77">
        <f>SUM(BB21:BC21)</f>
        <v/>
      </c>
      <c r="BB26" s="77">
        <f>SUM(BC21:BD21)</f>
        <v/>
      </c>
      <c r="BC26" s="77">
        <f>SUM(BD21:BE21)</f>
        <v/>
      </c>
      <c r="BD26" s="77">
        <f>SUM(BE21:BF21)</f>
        <v/>
      </c>
      <c r="BE26" s="77">
        <f>SUM(BF21:BG21)</f>
        <v/>
      </c>
      <c r="BF26" s="77">
        <f>SUM(BG21:BH21)</f>
        <v/>
      </c>
      <c r="BG26" s="77">
        <f>SUM(BH21:BI21)</f>
        <v/>
      </c>
      <c r="BH26" s="77">
        <f>SUM(BI21:BJ21)</f>
        <v/>
      </c>
      <c r="BI26" s="77">
        <f>SUM(BJ21:BK21)</f>
        <v/>
      </c>
      <c r="BJ26" s="77">
        <f>SUM(BK21:BL21)</f>
        <v/>
      </c>
      <c r="BK26" s="77">
        <f>SUM(BL21:BM21)</f>
        <v/>
      </c>
      <c r="BL26" s="77">
        <f>SUM(BM21:BN21)</f>
        <v/>
      </c>
      <c r="BM26" s="77">
        <f>SUM(BN21:BO21)</f>
        <v/>
      </c>
      <c r="BN26" s="77">
        <f>SUM(BO21:BP21)</f>
        <v/>
      </c>
      <c r="BO26" s="77">
        <f>SUM(BP21:BQ21)</f>
        <v/>
      </c>
      <c r="BP26" s="77">
        <f>SUM(BQ21:BR21)</f>
        <v/>
      </c>
      <c r="BQ26" s="77">
        <f>SUM(BR21:BS21)</f>
        <v/>
      </c>
      <c r="BR26" s="77">
        <f>SUM(BS21:BT21)</f>
        <v/>
      </c>
      <c r="BS26" s="77">
        <f>SUM(BT21:BU21)</f>
        <v/>
      </c>
      <c r="BT26" s="77">
        <f>SUM(BU21:BV21)</f>
        <v/>
      </c>
      <c r="BU26" s="77">
        <f>SUM(BV21:BW21)</f>
        <v/>
      </c>
      <c r="BV26" s="77">
        <f>SUM(BW21:BX21)</f>
        <v/>
      </c>
      <c r="BW26" s="77">
        <f>SUM(BX21:BY21)</f>
        <v/>
      </c>
      <c r="BX26" s="77">
        <f>SUM(BY21:BZ21)</f>
        <v/>
      </c>
      <c r="BY26" s="77">
        <f>SUM(BZ21:CA21)</f>
        <v/>
      </c>
      <c r="BZ26" s="77">
        <f>SUM(CA21:CB21)</f>
        <v/>
      </c>
      <c r="CA26" s="77">
        <f>SUM(CB21:CC21)</f>
        <v/>
      </c>
      <c r="CB26" s="77">
        <f>SUM(CC21:CD21)</f>
        <v/>
      </c>
      <c r="CC26" s="77">
        <f>SUM(CD21:CD21)</f>
        <v/>
      </c>
      <c r="CD26" s="77">
        <f>0</f>
        <v/>
      </c>
    </row>
    <row r="27">
      <c r="A27" t="inlineStr">
        <is>
          <t>DSRA Balance ($) — zero when LC-backed</t>
        </is>
      </c>
      <c r="C27" s="77">
        <f>IF($B$13="Cash Funded",C26,0)</f>
        <v/>
      </c>
      <c r="D27" s="77">
        <f>IF($B$13="Cash Funded",D26,0)</f>
        <v/>
      </c>
      <c r="E27" s="77">
        <f>IF($B$13="Cash Funded",E26,0)</f>
        <v/>
      </c>
      <c r="F27" s="77">
        <f>IF($B$13="Cash Funded",F26,0)</f>
        <v/>
      </c>
      <c r="G27" s="77">
        <f>IF($B$13="Cash Funded",G26,0)</f>
        <v/>
      </c>
      <c r="H27" s="77">
        <f>IF($B$13="Cash Funded",H26,0)</f>
        <v/>
      </c>
      <c r="I27" s="77">
        <f>IF($B$13="Cash Funded",I26,0)</f>
        <v/>
      </c>
      <c r="J27" s="77">
        <f>IF($B$13="Cash Funded",J26,0)</f>
        <v/>
      </c>
      <c r="K27" s="77">
        <f>IF($B$13="Cash Funded",K26,0)</f>
        <v/>
      </c>
      <c r="L27" s="77">
        <f>IF($B$13="Cash Funded",L26,0)</f>
        <v/>
      </c>
      <c r="M27" s="77">
        <f>IF($B$13="Cash Funded",M26,0)</f>
        <v/>
      </c>
      <c r="N27" s="77">
        <f>IF($B$13="Cash Funded",N26,0)</f>
        <v/>
      </c>
      <c r="O27" s="77">
        <f>IF($B$13="Cash Funded",O26,0)</f>
        <v/>
      </c>
      <c r="P27" s="77">
        <f>IF($B$13="Cash Funded",P26,0)</f>
        <v/>
      </c>
      <c r="Q27" s="77">
        <f>IF($B$13="Cash Funded",Q26,0)</f>
        <v/>
      </c>
      <c r="R27" s="77">
        <f>IF($B$13="Cash Funded",R26,0)</f>
        <v/>
      </c>
      <c r="S27" s="77">
        <f>IF($B$13="Cash Funded",S26,0)</f>
        <v/>
      </c>
      <c r="T27" s="77">
        <f>IF($B$13="Cash Funded",T26,0)</f>
        <v/>
      </c>
      <c r="U27" s="77">
        <f>IF($B$13="Cash Funded",U26,0)</f>
        <v/>
      </c>
      <c r="V27" s="77">
        <f>IF($B$13="Cash Funded",V26,0)</f>
        <v/>
      </c>
      <c r="W27" s="77">
        <f>IF($B$13="Cash Funded",W26,0)</f>
        <v/>
      </c>
      <c r="X27" s="77">
        <f>IF($B$13="Cash Funded",X26,0)</f>
        <v/>
      </c>
      <c r="Y27" s="77">
        <f>IF($B$13="Cash Funded",Y26,0)</f>
        <v/>
      </c>
      <c r="Z27" s="77">
        <f>IF($B$13="Cash Funded",Z26,0)</f>
        <v/>
      </c>
      <c r="AA27" s="77">
        <f>IF($B$13="Cash Funded",AA26,0)</f>
        <v/>
      </c>
      <c r="AB27" s="77">
        <f>IF($B$13="Cash Funded",AB26,0)</f>
        <v/>
      </c>
      <c r="AC27" s="77">
        <f>IF($B$13="Cash Funded",AC26,0)</f>
        <v/>
      </c>
      <c r="AD27" s="77">
        <f>IF($B$13="Cash Funded",AD26,0)</f>
        <v/>
      </c>
      <c r="AE27" s="77">
        <f>IF($B$13="Cash Funded",AE26,0)</f>
        <v/>
      </c>
      <c r="AF27" s="77">
        <f>IF($B$13="Cash Funded",AF26,0)</f>
        <v/>
      </c>
      <c r="AG27" s="77">
        <f>IF($B$13="Cash Funded",AG26,0)</f>
        <v/>
      </c>
      <c r="AH27" s="77">
        <f>IF($B$13="Cash Funded",AH26,0)</f>
        <v/>
      </c>
      <c r="AI27" s="77">
        <f>IF($B$13="Cash Funded",AI26,0)</f>
        <v/>
      </c>
      <c r="AJ27" s="77">
        <f>IF($B$13="Cash Funded",AJ26,0)</f>
        <v/>
      </c>
      <c r="AK27" s="77">
        <f>IF($B$13="Cash Funded",AK26,0)</f>
        <v/>
      </c>
      <c r="AL27" s="77">
        <f>IF($B$13="Cash Funded",AL26,0)</f>
        <v/>
      </c>
      <c r="AM27" s="77">
        <f>IF($B$13="Cash Funded",AM26,0)</f>
        <v/>
      </c>
      <c r="AN27" s="77">
        <f>IF($B$13="Cash Funded",AN26,0)</f>
        <v/>
      </c>
      <c r="AO27" s="77">
        <f>IF($B$13="Cash Funded",AO26,0)</f>
        <v/>
      </c>
      <c r="AP27" s="77">
        <f>IF($B$13="Cash Funded",AP26,0)</f>
        <v/>
      </c>
      <c r="AQ27" s="77">
        <f>IF($B$13="Cash Funded",AQ26,0)</f>
        <v/>
      </c>
      <c r="AR27" s="77">
        <f>IF($B$13="Cash Funded",AR26,0)</f>
        <v/>
      </c>
      <c r="AS27" s="77">
        <f>IF($B$13="Cash Funded",AS26,0)</f>
        <v/>
      </c>
      <c r="AT27" s="77">
        <f>IF($B$13="Cash Funded",AT26,0)</f>
        <v/>
      </c>
      <c r="AU27" s="77">
        <f>IF($B$13="Cash Funded",AU26,0)</f>
        <v/>
      </c>
      <c r="AV27" s="77">
        <f>IF($B$13="Cash Funded",AV26,0)</f>
        <v/>
      </c>
      <c r="AW27" s="77">
        <f>IF($B$13="Cash Funded",AW26,0)</f>
        <v/>
      </c>
      <c r="AX27" s="77">
        <f>IF($B$13="Cash Funded",AX26,0)</f>
        <v/>
      </c>
      <c r="AY27" s="77">
        <f>IF($B$13="Cash Funded",AY26,0)</f>
        <v/>
      </c>
      <c r="AZ27" s="77">
        <f>IF($B$13="Cash Funded",AZ26,0)</f>
        <v/>
      </c>
      <c r="BA27" s="77">
        <f>IF($B$13="Cash Funded",BA26,0)</f>
        <v/>
      </c>
      <c r="BB27" s="77">
        <f>IF($B$13="Cash Funded",BB26,0)</f>
        <v/>
      </c>
      <c r="BC27" s="77">
        <f>IF($B$13="Cash Funded",BC26,0)</f>
        <v/>
      </c>
      <c r="BD27" s="77">
        <f>IF($B$13="Cash Funded",BD26,0)</f>
        <v/>
      </c>
      <c r="BE27" s="77">
        <f>IF($B$13="Cash Funded",BE26,0)</f>
        <v/>
      </c>
      <c r="BF27" s="77">
        <f>IF($B$13="Cash Funded",BF26,0)</f>
        <v/>
      </c>
      <c r="BG27" s="77">
        <f>IF($B$13="Cash Funded",BG26,0)</f>
        <v/>
      </c>
      <c r="BH27" s="77">
        <f>IF($B$13="Cash Funded",BH26,0)</f>
        <v/>
      </c>
      <c r="BI27" s="77">
        <f>IF($B$13="Cash Funded",BI26,0)</f>
        <v/>
      </c>
      <c r="BJ27" s="77">
        <f>IF($B$13="Cash Funded",BJ26,0)</f>
        <v/>
      </c>
      <c r="BK27" s="77">
        <f>IF($B$13="Cash Funded",BK26,0)</f>
        <v/>
      </c>
      <c r="BL27" s="77">
        <f>IF($B$13="Cash Funded",BL26,0)</f>
        <v/>
      </c>
      <c r="BM27" s="77">
        <f>IF($B$13="Cash Funded",BM26,0)</f>
        <v/>
      </c>
      <c r="BN27" s="77">
        <f>IF($B$13="Cash Funded",BN26,0)</f>
        <v/>
      </c>
      <c r="BO27" s="77">
        <f>IF($B$13="Cash Funded",BO26,0)</f>
        <v/>
      </c>
      <c r="BP27" s="77">
        <f>IF($B$13="Cash Funded",BP26,0)</f>
        <v/>
      </c>
      <c r="BQ27" s="77">
        <f>IF($B$13="Cash Funded",BQ26,0)</f>
        <v/>
      </c>
      <c r="BR27" s="77">
        <f>IF($B$13="Cash Funded",BR26,0)</f>
        <v/>
      </c>
      <c r="BS27" s="77">
        <f>IF($B$13="Cash Funded",BS26,0)</f>
        <v/>
      </c>
      <c r="BT27" s="77">
        <f>IF($B$13="Cash Funded",BT26,0)</f>
        <v/>
      </c>
      <c r="BU27" s="77">
        <f>IF($B$13="Cash Funded",BU26,0)</f>
        <v/>
      </c>
      <c r="BV27" s="77">
        <f>IF($B$13="Cash Funded",BV26,0)</f>
        <v/>
      </c>
      <c r="BW27" s="77">
        <f>IF($B$13="Cash Funded",BW26,0)</f>
        <v/>
      </c>
      <c r="BX27" s="77">
        <f>IF($B$13="Cash Funded",BX26,0)</f>
        <v/>
      </c>
      <c r="BY27" s="77">
        <f>IF($B$13="Cash Funded",BY26,0)</f>
        <v/>
      </c>
      <c r="BZ27" s="77">
        <f>IF($B$13="Cash Funded",BZ26,0)</f>
        <v/>
      </c>
      <c r="CA27" s="77">
        <f>IF($B$13="Cash Funded",CA26,0)</f>
        <v/>
      </c>
      <c r="CB27" s="77">
        <f>IF($B$13="Cash Funded",CB26,0)</f>
        <v/>
      </c>
      <c r="CC27" s="77">
        <f>IF($B$13="Cash Funded",CC26,0)</f>
        <v/>
      </c>
      <c r="CD27" s="77">
        <f>IF($B$13="Cash Funded",CD26,0)</f>
        <v/>
      </c>
    </row>
    <row r="28">
      <c r="A28" t="inlineStr">
        <is>
          <t>DSRA Funding/(Release) ($) — cash trapped this quarter</t>
        </is>
      </c>
      <c r="C28" s="77">
        <f>C27-Calc_Financing_Cons!$B$12</f>
        <v/>
      </c>
      <c r="D28" s="77">
        <f>D27-C27</f>
        <v/>
      </c>
      <c r="E28" s="77">
        <f>E27-D27</f>
        <v/>
      </c>
      <c r="F28" s="77">
        <f>F27-E27</f>
        <v/>
      </c>
      <c r="G28" s="77">
        <f>G27-F27</f>
        <v/>
      </c>
      <c r="H28" s="77">
        <f>H27-G27</f>
        <v/>
      </c>
      <c r="I28" s="77">
        <f>I27-H27</f>
        <v/>
      </c>
      <c r="J28" s="77">
        <f>J27-I27</f>
        <v/>
      </c>
      <c r="K28" s="77">
        <f>K27-J27</f>
        <v/>
      </c>
      <c r="L28" s="77">
        <f>L27-K27</f>
        <v/>
      </c>
      <c r="M28" s="77">
        <f>M27-L27</f>
        <v/>
      </c>
      <c r="N28" s="77">
        <f>N27-M27</f>
        <v/>
      </c>
      <c r="O28" s="77">
        <f>O27-N27</f>
        <v/>
      </c>
      <c r="P28" s="77">
        <f>P27-O27</f>
        <v/>
      </c>
      <c r="Q28" s="77">
        <f>Q27-P27</f>
        <v/>
      </c>
      <c r="R28" s="77">
        <f>R27-Q27</f>
        <v/>
      </c>
      <c r="S28" s="77">
        <f>S27-R27</f>
        <v/>
      </c>
      <c r="T28" s="77">
        <f>T27-S27</f>
        <v/>
      </c>
      <c r="U28" s="77">
        <f>U27-T27</f>
        <v/>
      </c>
      <c r="V28" s="77">
        <f>V27-U27</f>
        <v/>
      </c>
      <c r="W28" s="77">
        <f>W27-V27</f>
        <v/>
      </c>
      <c r="X28" s="77">
        <f>X27-W27</f>
        <v/>
      </c>
      <c r="Y28" s="77">
        <f>Y27-X27</f>
        <v/>
      </c>
      <c r="Z28" s="77">
        <f>Z27-Y27</f>
        <v/>
      </c>
      <c r="AA28" s="77">
        <f>AA27-Z27</f>
        <v/>
      </c>
      <c r="AB28" s="77">
        <f>AB27-AA27</f>
        <v/>
      </c>
      <c r="AC28" s="77">
        <f>AC27-AB27</f>
        <v/>
      </c>
      <c r="AD28" s="77">
        <f>AD27-AC27</f>
        <v/>
      </c>
      <c r="AE28" s="77">
        <f>AE27-AD27</f>
        <v/>
      </c>
      <c r="AF28" s="77">
        <f>AF27-AE27</f>
        <v/>
      </c>
      <c r="AG28" s="77">
        <f>AG27-AF27</f>
        <v/>
      </c>
      <c r="AH28" s="77">
        <f>AH27-AG27</f>
        <v/>
      </c>
      <c r="AI28" s="77">
        <f>AI27-AH27</f>
        <v/>
      </c>
      <c r="AJ28" s="77">
        <f>AJ27-AI27</f>
        <v/>
      </c>
      <c r="AK28" s="77">
        <f>AK27-AJ27</f>
        <v/>
      </c>
      <c r="AL28" s="77">
        <f>AL27-AK27</f>
        <v/>
      </c>
      <c r="AM28" s="77">
        <f>AM27-AL27</f>
        <v/>
      </c>
      <c r="AN28" s="77">
        <f>AN27-AM27</f>
        <v/>
      </c>
      <c r="AO28" s="77">
        <f>AO27-AN27</f>
        <v/>
      </c>
      <c r="AP28" s="77">
        <f>AP27-AO27</f>
        <v/>
      </c>
      <c r="AQ28" s="77">
        <f>AQ27-AP27</f>
        <v/>
      </c>
      <c r="AR28" s="77">
        <f>AR27-AQ27</f>
        <v/>
      </c>
      <c r="AS28" s="77">
        <f>AS27-AR27</f>
        <v/>
      </c>
      <c r="AT28" s="77">
        <f>AT27-AS27</f>
        <v/>
      </c>
      <c r="AU28" s="77">
        <f>AU27-AT27</f>
        <v/>
      </c>
      <c r="AV28" s="77">
        <f>AV27-AU27</f>
        <v/>
      </c>
      <c r="AW28" s="77">
        <f>AW27-AV27</f>
        <v/>
      </c>
      <c r="AX28" s="77">
        <f>AX27-AW27</f>
        <v/>
      </c>
      <c r="AY28" s="77">
        <f>AY27-AX27</f>
        <v/>
      </c>
      <c r="AZ28" s="77">
        <f>AZ27-AY27</f>
        <v/>
      </c>
      <c r="BA28" s="77">
        <f>BA27-AZ27</f>
        <v/>
      </c>
      <c r="BB28" s="77">
        <f>BB27-BA27</f>
        <v/>
      </c>
      <c r="BC28" s="77">
        <f>BC27-BB27</f>
        <v/>
      </c>
      <c r="BD28" s="77">
        <f>BD27-BC27</f>
        <v/>
      </c>
      <c r="BE28" s="77">
        <f>BE27-BD27</f>
        <v/>
      </c>
      <c r="BF28" s="77">
        <f>BF27-BE27</f>
        <v/>
      </c>
      <c r="BG28" s="77">
        <f>BG27-BF27</f>
        <v/>
      </c>
      <c r="BH28" s="77">
        <f>BH27-BG27</f>
        <v/>
      </c>
      <c r="BI28" s="77">
        <f>BI27-BH27</f>
        <v/>
      </c>
      <c r="BJ28" s="77">
        <f>BJ27-BI27</f>
        <v/>
      </c>
      <c r="BK28" s="77">
        <f>BK27-BJ27</f>
        <v/>
      </c>
      <c r="BL28" s="77">
        <f>BL27-BK27</f>
        <v/>
      </c>
      <c r="BM28" s="77">
        <f>BM27-BL27</f>
        <v/>
      </c>
      <c r="BN28" s="77">
        <f>BN27-BM27</f>
        <v/>
      </c>
      <c r="BO28" s="77">
        <f>BO27-BN27</f>
        <v/>
      </c>
      <c r="BP28" s="77">
        <f>BP27-BO27</f>
        <v/>
      </c>
      <c r="BQ28" s="77">
        <f>BQ27-BP27</f>
        <v/>
      </c>
      <c r="BR28" s="77">
        <f>BR27-BQ27</f>
        <v/>
      </c>
      <c r="BS28" s="77">
        <f>BS27-BR27</f>
        <v/>
      </c>
      <c r="BT28" s="77">
        <f>BT27-BS27</f>
        <v/>
      </c>
      <c r="BU28" s="77">
        <f>BU27-BT27</f>
        <v/>
      </c>
      <c r="BV28" s="77">
        <f>BV27-BU27</f>
        <v/>
      </c>
      <c r="BW28" s="77">
        <f>BW27-BV27</f>
        <v/>
      </c>
      <c r="BX28" s="77">
        <f>BX27-BW27</f>
        <v/>
      </c>
      <c r="BY28" s="77">
        <f>BY27-BX27</f>
        <v/>
      </c>
      <c r="BZ28" s="77">
        <f>BZ27-BY27</f>
        <v/>
      </c>
      <c r="CA28" s="77">
        <f>CA27-BZ27</f>
        <v/>
      </c>
      <c r="CB28" s="77">
        <f>CB27-CA27</f>
        <v/>
      </c>
      <c r="CC28" s="77">
        <f>CC27-CB27</f>
        <v/>
      </c>
      <c r="CD28" s="77">
        <f>CD27-CC27</f>
        <v/>
      </c>
    </row>
    <row r="29">
      <c r="A29" t="inlineStr">
        <is>
          <t>DSRA LC Fee ($) — charged only when LC-backed</t>
        </is>
      </c>
      <c r="C29" s="77">
        <f>IF($B$13="Cash Funded",0,C26*$B$12/4)</f>
        <v/>
      </c>
      <c r="D29" s="77">
        <f>IF($B$13="Cash Funded",0,D26*$B$12/4)</f>
        <v/>
      </c>
      <c r="E29" s="77">
        <f>IF($B$13="Cash Funded",0,E26*$B$12/4)</f>
        <v/>
      </c>
      <c r="F29" s="77">
        <f>IF($B$13="Cash Funded",0,F26*$B$12/4)</f>
        <v/>
      </c>
      <c r="G29" s="77">
        <f>IF($B$13="Cash Funded",0,G26*$B$12/4)</f>
        <v/>
      </c>
      <c r="H29" s="77">
        <f>IF($B$13="Cash Funded",0,H26*$B$12/4)</f>
        <v/>
      </c>
      <c r="I29" s="77">
        <f>IF($B$13="Cash Funded",0,I26*$B$12/4)</f>
        <v/>
      </c>
      <c r="J29" s="77">
        <f>IF($B$13="Cash Funded",0,J26*$B$12/4)</f>
        <v/>
      </c>
      <c r="K29" s="77">
        <f>IF($B$13="Cash Funded",0,K26*$B$12/4)</f>
        <v/>
      </c>
      <c r="L29" s="77">
        <f>IF($B$13="Cash Funded",0,L26*$B$12/4)</f>
        <v/>
      </c>
      <c r="M29" s="77">
        <f>IF($B$13="Cash Funded",0,M26*$B$12/4)</f>
        <v/>
      </c>
      <c r="N29" s="77">
        <f>IF($B$13="Cash Funded",0,N26*$B$12/4)</f>
        <v/>
      </c>
      <c r="O29" s="77">
        <f>IF($B$13="Cash Funded",0,O26*$B$12/4)</f>
        <v/>
      </c>
      <c r="P29" s="77">
        <f>IF($B$13="Cash Funded",0,P26*$B$12/4)</f>
        <v/>
      </c>
      <c r="Q29" s="77">
        <f>IF($B$13="Cash Funded",0,Q26*$B$12/4)</f>
        <v/>
      </c>
      <c r="R29" s="77">
        <f>IF($B$13="Cash Funded",0,R26*$B$12/4)</f>
        <v/>
      </c>
      <c r="S29" s="77">
        <f>IF($B$13="Cash Funded",0,S26*$B$12/4)</f>
        <v/>
      </c>
      <c r="T29" s="77">
        <f>IF($B$13="Cash Funded",0,T26*$B$12/4)</f>
        <v/>
      </c>
      <c r="U29" s="77">
        <f>IF($B$13="Cash Funded",0,U26*$B$12/4)</f>
        <v/>
      </c>
      <c r="V29" s="77">
        <f>IF($B$13="Cash Funded",0,V26*$B$12/4)</f>
        <v/>
      </c>
      <c r="W29" s="77">
        <f>IF($B$13="Cash Funded",0,W26*$B$12/4)</f>
        <v/>
      </c>
      <c r="X29" s="77">
        <f>IF($B$13="Cash Funded",0,X26*$B$12/4)</f>
        <v/>
      </c>
      <c r="Y29" s="77">
        <f>IF($B$13="Cash Funded",0,Y26*$B$12/4)</f>
        <v/>
      </c>
      <c r="Z29" s="77">
        <f>IF($B$13="Cash Funded",0,Z26*$B$12/4)</f>
        <v/>
      </c>
      <c r="AA29" s="77">
        <f>IF($B$13="Cash Funded",0,AA26*$B$12/4)</f>
        <v/>
      </c>
      <c r="AB29" s="77">
        <f>IF($B$13="Cash Funded",0,AB26*$B$12/4)</f>
        <v/>
      </c>
      <c r="AC29" s="77">
        <f>IF($B$13="Cash Funded",0,AC26*$B$12/4)</f>
        <v/>
      </c>
      <c r="AD29" s="77">
        <f>IF($B$13="Cash Funded",0,AD26*$B$12/4)</f>
        <v/>
      </c>
      <c r="AE29" s="77">
        <f>IF($B$13="Cash Funded",0,AE26*$B$12/4)</f>
        <v/>
      </c>
      <c r="AF29" s="77">
        <f>IF($B$13="Cash Funded",0,AF26*$B$12/4)</f>
        <v/>
      </c>
      <c r="AG29" s="77">
        <f>IF($B$13="Cash Funded",0,AG26*$B$12/4)</f>
        <v/>
      </c>
      <c r="AH29" s="77">
        <f>IF($B$13="Cash Funded",0,AH26*$B$12/4)</f>
        <v/>
      </c>
      <c r="AI29" s="77">
        <f>IF($B$13="Cash Funded",0,AI26*$B$12/4)</f>
        <v/>
      </c>
      <c r="AJ29" s="77">
        <f>IF($B$13="Cash Funded",0,AJ26*$B$12/4)</f>
        <v/>
      </c>
      <c r="AK29" s="77">
        <f>IF($B$13="Cash Funded",0,AK26*$B$12/4)</f>
        <v/>
      </c>
      <c r="AL29" s="77">
        <f>IF($B$13="Cash Funded",0,AL26*$B$12/4)</f>
        <v/>
      </c>
      <c r="AM29" s="77">
        <f>IF($B$13="Cash Funded",0,AM26*$B$12/4)</f>
        <v/>
      </c>
      <c r="AN29" s="77">
        <f>IF($B$13="Cash Funded",0,AN26*$B$12/4)</f>
        <v/>
      </c>
      <c r="AO29" s="77">
        <f>IF($B$13="Cash Funded",0,AO26*$B$12/4)</f>
        <v/>
      </c>
      <c r="AP29" s="77">
        <f>IF($B$13="Cash Funded",0,AP26*$B$12/4)</f>
        <v/>
      </c>
      <c r="AQ29" s="77">
        <f>IF($B$13="Cash Funded",0,AQ26*$B$12/4)</f>
        <v/>
      </c>
      <c r="AR29" s="77">
        <f>IF($B$13="Cash Funded",0,AR26*$B$12/4)</f>
        <v/>
      </c>
      <c r="AS29" s="77">
        <f>IF($B$13="Cash Funded",0,AS26*$B$12/4)</f>
        <v/>
      </c>
      <c r="AT29" s="77">
        <f>IF($B$13="Cash Funded",0,AT26*$B$12/4)</f>
        <v/>
      </c>
      <c r="AU29" s="77">
        <f>IF($B$13="Cash Funded",0,AU26*$B$12/4)</f>
        <v/>
      </c>
      <c r="AV29" s="77">
        <f>IF($B$13="Cash Funded",0,AV26*$B$12/4)</f>
        <v/>
      </c>
      <c r="AW29" s="77">
        <f>IF($B$13="Cash Funded",0,AW26*$B$12/4)</f>
        <v/>
      </c>
      <c r="AX29" s="77">
        <f>IF($B$13="Cash Funded",0,AX26*$B$12/4)</f>
        <v/>
      </c>
      <c r="AY29" s="77">
        <f>IF($B$13="Cash Funded",0,AY26*$B$12/4)</f>
        <v/>
      </c>
      <c r="AZ29" s="77">
        <f>IF($B$13="Cash Funded",0,AZ26*$B$12/4)</f>
        <v/>
      </c>
      <c r="BA29" s="77">
        <f>IF($B$13="Cash Funded",0,BA26*$B$12/4)</f>
        <v/>
      </c>
      <c r="BB29" s="77">
        <f>IF($B$13="Cash Funded",0,BB26*$B$12/4)</f>
        <v/>
      </c>
      <c r="BC29" s="77">
        <f>IF($B$13="Cash Funded",0,BC26*$B$12/4)</f>
        <v/>
      </c>
      <c r="BD29" s="77">
        <f>IF($B$13="Cash Funded",0,BD26*$B$12/4)</f>
        <v/>
      </c>
      <c r="BE29" s="77">
        <f>IF($B$13="Cash Funded",0,BE26*$B$12/4)</f>
        <v/>
      </c>
      <c r="BF29" s="77">
        <f>IF($B$13="Cash Funded",0,BF26*$B$12/4)</f>
        <v/>
      </c>
      <c r="BG29" s="77">
        <f>IF($B$13="Cash Funded",0,BG26*$B$12/4)</f>
        <v/>
      </c>
      <c r="BH29" s="77">
        <f>IF($B$13="Cash Funded",0,BH26*$B$12/4)</f>
        <v/>
      </c>
      <c r="BI29" s="77">
        <f>IF($B$13="Cash Funded",0,BI26*$B$12/4)</f>
        <v/>
      </c>
      <c r="BJ29" s="77">
        <f>IF($B$13="Cash Funded",0,BJ26*$B$12/4)</f>
        <v/>
      </c>
      <c r="BK29" s="77">
        <f>IF($B$13="Cash Funded",0,BK26*$B$12/4)</f>
        <v/>
      </c>
      <c r="BL29" s="77">
        <f>IF($B$13="Cash Funded",0,BL26*$B$12/4)</f>
        <v/>
      </c>
      <c r="BM29" s="77">
        <f>IF($B$13="Cash Funded",0,BM26*$B$12/4)</f>
        <v/>
      </c>
      <c r="BN29" s="77">
        <f>IF($B$13="Cash Funded",0,BN26*$B$12/4)</f>
        <v/>
      </c>
      <c r="BO29" s="77">
        <f>IF($B$13="Cash Funded",0,BO26*$B$12/4)</f>
        <v/>
      </c>
      <c r="BP29" s="77">
        <f>IF($B$13="Cash Funded",0,BP26*$B$12/4)</f>
        <v/>
      </c>
      <c r="BQ29" s="77">
        <f>IF($B$13="Cash Funded",0,BQ26*$B$12/4)</f>
        <v/>
      </c>
      <c r="BR29" s="77">
        <f>IF($B$13="Cash Funded",0,BR26*$B$12/4)</f>
        <v/>
      </c>
      <c r="BS29" s="77">
        <f>IF($B$13="Cash Funded",0,BS26*$B$12/4)</f>
        <v/>
      </c>
      <c r="BT29" s="77">
        <f>IF($B$13="Cash Funded",0,BT26*$B$12/4)</f>
        <v/>
      </c>
      <c r="BU29" s="77">
        <f>IF($B$13="Cash Funded",0,BU26*$B$12/4)</f>
        <v/>
      </c>
      <c r="BV29" s="77">
        <f>IF($B$13="Cash Funded",0,BV26*$B$12/4)</f>
        <v/>
      </c>
      <c r="BW29" s="77">
        <f>IF($B$13="Cash Funded",0,BW26*$B$12/4)</f>
        <v/>
      </c>
      <c r="BX29" s="77">
        <f>IF($B$13="Cash Funded",0,BX26*$B$12/4)</f>
        <v/>
      </c>
      <c r="BY29" s="77">
        <f>IF($B$13="Cash Funded",0,BY26*$B$12/4)</f>
        <v/>
      </c>
      <c r="BZ29" s="77">
        <f>IF($B$13="Cash Funded",0,BZ26*$B$12/4)</f>
        <v/>
      </c>
      <c r="CA29" s="77">
        <f>IF($B$13="Cash Funded",0,CA26*$B$12/4)</f>
        <v/>
      </c>
      <c r="CB29" s="77">
        <f>IF($B$13="Cash Funded",0,CB26*$B$12/4)</f>
        <v/>
      </c>
      <c r="CC29" s="77">
        <f>IF($B$13="Cash Funded",0,CC26*$B$12/4)</f>
        <v/>
      </c>
      <c r="CD29" s="77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7">
        <f>C28+C29</f>
        <v/>
      </c>
      <c r="D30" s="77">
        <f>D28+D29</f>
        <v/>
      </c>
      <c r="E30" s="77">
        <f>E28+E29</f>
        <v/>
      </c>
      <c r="F30" s="77">
        <f>F28+F29</f>
        <v/>
      </c>
      <c r="G30" s="77">
        <f>G28+G29</f>
        <v/>
      </c>
      <c r="H30" s="77">
        <f>H28+H29</f>
        <v/>
      </c>
      <c r="I30" s="77">
        <f>I28+I29</f>
        <v/>
      </c>
      <c r="J30" s="77">
        <f>J28+J29</f>
        <v/>
      </c>
      <c r="K30" s="77">
        <f>K28+K29</f>
        <v/>
      </c>
      <c r="L30" s="77">
        <f>L28+L29</f>
        <v/>
      </c>
      <c r="M30" s="77">
        <f>M28+M29</f>
        <v/>
      </c>
      <c r="N30" s="77">
        <f>N28+N29</f>
        <v/>
      </c>
      <c r="O30" s="77">
        <f>O28+O29</f>
        <v/>
      </c>
      <c r="P30" s="77">
        <f>P28+P29</f>
        <v/>
      </c>
      <c r="Q30" s="77">
        <f>Q28+Q29</f>
        <v/>
      </c>
      <c r="R30" s="77">
        <f>R28+R29</f>
        <v/>
      </c>
      <c r="S30" s="77">
        <f>S28+S29</f>
        <v/>
      </c>
      <c r="T30" s="77">
        <f>T28+T29</f>
        <v/>
      </c>
      <c r="U30" s="77">
        <f>U28+U29</f>
        <v/>
      </c>
      <c r="V30" s="77">
        <f>V28+V29</f>
        <v/>
      </c>
      <c r="W30" s="77">
        <f>W28+W29</f>
        <v/>
      </c>
      <c r="X30" s="77">
        <f>X28+X29</f>
        <v/>
      </c>
      <c r="Y30" s="77">
        <f>Y28+Y29</f>
        <v/>
      </c>
      <c r="Z30" s="77">
        <f>Z28+Z29</f>
        <v/>
      </c>
      <c r="AA30" s="77">
        <f>AA28+AA29</f>
        <v/>
      </c>
      <c r="AB30" s="77">
        <f>AB28+AB29</f>
        <v/>
      </c>
      <c r="AC30" s="77">
        <f>AC28+AC29</f>
        <v/>
      </c>
      <c r="AD30" s="77">
        <f>AD28+AD29</f>
        <v/>
      </c>
      <c r="AE30" s="77">
        <f>AE28+AE29</f>
        <v/>
      </c>
      <c r="AF30" s="77">
        <f>AF28+AF29</f>
        <v/>
      </c>
      <c r="AG30" s="77">
        <f>AG28+AG29</f>
        <v/>
      </c>
      <c r="AH30" s="77">
        <f>AH28+AH29</f>
        <v/>
      </c>
      <c r="AI30" s="77">
        <f>AI28+AI29</f>
        <v/>
      </c>
      <c r="AJ30" s="77">
        <f>AJ28+AJ29</f>
        <v/>
      </c>
      <c r="AK30" s="77">
        <f>AK28+AK29</f>
        <v/>
      </c>
      <c r="AL30" s="77">
        <f>AL28+AL29</f>
        <v/>
      </c>
      <c r="AM30" s="77">
        <f>AM28+AM29</f>
        <v/>
      </c>
      <c r="AN30" s="77">
        <f>AN28+AN29</f>
        <v/>
      </c>
      <c r="AO30" s="77">
        <f>AO28+AO29</f>
        <v/>
      </c>
      <c r="AP30" s="77">
        <f>AP28+AP29</f>
        <v/>
      </c>
      <c r="AQ30" s="77">
        <f>AQ28+AQ29</f>
        <v/>
      </c>
      <c r="AR30" s="77">
        <f>AR28+AR29</f>
        <v/>
      </c>
      <c r="AS30" s="77">
        <f>AS28+AS29</f>
        <v/>
      </c>
      <c r="AT30" s="77">
        <f>AT28+AT29</f>
        <v/>
      </c>
      <c r="AU30" s="77">
        <f>AU28+AU29</f>
        <v/>
      </c>
      <c r="AV30" s="77">
        <f>AV28+AV29</f>
        <v/>
      </c>
      <c r="AW30" s="77">
        <f>AW28+AW29</f>
        <v/>
      </c>
      <c r="AX30" s="77">
        <f>AX28+AX29</f>
        <v/>
      </c>
      <c r="AY30" s="77">
        <f>AY28+AY29</f>
        <v/>
      </c>
      <c r="AZ30" s="77">
        <f>AZ28+AZ29</f>
        <v/>
      </c>
      <c r="BA30" s="77">
        <f>BA28+BA29</f>
        <v/>
      </c>
      <c r="BB30" s="77">
        <f>BB28+BB29</f>
        <v/>
      </c>
      <c r="BC30" s="77">
        <f>BC28+BC29</f>
        <v/>
      </c>
      <c r="BD30" s="77">
        <f>BD28+BD29</f>
        <v/>
      </c>
      <c r="BE30" s="77">
        <f>BE28+BE29</f>
        <v/>
      </c>
      <c r="BF30" s="77">
        <f>BF28+BF29</f>
        <v/>
      </c>
      <c r="BG30" s="77">
        <f>BG28+BG29</f>
        <v/>
      </c>
      <c r="BH30" s="77">
        <f>BH28+BH29</f>
        <v/>
      </c>
      <c r="BI30" s="77">
        <f>BI28+BI29</f>
        <v/>
      </c>
      <c r="BJ30" s="77">
        <f>BJ28+BJ29</f>
        <v/>
      </c>
      <c r="BK30" s="77">
        <f>BK28+BK29</f>
        <v/>
      </c>
      <c r="BL30" s="77">
        <f>BL28+BL29</f>
        <v/>
      </c>
      <c r="BM30" s="77">
        <f>BM28+BM29</f>
        <v/>
      </c>
      <c r="BN30" s="77">
        <f>BN28+BN29</f>
        <v/>
      </c>
      <c r="BO30" s="77">
        <f>BO28+BO29</f>
        <v/>
      </c>
      <c r="BP30" s="77">
        <f>BP28+BP29</f>
        <v/>
      </c>
      <c r="BQ30" s="77">
        <f>BQ28+BQ29</f>
        <v/>
      </c>
      <c r="BR30" s="77">
        <f>BR28+BR29</f>
        <v/>
      </c>
      <c r="BS30" s="77">
        <f>BS28+BS29</f>
        <v/>
      </c>
      <c r="BT30" s="77">
        <f>BT28+BT29</f>
        <v/>
      </c>
      <c r="BU30" s="77">
        <f>BU28+BU29</f>
        <v/>
      </c>
      <c r="BV30" s="77">
        <f>BV28+BV29</f>
        <v/>
      </c>
      <c r="BW30" s="77">
        <f>BW28+BW29</f>
        <v/>
      </c>
      <c r="BX30" s="77">
        <f>BX28+BX29</f>
        <v/>
      </c>
      <c r="BY30" s="77">
        <f>BY28+BY29</f>
        <v/>
      </c>
      <c r="BZ30" s="77">
        <f>BZ28+BZ29</f>
        <v/>
      </c>
      <c r="CA30" s="77">
        <f>CA28+CA29</f>
        <v/>
      </c>
      <c r="CB30" s="77">
        <f>CB28+CB29</f>
        <v/>
      </c>
      <c r="CC30" s="77">
        <f>CC28+CC29</f>
        <v/>
      </c>
      <c r="CD30" s="77">
        <f>CD28+CD29</f>
        <v/>
      </c>
    </row>
    <row r="32">
      <c r="A32" t="inlineStr">
        <is>
          <t>LLCR = (PV of CFADS to loan maturity + DSRA) / debt outstanding</t>
        </is>
      </c>
      <c r="C32" s="81">
        <f>IF(C23&lt;=1,0,(NPV($B$4/4,Calc_CFADS!D5:Calc_CFADS!BJ5)+C27)/C23)</f>
        <v/>
      </c>
      <c r="D32" s="81">
        <f>IF(D23&lt;=1,0,(NPV($B$4/4,Calc_CFADS!E5:Calc_CFADS!BJ5)+D27)/D23)</f>
        <v/>
      </c>
      <c r="E32" s="81">
        <f>IF(E23&lt;=1,0,(NPV($B$4/4,Calc_CFADS!F5:Calc_CFADS!BJ5)+E27)/E23)</f>
        <v/>
      </c>
      <c r="F32" s="81">
        <f>IF(F23&lt;=1,0,(NPV($B$4/4,Calc_CFADS!G5:Calc_CFADS!BJ5)+F27)/F23)</f>
        <v/>
      </c>
      <c r="G32" s="81">
        <f>IF(G23&lt;=1,0,(NPV($B$4/4,Calc_CFADS!H5:Calc_CFADS!BJ5)+G27)/G23)</f>
        <v/>
      </c>
      <c r="H32" s="81">
        <f>IF(H23&lt;=1,0,(NPV($B$4/4,Calc_CFADS!I5:Calc_CFADS!BJ5)+H27)/H23)</f>
        <v/>
      </c>
      <c r="I32" s="81">
        <f>IF(I23&lt;=1,0,(NPV($B$4/4,Calc_CFADS!J5:Calc_CFADS!BJ5)+I27)/I23)</f>
        <v/>
      </c>
      <c r="J32" s="81">
        <f>IF(J23&lt;=1,0,(NPV($B$4/4,Calc_CFADS!K5:Calc_CFADS!BJ5)+J27)/J23)</f>
        <v/>
      </c>
      <c r="K32" s="81">
        <f>IF(K23&lt;=1,0,(NPV($B$4/4,Calc_CFADS!L5:Calc_CFADS!BJ5)+K27)/K23)</f>
        <v/>
      </c>
      <c r="L32" s="81">
        <f>IF(L23&lt;=1,0,(NPV($B$4/4,Calc_CFADS!M5:Calc_CFADS!BJ5)+L27)/L23)</f>
        <v/>
      </c>
      <c r="M32" s="81">
        <f>IF(M23&lt;=1,0,(NPV($B$4/4,Calc_CFADS!N5:Calc_CFADS!BJ5)+M27)/M23)</f>
        <v/>
      </c>
      <c r="N32" s="81">
        <f>IF(N23&lt;=1,0,(NPV($B$4/4,Calc_CFADS!O5:Calc_CFADS!BJ5)+N27)/N23)</f>
        <v/>
      </c>
      <c r="O32" s="81">
        <f>IF(O23&lt;=1,0,(NPV($B$4/4,Calc_CFADS!P5:Calc_CFADS!BJ5)+O27)/O23)</f>
        <v/>
      </c>
      <c r="P32" s="81">
        <f>IF(P23&lt;=1,0,(NPV($B$4/4,Calc_CFADS!Q5:Calc_CFADS!BJ5)+P27)/P23)</f>
        <v/>
      </c>
      <c r="Q32" s="81">
        <f>IF(Q23&lt;=1,0,(NPV($B$4/4,Calc_CFADS!R5:Calc_CFADS!BJ5)+Q27)/Q23)</f>
        <v/>
      </c>
      <c r="R32" s="81">
        <f>IF(R23&lt;=1,0,(NPV($B$4/4,Calc_CFADS!S5:Calc_CFADS!BJ5)+R27)/R23)</f>
        <v/>
      </c>
      <c r="S32" s="81">
        <f>IF(S23&lt;=1,0,(NPV($B$4/4,Calc_CFADS!T5:Calc_CFADS!BJ5)+S27)/S23)</f>
        <v/>
      </c>
      <c r="T32" s="81">
        <f>IF(T23&lt;=1,0,(NPV($B$4/4,Calc_CFADS!U5:Calc_CFADS!BJ5)+T27)/T23)</f>
        <v/>
      </c>
      <c r="U32" s="81">
        <f>IF(U23&lt;=1,0,(NPV($B$4/4,Calc_CFADS!V5:Calc_CFADS!BJ5)+U27)/U23)</f>
        <v/>
      </c>
      <c r="V32" s="81">
        <f>IF(V23&lt;=1,0,(NPV($B$4/4,Calc_CFADS!W5:Calc_CFADS!BJ5)+V27)/V23)</f>
        <v/>
      </c>
      <c r="W32" s="81">
        <f>IF(W23&lt;=1,0,(NPV($B$4/4,Calc_CFADS!X5:Calc_CFADS!BJ5)+W27)/W23)</f>
        <v/>
      </c>
      <c r="X32" s="81">
        <f>IF(X23&lt;=1,0,(NPV($B$4/4,Calc_CFADS!Y5:Calc_CFADS!BJ5)+X27)/X23)</f>
        <v/>
      </c>
      <c r="Y32" s="81">
        <f>IF(Y23&lt;=1,0,(NPV($B$4/4,Calc_CFADS!Z5:Calc_CFADS!BJ5)+Y27)/Y23)</f>
        <v/>
      </c>
      <c r="Z32" s="81">
        <f>IF(Z23&lt;=1,0,(NPV($B$4/4,Calc_CFADS!AA5:Calc_CFADS!BJ5)+Z27)/Z23)</f>
        <v/>
      </c>
      <c r="AA32" s="81">
        <f>IF(AA23&lt;=1,0,(NPV($B$4/4,Calc_CFADS!AB5:Calc_CFADS!BJ5)+AA27)/AA23)</f>
        <v/>
      </c>
      <c r="AB32" s="81">
        <f>IF(AB23&lt;=1,0,(NPV($B$4/4,Calc_CFADS!AC5:Calc_CFADS!BJ5)+AB27)/AB23)</f>
        <v/>
      </c>
      <c r="AC32" s="81">
        <f>IF(AC23&lt;=1,0,(NPV($B$4/4,Calc_CFADS!AD5:Calc_CFADS!BJ5)+AC27)/AC23)</f>
        <v/>
      </c>
      <c r="AD32" s="81">
        <f>IF(AD23&lt;=1,0,(NPV($B$4/4,Calc_CFADS!AE5:Calc_CFADS!BJ5)+AD27)/AD23)</f>
        <v/>
      </c>
      <c r="AE32" s="81">
        <f>IF(AE23&lt;=1,0,(NPV($B$4/4,Calc_CFADS!AF5:Calc_CFADS!BJ5)+AE27)/AE23)</f>
        <v/>
      </c>
      <c r="AF32" s="81">
        <f>IF(AF23&lt;=1,0,(NPV($B$4/4,Calc_CFADS!AG5:Calc_CFADS!BJ5)+AF27)/AF23)</f>
        <v/>
      </c>
      <c r="AG32" s="81">
        <f>IF(AG23&lt;=1,0,(NPV($B$4/4,Calc_CFADS!AH5:Calc_CFADS!BJ5)+AG27)/AG23)</f>
        <v/>
      </c>
      <c r="AH32" s="81">
        <f>IF(AH23&lt;=1,0,(NPV($B$4/4,Calc_CFADS!AI5:Calc_CFADS!BJ5)+AH27)/AH23)</f>
        <v/>
      </c>
      <c r="AI32" s="81">
        <f>IF(AI23&lt;=1,0,(NPV($B$4/4,Calc_CFADS!AJ5:Calc_CFADS!BJ5)+AI27)/AI23)</f>
        <v/>
      </c>
      <c r="AJ32" s="81">
        <f>IF(AJ23&lt;=1,0,(NPV($B$4/4,Calc_CFADS!AK5:Calc_CFADS!BJ5)+AJ27)/AJ23)</f>
        <v/>
      </c>
      <c r="AK32" s="81">
        <f>IF(AK23&lt;=1,0,(NPV($B$4/4,Calc_CFADS!AL5:Calc_CFADS!BJ5)+AK27)/AK23)</f>
        <v/>
      </c>
      <c r="AL32" s="81">
        <f>IF(AL23&lt;=1,0,(NPV($B$4/4,Calc_CFADS!AM5:Calc_CFADS!BJ5)+AL27)/AL23)</f>
        <v/>
      </c>
      <c r="AM32" s="81">
        <f>IF(AM23&lt;=1,0,(NPV($B$4/4,Calc_CFADS!AN5:Calc_CFADS!BJ5)+AM27)/AM23)</f>
        <v/>
      </c>
      <c r="AN32" s="81">
        <f>IF(AN23&lt;=1,0,(NPV($B$4/4,Calc_CFADS!AO5:Calc_CFADS!BJ5)+AN27)/AN23)</f>
        <v/>
      </c>
      <c r="AO32" s="81">
        <f>IF(AO23&lt;=1,0,(NPV($B$4/4,Calc_CFADS!AP5:Calc_CFADS!BJ5)+AO27)/AO23)</f>
        <v/>
      </c>
      <c r="AP32" s="81">
        <f>IF(AP23&lt;=1,0,(NPV($B$4/4,Calc_CFADS!AQ5:Calc_CFADS!BJ5)+AP27)/AP23)</f>
        <v/>
      </c>
      <c r="AQ32" s="81">
        <f>IF(AQ23&lt;=1,0,(NPV($B$4/4,Calc_CFADS!AR5:Calc_CFADS!BJ5)+AQ27)/AQ23)</f>
        <v/>
      </c>
      <c r="AR32" s="81">
        <f>IF(AR23&lt;=1,0,(NPV($B$4/4,Calc_CFADS!AS5:Calc_CFADS!BJ5)+AR27)/AR23)</f>
        <v/>
      </c>
      <c r="AS32" s="81">
        <f>IF(AS23&lt;=1,0,(NPV($B$4/4,Calc_CFADS!AT5:Calc_CFADS!BJ5)+AS27)/AS23)</f>
        <v/>
      </c>
      <c r="AT32" s="81">
        <f>IF(AT23&lt;=1,0,(NPV($B$4/4,Calc_CFADS!AU5:Calc_CFADS!BJ5)+AT27)/AT23)</f>
        <v/>
      </c>
      <c r="AU32" s="81">
        <f>IF(AU23&lt;=1,0,(NPV($B$4/4,Calc_CFADS!AV5:Calc_CFADS!BJ5)+AU27)/AU23)</f>
        <v/>
      </c>
      <c r="AV32" s="81">
        <f>IF(AV23&lt;=1,0,(NPV($B$4/4,Calc_CFADS!AW5:Calc_CFADS!BJ5)+AV27)/AV23)</f>
        <v/>
      </c>
      <c r="AW32" s="81">
        <f>IF(AW23&lt;=1,0,(NPV($B$4/4,Calc_CFADS!AX5:Calc_CFADS!BJ5)+AW27)/AW23)</f>
        <v/>
      </c>
      <c r="AX32" s="81">
        <f>IF(AX23&lt;=1,0,(NPV($B$4/4,Calc_CFADS!AY5:Calc_CFADS!BJ5)+AX27)/AX23)</f>
        <v/>
      </c>
      <c r="AY32" s="81">
        <f>IF(AY23&lt;=1,0,(NPV($B$4/4,Calc_CFADS!AZ5:Calc_CFADS!BJ5)+AY27)/AY23)</f>
        <v/>
      </c>
      <c r="AZ32" s="81">
        <f>IF(AZ23&lt;=1,0,(NPV($B$4/4,Calc_CFADS!BA5:Calc_CFADS!BJ5)+AZ27)/AZ23)</f>
        <v/>
      </c>
      <c r="BA32" s="81">
        <f>IF(BA23&lt;=1,0,(NPV($B$4/4,Calc_CFADS!BB5:Calc_CFADS!BJ5)+BA27)/BA23)</f>
        <v/>
      </c>
      <c r="BB32" s="81">
        <f>IF(BB23&lt;=1,0,(NPV($B$4/4,Calc_CFADS!BC5:Calc_CFADS!BJ5)+BB27)/BB23)</f>
        <v/>
      </c>
      <c r="BC32" s="81">
        <f>IF(BC23&lt;=1,0,(NPV($B$4/4,Calc_CFADS!BD5:Calc_CFADS!BJ5)+BC27)/BC23)</f>
        <v/>
      </c>
      <c r="BD32" s="81">
        <f>IF(BD23&lt;=1,0,(NPV($B$4/4,Calc_CFADS!BE5:Calc_CFADS!BJ5)+BD27)/BD23)</f>
        <v/>
      </c>
      <c r="BE32" s="81">
        <f>IF(BE23&lt;=1,0,(NPV($B$4/4,Calc_CFADS!BF5:Calc_CFADS!BJ5)+BE27)/BE23)</f>
        <v/>
      </c>
      <c r="BF32" s="81">
        <f>IF(BF23&lt;=1,0,(NPV($B$4/4,Calc_CFADS!BG5:Calc_CFADS!BJ5)+BF27)/BF23)</f>
        <v/>
      </c>
      <c r="BG32" s="81">
        <f>IF(BG23&lt;=1,0,(NPV($B$4/4,Calc_CFADS!BH5:Calc_CFADS!BJ5)+BG27)/BG23)</f>
        <v/>
      </c>
      <c r="BH32" s="81">
        <f>IF(BH23&lt;=1,0,(NPV($B$4/4,Calc_CFADS!BI5:Calc_CFADS!BJ5)+BH27)/BH23)</f>
        <v/>
      </c>
      <c r="BI32" s="81">
        <f>IF(BI23&lt;=1,0,(NPV($B$4/4,Calc_CFADS!BJ5:Calc_CFADS!BJ5)+BI27)/BI23)</f>
        <v/>
      </c>
      <c r="BJ32" s="81">
        <f>0</f>
        <v/>
      </c>
      <c r="BK32" s="81">
        <f>0</f>
        <v/>
      </c>
      <c r="BL32" s="81">
        <f>0</f>
        <v/>
      </c>
      <c r="BM32" s="81">
        <f>0</f>
        <v/>
      </c>
      <c r="BN32" s="81">
        <f>0</f>
        <v/>
      </c>
      <c r="BO32" s="81">
        <f>0</f>
        <v/>
      </c>
      <c r="BP32" s="81">
        <f>0</f>
        <v/>
      </c>
      <c r="BQ32" s="81">
        <f>0</f>
        <v/>
      </c>
      <c r="BR32" s="81">
        <f>0</f>
        <v/>
      </c>
      <c r="BS32" s="81">
        <f>0</f>
        <v/>
      </c>
      <c r="BT32" s="81">
        <f>0</f>
        <v/>
      </c>
      <c r="BU32" s="81">
        <f>0</f>
        <v/>
      </c>
      <c r="BV32" s="81">
        <f>0</f>
        <v/>
      </c>
      <c r="BW32" s="81">
        <f>0</f>
        <v/>
      </c>
      <c r="BX32" s="81">
        <f>0</f>
        <v/>
      </c>
      <c r="BY32" s="81">
        <f>0</f>
        <v/>
      </c>
      <c r="BZ32" s="81">
        <f>0</f>
        <v/>
      </c>
      <c r="CA32" s="81">
        <f>0</f>
        <v/>
      </c>
      <c r="CB32" s="81">
        <f>0</f>
        <v/>
      </c>
      <c r="CC32" s="81">
        <f>0</f>
        <v/>
      </c>
      <c r="CD32" s="81">
        <f>0</f>
        <v/>
      </c>
    </row>
    <row r="33">
      <c r="A33" t="inlineStr">
        <is>
          <t>PLCR = (PV of CFADS to end of project life + DSRA) / debt outstanding</t>
        </is>
      </c>
      <c r="C33" s="81">
        <f>IF(C23&lt;=1,0,(NPV($B$4/4,Calc_CFADS!D5:Calc_CFADS!CD5)+C27)/C23)</f>
        <v/>
      </c>
      <c r="D33" s="81">
        <f>IF(D23&lt;=1,0,(NPV($B$4/4,Calc_CFADS!E5:Calc_CFADS!CD5)+D27)/D23)</f>
        <v/>
      </c>
      <c r="E33" s="81">
        <f>IF(E23&lt;=1,0,(NPV($B$4/4,Calc_CFADS!F5:Calc_CFADS!CD5)+E27)/E23)</f>
        <v/>
      </c>
      <c r="F33" s="81">
        <f>IF(F23&lt;=1,0,(NPV($B$4/4,Calc_CFADS!G5:Calc_CFADS!CD5)+F27)/F23)</f>
        <v/>
      </c>
      <c r="G33" s="81">
        <f>IF(G23&lt;=1,0,(NPV($B$4/4,Calc_CFADS!H5:Calc_CFADS!CD5)+G27)/G23)</f>
        <v/>
      </c>
      <c r="H33" s="81">
        <f>IF(H23&lt;=1,0,(NPV($B$4/4,Calc_CFADS!I5:Calc_CFADS!CD5)+H27)/H23)</f>
        <v/>
      </c>
      <c r="I33" s="81">
        <f>IF(I23&lt;=1,0,(NPV($B$4/4,Calc_CFADS!J5:Calc_CFADS!CD5)+I27)/I23)</f>
        <v/>
      </c>
      <c r="J33" s="81">
        <f>IF(J23&lt;=1,0,(NPV($B$4/4,Calc_CFADS!K5:Calc_CFADS!CD5)+J27)/J23)</f>
        <v/>
      </c>
      <c r="K33" s="81">
        <f>IF(K23&lt;=1,0,(NPV($B$4/4,Calc_CFADS!L5:Calc_CFADS!CD5)+K27)/K23)</f>
        <v/>
      </c>
      <c r="L33" s="81">
        <f>IF(L23&lt;=1,0,(NPV($B$4/4,Calc_CFADS!M5:Calc_CFADS!CD5)+L27)/L23)</f>
        <v/>
      </c>
      <c r="M33" s="81">
        <f>IF(M23&lt;=1,0,(NPV($B$4/4,Calc_CFADS!N5:Calc_CFADS!CD5)+M27)/M23)</f>
        <v/>
      </c>
      <c r="N33" s="81">
        <f>IF(N23&lt;=1,0,(NPV($B$4/4,Calc_CFADS!O5:Calc_CFADS!CD5)+N27)/N23)</f>
        <v/>
      </c>
      <c r="O33" s="81">
        <f>IF(O23&lt;=1,0,(NPV($B$4/4,Calc_CFADS!P5:Calc_CFADS!CD5)+O27)/O23)</f>
        <v/>
      </c>
      <c r="P33" s="81">
        <f>IF(P23&lt;=1,0,(NPV($B$4/4,Calc_CFADS!Q5:Calc_CFADS!CD5)+P27)/P23)</f>
        <v/>
      </c>
      <c r="Q33" s="81">
        <f>IF(Q23&lt;=1,0,(NPV($B$4/4,Calc_CFADS!R5:Calc_CFADS!CD5)+Q27)/Q23)</f>
        <v/>
      </c>
      <c r="R33" s="81">
        <f>IF(R23&lt;=1,0,(NPV($B$4/4,Calc_CFADS!S5:Calc_CFADS!CD5)+R27)/R23)</f>
        <v/>
      </c>
      <c r="S33" s="81">
        <f>IF(S23&lt;=1,0,(NPV($B$4/4,Calc_CFADS!T5:Calc_CFADS!CD5)+S27)/S23)</f>
        <v/>
      </c>
      <c r="T33" s="81">
        <f>IF(T23&lt;=1,0,(NPV($B$4/4,Calc_CFADS!U5:Calc_CFADS!CD5)+T27)/T23)</f>
        <v/>
      </c>
      <c r="U33" s="81">
        <f>IF(U23&lt;=1,0,(NPV($B$4/4,Calc_CFADS!V5:Calc_CFADS!CD5)+U27)/U23)</f>
        <v/>
      </c>
      <c r="V33" s="81">
        <f>IF(V23&lt;=1,0,(NPV($B$4/4,Calc_CFADS!W5:Calc_CFADS!CD5)+V27)/V23)</f>
        <v/>
      </c>
      <c r="W33" s="81">
        <f>IF(W23&lt;=1,0,(NPV($B$4/4,Calc_CFADS!X5:Calc_CFADS!CD5)+W27)/W23)</f>
        <v/>
      </c>
      <c r="X33" s="81">
        <f>IF(X23&lt;=1,0,(NPV($B$4/4,Calc_CFADS!Y5:Calc_CFADS!CD5)+X27)/X23)</f>
        <v/>
      </c>
      <c r="Y33" s="81">
        <f>IF(Y23&lt;=1,0,(NPV($B$4/4,Calc_CFADS!Z5:Calc_CFADS!CD5)+Y27)/Y23)</f>
        <v/>
      </c>
      <c r="Z33" s="81">
        <f>IF(Z23&lt;=1,0,(NPV($B$4/4,Calc_CFADS!AA5:Calc_CFADS!CD5)+Z27)/Z23)</f>
        <v/>
      </c>
      <c r="AA33" s="81">
        <f>IF(AA23&lt;=1,0,(NPV($B$4/4,Calc_CFADS!AB5:Calc_CFADS!CD5)+AA27)/AA23)</f>
        <v/>
      </c>
      <c r="AB33" s="81">
        <f>IF(AB23&lt;=1,0,(NPV($B$4/4,Calc_CFADS!AC5:Calc_CFADS!CD5)+AB27)/AB23)</f>
        <v/>
      </c>
      <c r="AC33" s="81">
        <f>IF(AC23&lt;=1,0,(NPV($B$4/4,Calc_CFADS!AD5:Calc_CFADS!CD5)+AC27)/AC23)</f>
        <v/>
      </c>
      <c r="AD33" s="81">
        <f>IF(AD23&lt;=1,0,(NPV($B$4/4,Calc_CFADS!AE5:Calc_CFADS!CD5)+AD27)/AD23)</f>
        <v/>
      </c>
      <c r="AE33" s="81">
        <f>IF(AE23&lt;=1,0,(NPV($B$4/4,Calc_CFADS!AF5:Calc_CFADS!CD5)+AE27)/AE23)</f>
        <v/>
      </c>
      <c r="AF33" s="81">
        <f>IF(AF23&lt;=1,0,(NPV($B$4/4,Calc_CFADS!AG5:Calc_CFADS!CD5)+AF27)/AF23)</f>
        <v/>
      </c>
      <c r="AG33" s="81">
        <f>IF(AG23&lt;=1,0,(NPV($B$4/4,Calc_CFADS!AH5:Calc_CFADS!CD5)+AG27)/AG23)</f>
        <v/>
      </c>
      <c r="AH33" s="81">
        <f>IF(AH23&lt;=1,0,(NPV($B$4/4,Calc_CFADS!AI5:Calc_CFADS!CD5)+AH27)/AH23)</f>
        <v/>
      </c>
      <c r="AI33" s="81">
        <f>IF(AI23&lt;=1,0,(NPV($B$4/4,Calc_CFADS!AJ5:Calc_CFADS!CD5)+AI27)/AI23)</f>
        <v/>
      </c>
      <c r="AJ33" s="81">
        <f>IF(AJ23&lt;=1,0,(NPV($B$4/4,Calc_CFADS!AK5:Calc_CFADS!CD5)+AJ27)/AJ23)</f>
        <v/>
      </c>
      <c r="AK33" s="81">
        <f>IF(AK23&lt;=1,0,(NPV($B$4/4,Calc_CFADS!AL5:Calc_CFADS!CD5)+AK27)/AK23)</f>
        <v/>
      </c>
      <c r="AL33" s="81">
        <f>IF(AL23&lt;=1,0,(NPV($B$4/4,Calc_CFADS!AM5:Calc_CFADS!CD5)+AL27)/AL23)</f>
        <v/>
      </c>
      <c r="AM33" s="81">
        <f>IF(AM23&lt;=1,0,(NPV($B$4/4,Calc_CFADS!AN5:Calc_CFADS!CD5)+AM27)/AM23)</f>
        <v/>
      </c>
      <c r="AN33" s="81">
        <f>IF(AN23&lt;=1,0,(NPV($B$4/4,Calc_CFADS!AO5:Calc_CFADS!CD5)+AN27)/AN23)</f>
        <v/>
      </c>
      <c r="AO33" s="81">
        <f>IF(AO23&lt;=1,0,(NPV($B$4/4,Calc_CFADS!AP5:Calc_CFADS!CD5)+AO27)/AO23)</f>
        <v/>
      </c>
      <c r="AP33" s="81">
        <f>IF(AP23&lt;=1,0,(NPV($B$4/4,Calc_CFADS!AQ5:Calc_CFADS!CD5)+AP27)/AP23)</f>
        <v/>
      </c>
      <c r="AQ33" s="81">
        <f>IF(AQ23&lt;=1,0,(NPV($B$4/4,Calc_CFADS!AR5:Calc_CFADS!CD5)+AQ27)/AQ23)</f>
        <v/>
      </c>
      <c r="AR33" s="81">
        <f>IF(AR23&lt;=1,0,(NPV($B$4/4,Calc_CFADS!AS5:Calc_CFADS!CD5)+AR27)/AR23)</f>
        <v/>
      </c>
      <c r="AS33" s="81">
        <f>IF(AS23&lt;=1,0,(NPV($B$4/4,Calc_CFADS!AT5:Calc_CFADS!CD5)+AS27)/AS23)</f>
        <v/>
      </c>
      <c r="AT33" s="81">
        <f>IF(AT23&lt;=1,0,(NPV($B$4/4,Calc_CFADS!AU5:Calc_CFADS!CD5)+AT27)/AT23)</f>
        <v/>
      </c>
      <c r="AU33" s="81">
        <f>IF(AU23&lt;=1,0,(NPV($B$4/4,Calc_CFADS!AV5:Calc_CFADS!CD5)+AU27)/AU23)</f>
        <v/>
      </c>
      <c r="AV33" s="81">
        <f>IF(AV23&lt;=1,0,(NPV($B$4/4,Calc_CFADS!AW5:Calc_CFADS!CD5)+AV27)/AV23)</f>
        <v/>
      </c>
      <c r="AW33" s="81">
        <f>IF(AW23&lt;=1,0,(NPV($B$4/4,Calc_CFADS!AX5:Calc_CFADS!CD5)+AW27)/AW23)</f>
        <v/>
      </c>
      <c r="AX33" s="81">
        <f>IF(AX23&lt;=1,0,(NPV($B$4/4,Calc_CFADS!AY5:Calc_CFADS!CD5)+AX27)/AX23)</f>
        <v/>
      </c>
      <c r="AY33" s="81">
        <f>IF(AY23&lt;=1,0,(NPV($B$4/4,Calc_CFADS!AZ5:Calc_CFADS!CD5)+AY27)/AY23)</f>
        <v/>
      </c>
      <c r="AZ33" s="81">
        <f>IF(AZ23&lt;=1,0,(NPV($B$4/4,Calc_CFADS!BA5:Calc_CFADS!CD5)+AZ27)/AZ23)</f>
        <v/>
      </c>
      <c r="BA33" s="81">
        <f>IF(BA23&lt;=1,0,(NPV($B$4/4,Calc_CFADS!BB5:Calc_CFADS!CD5)+BA27)/BA23)</f>
        <v/>
      </c>
      <c r="BB33" s="81">
        <f>IF(BB23&lt;=1,0,(NPV($B$4/4,Calc_CFADS!BC5:Calc_CFADS!CD5)+BB27)/BB23)</f>
        <v/>
      </c>
      <c r="BC33" s="81">
        <f>IF(BC23&lt;=1,0,(NPV($B$4/4,Calc_CFADS!BD5:Calc_CFADS!CD5)+BC27)/BC23)</f>
        <v/>
      </c>
      <c r="BD33" s="81">
        <f>IF(BD23&lt;=1,0,(NPV($B$4/4,Calc_CFADS!BE5:Calc_CFADS!CD5)+BD27)/BD23)</f>
        <v/>
      </c>
      <c r="BE33" s="81">
        <f>IF(BE23&lt;=1,0,(NPV($B$4/4,Calc_CFADS!BF5:Calc_CFADS!CD5)+BE27)/BE23)</f>
        <v/>
      </c>
      <c r="BF33" s="81">
        <f>IF(BF23&lt;=1,0,(NPV($B$4/4,Calc_CFADS!BG5:Calc_CFADS!CD5)+BF27)/BF23)</f>
        <v/>
      </c>
      <c r="BG33" s="81">
        <f>IF(BG23&lt;=1,0,(NPV($B$4/4,Calc_CFADS!BH5:Calc_CFADS!CD5)+BG27)/BG23)</f>
        <v/>
      </c>
      <c r="BH33" s="81">
        <f>IF(BH23&lt;=1,0,(NPV($B$4/4,Calc_CFADS!BI5:Calc_CFADS!CD5)+BH27)/BH23)</f>
        <v/>
      </c>
      <c r="BI33" s="81">
        <f>IF(BI23&lt;=1,0,(NPV($B$4/4,Calc_CFADS!BJ5:Calc_CFADS!CD5)+BI27)/BI23)</f>
        <v/>
      </c>
      <c r="BJ33" s="81">
        <f>IF(BJ23&lt;=1,0,(NPV($B$4/4,Calc_CFADS!BK5:Calc_CFADS!CD5)+BJ27)/BJ23)</f>
        <v/>
      </c>
      <c r="BK33" s="81">
        <f>IF(BK23&lt;=1,0,(NPV($B$4/4,Calc_CFADS!BL5:Calc_CFADS!CD5)+BK27)/BK23)</f>
        <v/>
      </c>
      <c r="BL33" s="81">
        <f>IF(BL23&lt;=1,0,(NPV($B$4/4,Calc_CFADS!BM5:Calc_CFADS!CD5)+BL27)/BL23)</f>
        <v/>
      </c>
      <c r="BM33" s="81">
        <f>IF(BM23&lt;=1,0,(NPV($B$4/4,Calc_CFADS!BN5:Calc_CFADS!CD5)+BM27)/BM23)</f>
        <v/>
      </c>
      <c r="BN33" s="81">
        <f>IF(BN23&lt;=1,0,(NPV($B$4/4,Calc_CFADS!BO5:Calc_CFADS!CD5)+BN27)/BN23)</f>
        <v/>
      </c>
      <c r="BO33" s="81">
        <f>IF(BO23&lt;=1,0,(NPV($B$4/4,Calc_CFADS!BP5:Calc_CFADS!CD5)+BO27)/BO23)</f>
        <v/>
      </c>
      <c r="BP33" s="81">
        <f>IF(BP23&lt;=1,0,(NPV($B$4/4,Calc_CFADS!BQ5:Calc_CFADS!CD5)+BP27)/BP23)</f>
        <v/>
      </c>
      <c r="BQ33" s="81">
        <f>IF(BQ23&lt;=1,0,(NPV($B$4/4,Calc_CFADS!BR5:Calc_CFADS!CD5)+BQ27)/BQ23)</f>
        <v/>
      </c>
      <c r="BR33" s="81">
        <f>IF(BR23&lt;=1,0,(NPV($B$4/4,Calc_CFADS!BS5:Calc_CFADS!CD5)+BR27)/BR23)</f>
        <v/>
      </c>
      <c r="BS33" s="81">
        <f>IF(BS23&lt;=1,0,(NPV($B$4/4,Calc_CFADS!BT5:Calc_CFADS!CD5)+BS27)/BS23)</f>
        <v/>
      </c>
      <c r="BT33" s="81">
        <f>IF(BT23&lt;=1,0,(NPV($B$4/4,Calc_CFADS!BU5:Calc_CFADS!CD5)+BT27)/BT23)</f>
        <v/>
      </c>
      <c r="BU33" s="81">
        <f>IF(BU23&lt;=1,0,(NPV($B$4/4,Calc_CFADS!BV5:Calc_CFADS!CD5)+BU27)/BU23)</f>
        <v/>
      </c>
      <c r="BV33" s="81">
        <f>IF(BV23&lt;=1,0,(NPV($B$4/4,Calc_CFADS!BW5:Calc_CFADS!CD5)+BV27)/BV23)</f>
        <v/>
      </c>
      <c r="BW33" s="81">
        <f>IF(BW23&lt;=1,0,(NPV($B$4/4,Calc_CFADS!BX5:Calc_CFADS!CD5)+BW27)/BW23)</f>
        <v/>
      </c>
      <c r="BX33" s="81">
        <f>IF(BX23&lt;=1,0,(NPV($B$4/4,Calc_CFADS!BY5:Calc_CFADS!CD5)+BX27)/BX23)</f>
        <v/>
      </c>
      <c r="BY33" s="81">
        <f>IF(BY23&lt;=1,0,(NPV($B$4/4,Calc_CFADS!BZ5:Calc_CFADS!CD5)+BY27)/BY23)</f>
        <v/>
      </c>
      <c r="BZ33" s="81">
        <f>IF(BZ23&lt;=1,0,(NPV($B$4/4,Calc_CFADS!CA5:Calc_CFADS!CD5)+BZ27)/BZ23)</f>
        <v/>
      </c>
      <c r="CA33" s="81">
        <f>IF(CA23&lt;=1,0,(NPV($B$4/4,Calc_CFADS!CB5:Calc_CFADS!CD5)+CA27)/CA23)</f>
        <v/>
      </c>
      <c r="CB33" s="81">
        <f>IF(CB23&lt;=1,0,(NPV($B$4/4,Calc_CFADS!CC5:Calc_CFADS!CD5)+CB27)/CB23)</f>
        <v/>
      </c>
      <c r="CC33" s="81">
        <f>IF(CC23&lt;=1,0,(NPV($B$4/4,Calc_CFADS!CD5:Calc_CFADS!CD5)+CC27)/CC23)</f>
        <v/>
      </c>
      <c r="CD33" s="81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2">
        <f>IF(ABS(BJ23)&lt;=MAX(Cover!$B$6,C18*0.00001),1,0)</f>
        <v/>
      </c>
    </row>
    <row r="38">
      <c r="A38" t="inlineStr">
        <is>
          <t>Check: Debt Sizing Converged (Loop 2)</t>
        </is>
      </c>
      <c r="CD38" s="82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2">
        <f>IF(MIN(C24:BJ24)&gt;=$B$5-0.001,1,0)</f>
        <v/>
      </c>
    </row>
    <row r="40">
      <c r="A40" t="inlineStr">
        <is>
          <t>Informational: # quarters principal floored at zero</t>
        </is>
      </c>
      <c r="CD40" s="82">
        <f>SUMPRODUCT(--(C20:BJ20&lt;C19:BJ19))</f>
        <v/>
      </c>
    </row>
    <row r="41">
      <c r="A41" t="inlineStr">
        <is>
          <t>Informational: debt sizing capped by Max Gearing (1 = capped)</t>
        </is>
      </c>
      <c r="CD41" s="82">
        <f>IF(NPV($B$4/4,C20:BJ20)&gt;$B$6*Calc_Capex!$Z$17,1,0)</f>
        <v/>
      </c>
    </row>
    <row r="42">
      <c r="A42" t="inlineStr">
        <is>
          <t>Check: PLCR &gt;= LLCR in every quarter</t>
        </is>
      </c>
      <c r="CD42" s="82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2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2">
        <f>Calc_Tax!C11-Calc_Tax!C25</f>
        <v/>
      </c>
      <c r="D5" s="72">
        <f>Calc_Tax!D11-Calc_Tax!D25</f>
        <v/>
      </c>
      <c r="E5" s="72">
        <f>Calc_Tax!E11-Calc_Tax!E25</f>
        <v/>
      </c>
      <c r="F5" s="72">
        <f>Calc_Tax!F11-Calc_Tax!F25</f>
        <v/>
      </c>
      <c r="G5" s="72">
        <f>Calc_Tax!G11-Calc_Tax!G25</f>
        <v/>
      </c>
      <c r="H5" s="72">
        <f>Calc_Tax!H11-Calc_Tax!H25</f>
        <v/>
      </c>
      <c r="I5" s="72">
        <f>Calc_Tax!I11-Calc_Tax!I25</f>
        <v/>
      </c>
      <c r="J5" s="72">
        <f>Calc_Tax!J11-Calc_Tax!J25</f>
        <v/>
      </c>
      <c r="K5" s="72">
        <f>Calc_Tax!K11-Calc_Tax!K25</f>
        <v/>
      </c>
      <c r="L5" s="72">
        <f>Calc_Tax!L11-Calc_Tax!L25</f>
        <v/>
      </c>
      <c r="M5" s="72">
        <f>Calc_Tax!M11-Calc_Tax!M25</f>
        <v/>
      </c>
      <c r="N5" s="72">
        <f>Calc_Tax!N11-Calc_Tax!N25</f>
        <v/>
      </c>
      <c r="O5" s="72">
        <f>Calc_Tax!O11-Calc_Tax!O25</f>
        <v/>
      </c>
      <c r="P5" s="72">
        <f>Calc_Tax!P11-Calc_Tax!P25</f>
        <v/>
      </c>
      <c r="Q5" s="72">
        <f>Calc_Tax!Q11-Calc_Tax!Q25</f>
        <v/>
      </c>
      <c r="R5" s="72">
        <f>Calc_Tax!R11-Calc_Tax!R25</f>
        <v/>
      </c>
      <c r="S5" s="72">
        <f>Calc_Tax!S11-Calc_Tax!S25</f>
        <v/>
      </c>
      <c r="T5" s="72">
        <f>Calc_Tax!T11-Calc_Tax!T25</f>
        <v/>
      </c>
      <c r="U5" s="72">
        <f>Calc_Tax!U11-Calc_Tax!U25</f>
        <v/>
      </c>
      <c r="V5" s="72">
        <f>Calc_Tax!V11-Calc_Tax!V25</f>
        <v/>
      </c>
      <c r="W5" s="72">
        <f>Calc_Tax!W11-Calc_Tax!W25</f>
        <v/>
      </c>
      <c r="X5" s="72">
        <f>Calc_Tax!X11-Calc_Tax!X25</f>
        <v/>
      </c>
      <c r="Y5" s="72">
        <f>Calc_Tax!Y11-Calc_Tax!Y25</f>
        <v/>
      </c>
      <c r="Z5" s="72">
        <f>Calc_Tax!Z11-Calc_Tax!Z25</f>
        <v/>
      </c>
      <c r="AA5" s="72">
        <f>Calc_Tax!AA11-Calc_Tax!AA25</f>
        <v/>
      </c>
      <c r="AB5" s="72">
        <f>Calc_Tax!AB11-Calc_Tax!AB25</f>
        <v/>
      </c>
      <c r="AC5" s="72">
        <f>Calc_Tax!AC11-Calc_Tax!AC25</f>
        <v/>
      </c>
      <c r="AD5" s="72">
        <f>Calc_Tax!AD11-Calc_Tax!AD25</f>
        <v/>
      </c>
      <c r="AE5" s="72">
        <f>Calc_Tax!AE11-Calc_Tax!AE25</f>
        <v/>
      </c>
      <c r="AF5" s="72">
        <f>Calc_Tax!AF11-Calc_Tax!AF25</f>
        <v/>
      </c>
      <c r="AG5" s="72">
        <f>Calc_Tax!AG11-Calc_Tax!AG25</f>
        <v/>
      </c>
      <c r="AH5" s="72">
        <f>Calc_Tax!AH11-Calc_Tax!AH25</f>
        <v/>
      </c>
      <c r="AI5" s="72">
        <f>Calc_Tax!AI11-Calc_Tax!AI25</f>
        <v/>
      </c>
      <c r="AJ5" s="72">
        <f>Calc_Tax!AJ11-Calc_Tax!AJ25</f>
        <v/>
      </c>
      <c r="AK5" s="72">
        <f>Calc_Tax!AK11-Calc_Tax!AK25</f>
        <v/>
      </c>
      <c r="AL5" s="72">
        <f>Calc_Tax!AL11-Calc_Tax!AL25</f>
        <v/>
      </c>
      <c r="AM5" s="72">
        <f>Calc_Tax!AM11-Calc_Tax!AM25</f>
        <v/>
      </c>
      <c r="AN5" s="72">
        <f>Calc_Tax!AN11-Calc_Tax!AN25</f>
        <v/>
      </c>
      <c r="AO5" s="72">
        <f>Calc_Tax!AO11-Calc_Tax!AO25</f>
        <v/>
      </c>
      <c r="AP5" s="72">
        <f>Calc_Tax!AP11-Calc_Tax!AP25</f>
        <v/>
      </c>
      <c r="AQ5" s="72">
        <f>Calc_Tax!AQ11-Calc_Tax!AQ25</f>
        <v/>
      </c>
      <c r="AR5" s="72">
        <f>Calc_Tax!AR11-Calc_Tax!AR25</f>
        <v/>
      </c>
      <c r="AS5" s="72">
        <f>Calc_Tax!AS11-Calc_Tax!AS25</f>
        <v/>
      </c>
      <c r="AT5" s="72">
        <f>Calc_Tax!AT11-Calc_Tax!AT25</f>
        <v/>
      </c>
      <c r="AU5" s="72">
        <f>Calc_Tax!AU11-Calc_Tax!AU25</f>
        <v/>
      </c>
      <c r="AV5" s="72">
        <f>Calc_Tax!AV11-Calc_Tax!AV25</f>
        <v/>
      </c>
      <c r="AW5" s="72">
        <f>Calc_Tax!AW11-Calc_Tax!AW25</f>
        <v/>
      </c>
      <c r="AX5" s="72">
        <f>Calc_Tax!AX11-Calc_Tax!AX25</f>
        <v/>
      </c>
      <c r="AY5" s="72">
        <f>Calc_Tax!AY11-Calc_Tax!AY25</f>
        <v/>
      </c>
      <c r="AZ5" s="72">
        <f>Calc_Tax!AZ11-Calc_Tax!AZ25</f>
        <v/>
      </c>
      <c r="BA5" s="72">
        <f>Calc_Tax!BA11-Calc_Tax!BA25</f>
        <v/>
      </c>
      <c r="BB5" s="72">
        <f>Calc_Tax!BB11-Calc_Tax!BB25</f>
        <v/>
      </c>
      <c r="BC5" s="72">
        <f>Calc_Tax!BC11-Calc_Tax!BC25</f>
        <v/>
      </c>
      <c r="BD5" s="72">
        <f>Calc_Tax!BD11-Calc_Tax!BD25</f>
        <v/>
      </c>
      <c r="BE5" s="72">
        <f>Calc_Tax!BE11-Calc_Tax!BE25</f>
        <v/>
      </c>
      <c r="BF5" s="72">
        <f>Calc_Tax!BF11-Calc_Tax!BF25</f>
        <v/>
      </c>
      <c r="BG5" s="72">
        <f>Calc_Tax!BG11-Calc_Tax!BG25</f>
        <v/>
      </c>
      <c r="BH5" s="72">
        <f>Calc_Tax!BH11-Calc_Tax!BH25</f>
        <v/>
      </c>
      <c r="BI5" s="72">
        <f>Calc_Tax!BI11-Calc_Tax!BI25</f>
        <v/>
      </c>
      <c r="BJ5" s="72">
        <f>Calc_Tax!BJ11-Calc_Tax!BJ25</f>
        <v/>
      </c>
      <c r="BK5" s="72">
        <f>Calc_Tax!BK11-Calc_Tax!BK25</f>
        <v/>
      </c>
      <c r="BL5" s="72">
        <f>Calc_Tax!BL11-Calc_Tax!BL25</f>
        <v/>
      </c>
      <c r="BM5" s="72">
        <f>Calc_Tax!BM11-Calc_Tax!BM25</f>
        <v/>
      </c>
      <c r="BN5" s="72">
        <f>Calc_Tax!BN11-Calc_Tax!BN25</f>
        <v/>
      </c>
      <c r="BO5" s="72">
        <f>Calc_Tax!BO11-Calc_Tax!BO25</f>
        <v/>
      </c>
      <c r="BP5" s="72">
        <f>Calc_Tax!BP11-Calc_Tax!BP25</f>
        <v/>
      </c>
      <c r="BQ5" s="72">
        <f>Calc_Tax!BQ11-Calc_Tax!BQ25</f>
        <v/>
      </c>
      <c r="BR5" s="72">
        <f>Calc_Tax!BR11-Calc_Tax!BR25</f>
        <v/>
      </c>
      <c r="BS5" s="72">
        <f>Calc_Tax!BS11-Calc_Tax!BS25</f>
        <v/>
      </c>
      <c r="BT5" s="72">
        <f>Calc_Tax!BT11-Calc_Tax!BT25</f>
        <v/>
      </c>
      <c r="BU5" s="72">
        <f>Calc_Tax!BU11-Calc_Tax!BU25</f>
        <v/>
      </c>
      <c r="BV5" s="72">
        <f>Calc_Tax!BV11-Calc_Tax!BV25</f>
        <v/>
      </c>
      <c r="BW5" s="72">
        <f>Calc_Tax!BW11-Calc_Tax!BW25</f>
        <v/>
      </c>
      <c r="BX5" s="72">
        <f>Calc_Tax!BX11-Calc_Tax!BX25</f>
        <v/>
      </c>
      <c r="BY5" s="72">
        <f>Calc_Tax!BY11-Calc_Tax!BY25</f>
        <v/>
      </c>
      <c r="BZ5" s="72">
        <f>Calc_Tax!BZ11-Calc_Tax!BZ25</f>
        <v/>
      </c>
      <c r="CA5" s="72">
        <f>Calc_Tax!CA11-Calc_Tax!CA25</f>
        <v/>
      </c>
      <c r="CB5" s="72">
        <f>Calc_Tax!CB11-Calc_Tax!CB25</f>
        <v/>
      </c>
      <c r="CC5" s="72">
        <f>Calc_Tax!CC11-Calc_Tax!CC25</f>
        <v/>
      </c>
      <c r="CD5" s="72">
        <f>Calc_Tax!CD11-Calc_Tax!CD25</f>
        <v/>
      </c>
    </row>
    <row r="6">
      <c r="A6" t="inlineStr">
        <is>
          <t>Debt Service ($) — linked from Calc_Financing_Ops</t>
        </is>
      </c>
      <c r="C6" s="72">
        <f>Calc_Financing_Ops!C21</f>
        <v/>
      </c>
      <c r="D6" s="72">
        <f>Calc_Financing_Ops!D21</f>
        <v/>
      </c>
      <c r="E6" s="72">
        <f>Calc_Financing_Ops!E21</f>
        <v/>
      </c>
      <c r="F6" s="72">
        <f>Calc_Financing_Ops!F21</f>
        <v/>
      </c>
      <c r="G6" s="72">
        <f>Calc_Financing_Ops!G21</f>
        <v/>
      </c>
      <c r="H6" s="72">
        <f>Calc_Financing_Ops!H21</f>
        <v/>
      </c>
      <c r="I6" s="72">
        <f>Calc_Financing_Ops!I21</f>
        <v/>
      </c>
      <c r="J6" s="72">
        <f>Calc_Financing_Ops!J21</f>
        <v/>
      </c>
      <c r="K6" s="72">
        <f>Calc_Financing_Ops!K21</f>
        <v/>
      </c>
      <c r="L6" s="72">
        <f>Calc_Financing_Ops!L21</f>
        <v/>
      </c>
      <c r="M6" s="72">
        <f>Calc_Financing_Ops!M21</f>
        <v/>
      </c>
      <c r="N6" s="72">
        <f>Calc_Financing_Ops!N21</f>
        <v/>
      </c>
      <c r="O6" s="72">
        <f>Calc_Financing_Ops!O21</f>
        <v/>
      </c>
      <c r="P6" s="72">
        <f>Calc_Financing_Ops!P21</f>
        <v/>
      </c>
      <c r="Q6" s="72">
        <f>Calc_Financing_Ops!Q21</f>
        <v/>
      </c>
      <c r="R6" s="72">
        <f>Calc_Financing_Ops!R21</f>
        <v/>
      </c>
      <c r="S6" s="72">
        <f>Calc_Financing_Ops!S21</f>
        <v/>
      </c>
      <c r="T6" s="72">
        <f>Calc_Financing_Ops!T21</f>
        <v/>
      </c>
      <c r="U6" s="72">
        <f>Calc_Financing_Ops!U21</f>
        <v/>
      </c>
      <c r="V6" s="72">
        <f>Calc_Financing_Ops!V21</f>
        <v/>
      </c>
      <c r="W6" s="72">
        <f>Calc_Financing_Ops!W21</f>
        <v/>
      </c>
      <c r="X6" s="72">
        <f>Calc_Financing_Ops!X21</f>
        <v/>
      </c>
      <c r="Y6" s="72">
        <f>Calc_Financing_Ops!Y21</f>
        <v/>
      </c>
      <c r="Z6" s="72">
        <f>Calc_Financing_Ops!Z21</f>
        <v/>
      </c>
      <c r="AA6" s="72">
        <f>Calc_Financing_Ops!AA21</f>
        <v/>
      </c>
      <c r="AB6" s="72">
        <f>Calc_Financing_Ops!AB21</f>
        <v/>
      </c>
      <c r="AC6" s="72">
        <f>Calc_Financing_Ops!AC21</f>
        <v/>
      </c>
      <c r="AD6" s="72">
        <f>Calc_Financing_Ops!AD21</f>
        <v/>
      </c>
      <c r="AE6" s="72">
        <f>Calc_Financing_Ops!AE21</f>
        <v/>
      </c>
      <c r="AF6" s="72">
        <f>Calc_Financing_Ops!AF21</f>
        <v/>
      </c>
      <c r="AG6" s="72">
        <f>Calc_Financing_Ops!AG21</f>
        <v/>
      </c>
      <c r="AH6" s="72">
        <f>Calc_Financing_Ops!AH21</f>
        <v/>
      </c>
      <c r="AI6" s="72">
        <f>Calc_Financing_Ops!AI21</f>
        <v/>
      </c>
      <c r="AJ6" s="72">
        <f>Calc_Financing_Ops!AJ21</f>
        <v/>
      </c>
      <c r="AK6" s="72">
        <f>Calc_Financing_Ops!AK21</f>
        <v/>
      </c>
      <c r="AL6" s="72">
        <f>Calc_Financing_Ops!AL21</f>
        <v/>
      </c>
      <c r="AM6" s="72">
        <f>Calc_Financing_Ops!AM21</f>
        <v/>
      </c>
      <c r="AN6" s="72">
        <f>Calc_Financing_Ops!AN21</f>
        <v/>
      </c>
      <c r="AO6" s="72">
        <f>Calc_Financing_Ops!AO21</f>
        <v/>
      </c>
      <c r="AP6" s="72">
        <f>Calc_Financing_Ops!AP21</f>
        <v/>
      </c>
      <c r="AQ6" s="72">
        <f>Calc_Financing_Ops!AQ21</f>
        <v/>
      </c>
      <c r="AR6" s="72">
        <f>Calc_Financing_Ops!AR21</f>
        <v/>
      </c>
      <c r="AS6" s="72">
        <f>Calc_Financing_Ops!AS21</f>
        <v/>
      </c>
      <c r="AT6" s="72">
        <f>Calc_Financing_Ops!AT21</f>
        <v/>
      </c>
      <c r="AU6" s="72">
        <f>Calc_Financing_Ops!AU21</f>
        <v/>
      </c>
      <c r="AV6" s="72">
        <f>Calc_Financing_Ops!AV21</f>
        <v/>
      </c>
      <c r="AW6" s="72">
        <f>Calc_Financing_Ops!AW21</f>
        <v/>
      </c>
      <c r="AX6" s="72">
        <f>Calc_Financing_Ops!AX21</f>
        <v/>
      </c>
      <c r="AY6" s="72">
        <f>Calc_Financing_Ops!AY21</f>
        <v/>
      </c>
      <c r="AZ6" s="72">
        <f>Calc_Financing_Ops!AZ21</f>
        <v/>
      </c>
      <c r="BA6" s="72">
        <f>Calc_Financing_Ops!BA21</f>
        <v/>
      </c>
      <c r="BB6" s="72">
        <f>Calc_Financing_Ops!BB21</f>
        <v/>
      </c>
      <c r="BC6" s="72">
        <f>Calc_Financing_Ops!BC21</f>
        <v/>
      </c>
      <c r="BD6" s="72">
        <f>Calc_Financing_Ops!BD21</f>
        <v/>
      </c>
      <c r="BE6" s="72">
        <f>Calc_Financing_Ops!BE21</f>
        <v/>
      </c>
      <c r="BF6" s="72">
        <f>Calc_Financing_Ops!BF21</f>
        <v/>
      </c>
      <c r="BG6" s="72">
        <f>Calc_Financing_Ops!BG21</f>
        <v/>
      </c>
      <c r="BH6" s="72">
        <f>Calc_Financing_Ops!BH21</f>
        <v/>
      </c>
      <c r="BI6" s="72">
        <f>Calc_Financing_Ops!BI21</f>
        <v/>
      </c>
      <c r="BJ6" s="72">
        <f>Calc_Financing_Ops!BJ21</f>
        <v/>
      </c>
      <c r="BK6" s="72">
        <f>Calc_Financing_Ops!BK21</f>
        <v/>
      </c>
      <c r="BL6" s="72">
        <f>Calc_Financing_Ops!BL21</f>
        <v/>
      </c>
      <c r="BM6" s="72">
        <f>Calc_Financing_Ops!BM21</f>
        <v/>
      </c>
      <c r="BN6" s="72">
        <f>Calc_Financing_Ops!BN21</f>
        <v/>
      </c>
      <c r="BO6" s="72">
        <f>Calc_Financing_Ops!BO21</f>
        <v/>
      </c>
      <c r="BP6" s="72">
        <f>Calc_Financing_Ops!BP21</f>
        <v/>
      </c>
      <c r="BQ6" s="72">
        <f>Calc_Financing_Ops!BQ21</f>
        <v/>
      </c>
      <c r="BR6" s="72">
        <f>Calc_Financing_Ops!BR21</f>
        <v/>
      </c>
      <c r="BS6" s="72">
        <f>Calc_Financing_Ops!BS21</f>
        <v/>
      </c>
      <c r="BT6" s="72">
        <f>Calc_Financing_Ops!BT21</f>
        <v/>
      </c>
      <c r="BU6" s="72">
        <f>Calc_Financing_Ops!BU21</f>
        <v/>
      </c>
      <c r="BV6" s="72">
        <f>Calc_Financing_Ops!BV21</f>
        <v/>
      </c>
      <c r="BW6" s="72">
        <f>Calc_Financing_Ops!BW21</f>
        <v/>
      </c>
      <c r="BX6" s="72">
        <f>Calc_Financing_Ops!BX21</f>
        <v/>
      </c>
      <c r="BY6" s="72">
        <f>Calc_Financing_Ops!BY21</f>
        <v/>
      </c>
      <c r="BZ6" s="72">
        <f>Calc_Financing_Ops!BZ21</f>
        <v/>
      </c>
      <c r="CA6" s="72">
        <f>Calc_Financing_Ops!CA21</f>
        <v/>
      </c>
      <c r="CB6" s="72">
        <f>Calc_Financing_Ops!CB21</f>
        <v/>
      </c>
      <c r="CC6" s="72">
        <f>Calc_Financing_Ops!CC21</f>
        <v/>
      </c>
      <c r="CD6" s="72">
        <f>Calc_Financing_Ops!CD21</f>
        <v/>
      </c>
    </row>
    <row r="7">
      <c r="A7" t="inlineStr">
        <is>
          <t>CFADS after Debt Service ($)</t>
        </is>
      </c>
      <c r="C7" s="77">
        <f>C5-C6</f>
        <v/>
      </c>
      <c r="D7" s="77">
        <f>D5-D6</f>
        <v/>
      </c>
      <c r="E7" s="77">
        <f>E5-E6</f>
        <v/>
      </c>
      <c r="F7" s="77">
        <f>F5-F6</f>
        <v/>
      </c>
      <c r="G7" s="77">
        <f>G5-G6</f>
        <v/>
      </c>
      <c r="H7" s="77">
        <f>H5-H6</f>
        <v/>
      </c>
      <c r="I7" s="77">
        <f>I5-I6</f>
        <v/>
      </c>
      <c r="J7" s="77">
        <f>J5-J6</f>
        <v/>
      </c>
      <c r="K7" s="77">
        <f>K5-K6</f>
        <v/>
      </c>
      <c r="L7" s="77">
        <f>L5-L6</f>
        <v/>
      </c>
      <c r="M7" s="77">
        <f>M5-M6</f>
        <v/>
      </c>
      <c r="N7" s="77">
        <f>N5-N6</f>
        <v/>
      </c>
      <c r="O7" s="77">
        <f>O5-O6</f>
        <v/>
      </c>
      <c r="P7" s="77">
        <f>P5-P6</f>
        <v/>
      </c>
      <c r="Q7" s="77">
        <f>Q5-Q6</f>
        <v/>
      </c>
      <c r="R7" s="77">
        <f>R5-R6</f>
        <v/>
      </c>
      <c r="S7" s="77">
        <f>S5-S6</f>
        <v/>
      </c>
      <c r="T7" s="77">
        <f>T5-T6</f>
        <v/>
      </c>
      <c r="U7" s="77">
        <f>U5-U6</f>
        <v/>
      </c>
      <c r="V7" s="77">
        <f>V5-V6</f>
        <v/>
      </c>
      <c r="W7" s="77">
        <f>W5-W6</f>
        <v/>
      </c>
      <c r="X7" s="77">
        <f>X5-X6</f>
        <v/>
      </c>
      <c r="Y7" s="77">
        <f>Y5-Y6</f>
        <v/>
      </c>
      <c r="Z7" s="77">
        <f>Z5-Z6</f>
        <v/>
      </c>
      <c r="AA7" s="77">
        <f>AA5-AA6</f>
        <v/>
      </c>
      <c r="AB7" s="77">
        <f>AB5-AB6</f>
        <v/>
      </c>
      <c r="AC7" s="77">
        <f>AC5-AC6</f>
        <v/>
      </c>
      <c r="AD7" s="77">
        <f>AD5-AD6</f>
        <v/>
      </c>
      <c r="AE7" s="77">
        <f>AE5-AE6</f>
        <v/>
      </c>
      <c r="AF7" s="77">
        <f>AF5-AF6</f>
        <v/>
      </c>
      <c r="AG7" s="77">
        <f>AG5-AG6</f>
        <v/>
      </c>
      <c r="AH7" s="77">
        <f>AH5-AH6</f>
        <v/>
      </c>
      <c r="AI7" s="77">
        <f>AI5-AI6</f>
        <v/>
      </c>
      <c r="AJ7" s="77">
        <f>AJ5-AJ6</f>
        <v/>
      </c>
      <c r="AK7" s="77">
        <f>AK5-AK6</f>
        <v/>
      </c>
      <c r="AL7" s="77">
        <f>AL5-AL6</f>
        <v/>
      </c>
      <c r="AM7" s="77">
        <f>AM5-AM6</f>
        <v/>
      </c>
      <c r="AN7" s="77">
        <f>AN5-AN6</f>
        <v/>
      </c>
      <c r="AO7" s="77">
        <f>AO5-AO6</f>
        <v/>
      </c>
      <c r="AP7" s="77">
        <f>AP5-AP6</f>
        <v/>
      </c>
      <c r="AQ7" s="77">
        <f>AQ5-AQ6</f>
        <v/>
      </c>
      <c r="AR7" s="77">
        <f>AR5-AR6</f>
        <v/>
      </c>
      <c r="AS7" s="77">
        <f>AS5-AS6</f>
        <v/>
      </c>
      <c r="AT7" s="77">
        <f>AT5-AT6</f>
        <v/>
      </c>
      <c r="AU7" s="77">
        <f>AU5-AU6</f>
        <v/>
      </c>
      <c r="AV7" s="77">
        <f>AV5-AV6</f>
        <v/>
      </c>
      <c r="AW7" s="77">
        <f>AW5-AW6</f>
        <v/>
      </c>
      <c r="AX7" s="77">
        <f>AX5-AX6</f>
        <v/>
      </c>
      <c r="AY7" s="77">
        <f>AY5-AY6</f>
        <v/>
      </c>
      <c r="AZ7" s="77">
        <f>AZ5-AZ6</f>
        <v/>
      </c>
      <c r="BA7" s="77">
        <f>BA5-BA6</f>
        <v/>
      </c>
      <c r="BB7" s="77">
        <f>BB5-BB6</f>
        <v/>
      </c>
      <c r="BC7" s="77">
        <f>BC5-BC6</f>
        <v/>
      </c>
      <c r="BD7" s="77">
        <f>BD5-BD6</f>
        <v/>
      </c>
      <c r="BE7" s="77">
        <f>BE5-BE6</f>
        <v/>
      </c>
      <c r="BF7" s="77">
        <f>BF5-BF6</f>
        <v/>
      </c>
      <c r="BG7" s="77">
        <f>BG5-BG6</f>
        <v/>
      </c>
      <c r="BH7" s="77">
        <f>BH5-BH6</f>
        <v/>
      </c>
      <c r="BI7" s="77">
        <f>BI5-BI6</f>
        <v/>
      </c>
      <c r="BJ7" s="77">
        <f>BJ5-BJ6</f>
        <v/>
      </c>
      <c r="BK7" s="77">
        <f>BK5-BK6</f>
        <v/>
      </c>
      <c r="BL7" s="77">
        <f>BL5-BL6</f>
        <v/>
      </c>
      <c r="BM7" s="77">
        <f>BM5-BM6</f>
        <v/>
      </c>
      <c r="BN7" s="77">
        <f>BN5-BN6</f>
        <v/>
      </c>
      <c r="BO7" s="77">
        <f>BO5-BO6</f>
        <v/>
      </c>
      <c r="BP7" s="77">
        <f>BP5-BP6</f>
        <v/>
      </c>
      <c r="BQ7" s="77">
        <f>BQ5-BQ6</f>
        <v/>
      </c>
      <c r="BR7" s="77">
        <f>BR5-BR6</f>
        <v/>
      </c>
      <c r="BS7" s="77">
        <f>BS5-BS6</f>
        <v/>
      </c>
      <c r="BT7" s="77">
        <f>BT5-BT6</f>
        <v/>
      </c>
      <c r="BU7" s="77">
        <f>BU5-BU6</f>
        <v/>
      </c>
      <c r="BV7" s="77">
        <f>BV5-BV6</f>
        <v/>
      </c>
      <c r="BW7" s="77">
        <f>BW5-BW6</f>
        <v/>
      </c>
      <c r="BX7" s="77">
        <f>BX5-BX6</f>
        <v/>
      </c>
      <c r="BY7" s="77">
        <f>BY5-BY6</f>
        <v/>
      </c>
      <c r="BZ7" s="77">
        <f>BZ5-BZ6</f>
        <v/>
      </c>
      <c r="CA7" s="77">
        <f>CA5-CA6</f>
        <v/>
      </c>
      <c r="CB7" s="77">
        <f>CB5-CB6</f>
        <v/>
      </c>
      <c r="CC7" s="77">
        <f>CC5-CC6</f>
        <v/>
      </c>
      <c r="CD7" s="77">
        <f>CD5-CD6</f>
        <v/>
      </c>
    </row>
    <row r="9">
      <c r="A9" t="inlineStr">
        <is>
          <t>DSRA Funding/(Release) or LC Fee ($) — linked from Calc_Financing_Ops</t>
        </is>
      </c>
      <c r="C9" s="72">
        <f>Calc_Financing_Ops!C30</f>
        <v/>
      </c>
      <c r="D9" s="72">
        <f>Calc_Financing_Ops!D30</f>
        <v/>
      </c>
      <c r="E9" s="72">
        <f>Calc_Financing_Ops!E30</f>
        <v/>
      </c>
      <c r="F9" s="72">
        <f>Calc_Financing_Ops!F30</f>
        <v/>
      </c>
      <c r="G9" s="72">
        <f>Calc_Financing_Ops!G30</f>
        <v/>
      </c>
      <c r="H9" s="72">
        <f>Calc_Financing_Ops!H30</f>
        <v/>
      </c>
      <c r="I9" s="72">
        <f>Calc_Financing_Ops!I30</f>
        <v/>
      </c>
      <c r="J9" s="72">
        <f>Calc_Financing_Ops!J30</f>
        <v/>
      </c>
      <c r="K9" s="72">
        <f>Calc_Financing_Ops!K30</f>
        <v/>
      </c>
      <c r="L9" s="72">
        <f>Calc_Financing_Ops!L30</f>
        <v/>
      </c>
      <c r="M9" s="72">
        <f>Calc_Financing_Ops!M30</f>
        <v/>
      </c>
      <c r="N9" s="72">
        <f>Calc_Financing_Ops!N30</f>
        <v/>
      </c>
      <c r="O9" s="72">
        <f>Calc_Financing_Ops!O30</f>
        <v/>
      </c>
      <c r="P9" s="72">
        <f>Calc_Financing_Ops!P30</f>
        <v/>
      </c>
      <c r="Q9" s="72">
        <f>Calc_Financing_Ops!Q30</f>
        <v/>
      </c>
      <c r="R9" s="72">
        <f>Calc_Financing_Ops!R30</f>
        <v/>
      </c>
      <c r="S9" s="72">
        <f>Calc_Financing_Ops!S30</f>
        <v/>
      </c>
      <c r="T9" s="72">
        <f>Calc_Financing_Ops!T30</f>
        <v/>
      </c>
      <c r="U9" s="72">
        <f>Calc_Financing_Ops!U30</f>
        <v/>
      </c>
      <c r="V9" s="72">
        <f>Calc_Financing_Ops!V30</f>
        <v/>
      </c>
      <c r="W9" s="72">
        <f>Calc_Financing_Ops!W30</f>
        <v/>
      </c>
      <c r="X9" s="72">
        <f>Calc_Financing_Ops!X30</f>
        <v/>
      </c>
      <c r="Y9" s="72">
        <f>Calc_Financing_Ops!Y30</f>
        <v/>
      </c>
      <c r="Z9" s="72">
        <f>Calc_Financing_Ops!Z30</f>
        <v/>
      </c>
      <c r="AA9" s="72">
        <f>Calc_Financing_Ops!AA30</f>
        <v/>
      </c>
      <c r="AB9" s="72">
        <f>Calc_Financing_Ops!AB30</f>
        <v/>
      </c>
      <c r="AC9" s="72">
        <f>Calc_Financing_Ops!AC30</f>
        <v/>
      </c>
      <c r="AD9" s="72">
        <f>Calc_Financing_Ops!AD30</f>
        <v/>
      </c>
      <c r="AE9" s="72">
        <f>Calc_Financing_Ops!AE30</f>
        <v/>
      </c>
      <c r="AF9" s="72">
        <f>Calc_Financing_Ops!AF30</f>
        <v/>
      </c>
      <c r="AG9" s="72">
        <f>Calc_Financing_Ops!AG30</f>
        <v/>
      </c>
      <c r="AH9" s="72">
        <f>Calc_Financing_Ops!AH30</f>
        <v/>
      </c>
      <c r="AI9" s="72">
        <f>Calc_Financing_Ops!AI30</f>
        <v/>
      </c>
      <c r="AJ9" s="72">
        <f>Calc_Financing_Ops!AJ30</f>
        <v/>
      </c>
      <c r="AK9" s="72">
        <f>Calc_Financing_Ops!AK30</f>
        <v/>
      </c>
      <c r="AL9" s="72">
        <f>Calc_Financing_Ops!AL30</f>
        <v/>
      </c>
      <c r="AM9" s="72">
        <f>Calc_Financing_Ops!AM30</f>
        <v/>
      </c>
      <c r="AN9" s="72">
        <f>Calc_Financing_Ops!AN30</f>
        <v/>
      </c>
      <c r="AO9" s="72">
        <f>Calc_Financing_Ops!AO30</f>
        <v/>
      </c>
      <c r="AP9" s="72">
        <f>Calc_Financing_Ops!AP30</f>
        <v/>
      </c>
      <c r="AQ9" s="72">
        <f>Calc_Financing_Ops!AQ30</f>
        <v/>
      </c>
      <c r="AR9" s="72">
        <f>Calc_Financing_Ops!AR30</f>
        <v/>
      </c>
      <c r="AS9" s="72">
        <f>Calc_Financing_Ops!AS30</f>
        <v/>
      </c>
      <c r="AT9" s="72">
        <f>Calc_Financing_Ops!AT30</f>
        <v/>
      </c>
      <c r="AU9" s="72">
        <f>Calc_Financing_Ops!AU30</f>
        <v/>
      </c>
      <c r="AV9" s="72">
        <f>Calc_Financing_Ops!AV30</f>
        <v/>
      </c>
      <c r="AW9" s="72">
        <f>Calc_Financing_Ops!AW30</f>
        <v/>
      </c>
      <c r="AX9" s="72">
        <f>Calc_Financing_Ops!AX30</f>
        <v/>
      </c>
      <c r="AY9" s="72">
        <f>Calc_Financing_Ops!AY30</f>
        <v/>
      </c>
      <c r="AZ9" s="72">
        <f>Calc_Financing_Ops!AZ30</f>
        <v/>
      </c>
      <c r="BA9" s="72">
        <f>Calc_Financing_Ops!BA30</f>
        <v/>
      </c>
      <c r="BB9" s="72">
        <f>Calc_Financing_Ops!BB30</f>
        <v/>
      </c>
      <c r="BC9" s="72">
        <f>Calc_Financing_Ops!BC30</f>
        <v/>
      </c>
      <c r="BD9" s="72">
        <f>Calc_Financing_Ops!BD30</f>
        <v/>
      </c>
      <c r="BE9" s="72">
        <f>Calc_Financing_Ops!BE30</f>
        <v/>
      </c>
      <c r="BF9" s="72">
        <f>Calc_Financing_Ops!BF30</f>
        <v/>
      </c>
      <c r="BG9" s="72">
        <f>Calc_Financing_Ops!BG30</f>
        <v/>
      </c>
      <c r="BH9" s="72">
        <f>Calc_Financing_Ops!BH30</f>
        <v/>
      </c>
      <c r="BI9" s="72">
        <f>Calc_Financing_Ops!BI30</f>
        <v/>
      </c>
      <c r="BJ9" s="72">
        <f>Calc_Financing_Ops!BJ30</f>
        <v/>
      </c>
      <c r="BK9" s="72">
        <f>Calc_Financing_Ops!BK30</f>
        <v/>
      </c>
      <c r="BL9" s="72">
        <f>Calc_Financing_Ops!BL30</f>
        <v/>
      </c>
      <c r="BM9" s="72">
        <f>Calc_Financing_Ops!BM30</f>
        <v/>
      </c>
      <c r="BN9" s="72">
        <f>Calc_Financing_Ops!BN30</f>
        <v/>
      </c>
      <c r="BO9" s="72">
        <f>Calc_Financing_Ops!BO30</f>
        <v/>
      </c>
      <c r="BP9" s="72">
        <f>Calc_Financing_Ops!BP30</f>
        <v/>
      </c>
      <c r="BQ9" s="72">
        <f>Calc_Financing_Ops!BQ30</f>
        <v/>
      </c>
      <c r="BR9" s="72">
        <f>Calc_Financing_Ops!BR30</f>
        <v/>
      </c>
      <c r="BS9" s="72">
        <f>Calc_Financing_Ops!BS30</f>
        <v/>
      </c>
      <c r="BT9" s="72">
        <f>Calc_Financing_Ops!BT30</f>
        <v/>
      </c>
      <c r="BU9" s="72">
        <f>Calc_Financing_Ops!BU30</f>
        <v/>
      </c>
      <c r="BV9" s="72">
        <f>Calc_Financing_Ops!BV30</f>
        <v/>
      </c>
      <c r="BW9" s="72">
        <f>Calc_Financing_Ops!BW30</f>
        <v/>
      </c>
      <c r="BX9" s="72">
        <f>Calc_Financing_Ops!BX30</f>
        <v/>
      </c>
      <c r="BY9" s="72">
        <f>Calc_Financing_Ops!BY30</f>
        <v/>
      </c>
      <c r="BZ9" s="72">
        <f>Calc_Financing_Ops!BZ30</f>
        <v/>
      </c>
      <c r="CA9" s="72">
        <f>Calc_Financing_Ops!CA30</f>
        <v/>
      </c>
      <c r="CB9" s="72">
        <f>Calc_Financing_Ops!CB30</f>
        <v/>
      </c>
      <c r="CC9" s="72">
        <f>Calc_Financing_Ops!CC30</f>
        <v/>
      </c>
      <c r="CD9" s="72">
        <f>Calc_Financing_Ops!CD30</f>
        <v/>
      </c>
    </row>
    <row r="11">
      <c r="A11" t="inlineStr">
        <is>
          <t>Maintenance Capex ($) — linked from Calc_Revenue_Opex</t>
        </is>
      </c>
      <c r="C11" s="72">
        <f>Calc_Revenue_Opex!C16</f>
        <v/>
      </c>
      <c r="D11" s="72">
        <f>Calc_Revenue_Opex!D16</f>
        <v/>
      </c>
      <c r="E11" s="72">
        <f>Calc_Revenue_Opex!E16</f>
        <v/>
      </c>
      <c r="F11" s="72">
        <f>Calc_Revenue_Opex!F16</f>
        <v/>
      </c>
      <c r="G11" s="72">
        <f>Calc_Revenue_Opex!G16</f>
        <v/>
      </c>
      <c r="H11" s="72">
        <f>Calc_Revenue_Opex!H16</f>
        <v/>
      </c>
      <c r="I11" s="72">
        <f>Calc_Revenue_Opex!I16</f>
        <v/>
      </c>
      <c r="J11" s="72">
        <f>Calc_Revenue_Opex!J16</f>
        <v/>
      </c>
      <c r="K11" s="72">
        <f>Calc_Revenue_Opex!K16</f>
        <v/>
      </c>
      <c r="L11" s="72">
        <f>Calc_Revenue_Opex!L16</f>
        <v/>
      </c>
      <c r="M11" s="72">
        <f>Calc_Revenue_Opex!M16</f>
        <v/>
      </c>
      <c r="N11" s="72">
        <f>Calc_Revenue_Opex!N16</f>
        <v/>
      </c>
      <c r="O11" s="72">
        <f>Calc_Revenue_Opex!O16</f>
        <v/>
      </c>
      <c r="P11" s="72">
        <f>Calc_Revenue_Opex!P16</f>
        <v/>
      </c>
      <c r="Q11" s="72">
        <f>Calc_Revenue_Opex!Q16</f>
        <v/>
      </c>
      <c r="R11" s="72">
        <f>Calc_Revenue_Opex!R16</f>
        <v/>
      </c>
      <c r="S11" s="72">
        <f>Calc_Revenue_Opex!S16</f>
        <v/>
      </c>
      <c r="T11" s="72">
        <f>Calc_Revenue_Opex!T16</f>
        <v/>
      </c>
      <c r="U11" s="72">
        <f>Calc_Revenue_Opex!U16</f>
        <v/>
      </c>
      <c r="V11" s="72">
        <f>Calc_Revenue_Opex!V16</f>
        <v/>
      </c>
      <c r="W11" s="72">
        <f>Calc_Revenue_Opex!W16</f>
        <v/>
      </c>
      <c r="X11" s="72">
        <f>Calc_Revenue_Opex!X16</f>
        <v/>
      </c>
      <c r="Y11" s="72">
        <f>Calc_Revenue_Opex!Y16</f>
        <v/>
      </c>
      <c r="Z11" s="72">
        <f>Calc_Revenue_Opex!Z16</f>
        <v/>
      </c>
      <c r="AA11" s="72">
        <f>Calc_Revenue_Opex!AA16</f>
        <v/>
      </c>
      <c r="AB11" s="72">
        <f>Calc_Revenue_Opex!AB16</f>
        <v/>
      </c>
      <c r="AC11" s="72">
        <f>Calc_Revenue_Opex!AC16</f>
        <v/>
      </c>
      <c r="AD11" s="72">
        <f>Calc_Revenue_Opex!AD16</f>
        <v/>
      </c>
      <c r="AE11" s="72">
        <f>Calc_Revenue_Opex!AE16</f>
        <v/>
      </c>
      <c r="AF11" s="72">
        <f>Calc_Revenue_Opex!AF16</f>
        <v/>
      </c>
      <c r="AG11" s="72">
        <f>Calc_Revenue_Opex!AG16</f>
        <v/>
      </c>
      <c r="AH11" s="72">
        <f>Calc_Revenue_Opex!AH16</f>
        <v/>
      </c>
      <c r="AI11" s="72">
        <f>Calc_Revenue_Opex!AI16</f>
        <v/>
      </c>
      <c r="AJ11" s="72">
        <f>Calc_Revenue_Opex!AJ16</f>
        <v/>
      </c>
      <c r="AK11" s="72">
        <f>Calc_Revenue_Opex!AK16</f>
        <v/>
      </c>
      <c r="AL11" s="72">
        <f>Calc_Revenue_Opex!AL16</f>
        <v/>
      </c>
      <c r="AM11" s="72">
        <f>Calc_Revenue_Opex!AM16</f>
        <v/>
      </c>
      <c r="AN11" s="72">
        <f>Calc_Revenue_Opex!AN16</f>
        <v/>
      </c>
      <c r="AO11" s="72">
        <f>Calc_Revenue_Opex!AO16</f>
        <v/>
      </c>
      <c r="AP11" s="72">
        <f>Calc_Revenue_Opex!AP16</f>
        <v/>
      </c>
      <c r="AQ11" s="72">
        <f>Calc_Revenue_Opex!AQ16</f>
        <v/>
      </c>
      <c r="AR11" s="72">
        <f>Calc_Revenue_Opex!AR16</f>
        <v/>
      </c>
      <c r="AS11" s="72">
        <f>Calc_Revenue_Opex!AS16</f>
        <v/>
      </c>
      <c r="AT11" s="72">
        <f>Calc_Revenue_Opex!AT16</f>
        <v/>
      </c>
      <c r="AU11" s="72">
        <f>Calc_Revenue_Opex!AU16</f>
        <v/>
      </c>
      <c r="AV11" s="72">
        <f>Calc_Revenue_Opex!AV16</f>
        <v/>
      </c>
      <c r="AW11" s="72">
        <f>Calc_Revenue_Opex!AW16</f>
        <v/>
      </c>
      <c r="AX11" s="72">
        <f>Calc_Revenue_Opex!AX16</f>
        <v/>
      </c>
      <c r="AY11" s="72">
        <f>Calc_Revenue_Opex!AY16</f>
        <v/>
      </c>
      <c r="AZ11" s="72">
        <f>Calc_Revenue_Opex!AZ16</f>
        <v/>
      </c>
      <c r="BA11" s="72">
        <f>Calc_Revenue_Opex!BA16</f>
        <v/>
      </c>
      <c r="BB11" s="72">
        <f>Calc_Revenue_Opex!BB16</f>
        <v/>
      </c>
      <c r="BC11" s="72">
        <f>Calc_Revenue_Opex!BC16</f>
        <v/>
      </c>
      <c r="BD11" s="72">
        <f>Calc_Revenue_Opex!BD16</f>
        <v/>
      </c>
      <c r="BE11" s="72">
        <f>Calc_Revenue_Opex!BE16</f>
        <v/>
      </c>
      <c r="BF11" s="72">
        <f>Calc_Revenue_Opex!BF16</f>
        <v/>
      </c>
      <c r="BG11" s="72">
        <f>Calc_Revenue_Opex!BG16</f>
        <v/>
      </c>
      <c r="BH11" s="72">
        <f>Calc_Revenue_Opex!BH16</f>
        <v/>
      </c>
      <c r="BI11" s="72">
        <f>Calc_Revenue_Opex!BI16</f>
        <v/>
      </c>
      <c r="BJ11" s="72">
        <f>Calc_Revenue_Opex!BJ16</f>
        <v/>
      </c>
      <c r="BK11" s="72">
        <f>Calc_Revenue_Opex!BK16</f>
        <v/>
      </c>
      <c r="BL11" s="72">
        <f>Calc_Revenue_Opex!BL16</f>
        <v/>
      </c>
      <c r="BM11" s="72">
        <f>Calc_Revenue_Opex!BM16</f>
        <v/>
      </c>
      <c r="BN11" s="72">
        <f>Calc_Revenue_Opex!BN16</f>
        <v/>
      </c>
      <c r="BO11" s="72">
        <f>Calc_Revenue_Opex!BO16</f>
        <v/>
      </c>
      <c r="BP11" s="72">
        <f>Calc_Revenue_Opex!BP16</f>
        <v/>
      </c>
      <c r="BQ11" s="72">
        <f>Calc_Revenue_Opex!BQ16</f>
        <v/>
      </c>
      <c r="BR11" s="72">
        <f>Calc_Revenue_Opex!BR16</f>
        <v/>
      </c>
      <c r="BS11" s="72">
        <f>Calc_Revenue_Opex!BS16</f>
        <v/>
      </c>
      <c r="BT11" s="72">
        <f>Calc_Revenue_Opex!BT16</f>
        <v/>
      </c>
      <c r="BU11" s="72">
        <f>Calc_Revenue_Opex!BU16</f>
        <v/>
      </c>
      <c r="BV11" s="72">
        <f>Calc_Revenue_Opex!BV16</f>
        <v/>
      </c>
      <c r="BW11" s="72">
        <f>Calc_Revenue_Opex!BW16</f>
        <v/>
      </c>
      <c r="BX11" s="72">
        <f>Calc_Revenue_Opex!BX16</f>
        <v/>
      </c>
      <c r="BY11" s="72">
        <f>Calc_Revenue_Opex!BY16</f>
        <v/>
      </c>
      <c r="BZ11" s="72">
        <f>Calc_Revenue_Opex!BZ16</f>
        <v/>
      </c>
      <c r="CA11" s="72">
        <f>Calc_Revenue_Opex!CA16</f>
        <v/>
      </c>
      <c r="CB11" s="72">
        <f>Calc_Revenue_Opex!CB16</f>
        <v/>
      </c>
      <c r="CC11" s="72">
        <f>Calc_Revenue_Opex!CC16</f>
        <v/>
      </c>
      <c r="CD11" s="72">
        <f>Calc_Revenue_Opex!CD16</f>
        <v/>
      </c>
    </row>
    <row r="12">
      <c r="A12" t="inlineStr">
        <is>
          <t>MRA Target ($) = next 4 quarters' maintenance capex</t>
        </is>
      </c>
      <c r="C12" s="77">
        <f>SUM(D11:G11)</f>
        <v/>
      </c>
      <c r="D12" s="77">
        <f>SUM(E11:H11)</f>
        <v/>
      </c>
      <c r="E12" s="77">
        <f>SUM(F11:I11)</f>
        <v/>
      </c>
      <c r="F12" s="77">
        <f>SUM(G11:J11)</f>
        <v/>
      </c>
      <c r="G12" s="77">
        <f>SUM(H11:K11)</f>
        <v/>
      </c>
      <c r="H12" s="77">
        <f>SUM(I11:L11)</f>
        <v/>
      </c>
      <c r="I12" s="77">
        <f>SUM(J11:M11)</f>
        <v/>
      </c>
      <c r="J12" s="77">
        <f>SUM(K11:N11)</f>
        <v/>
      </c>
      <c r="K12" s="77">
        <f>SUM(L11:O11)</f>
        <v/>
      </c>
      <c r="L12" s="77">
        <f>SUM(M11:P11)</f>
        <v/>
      </c>
      <c r="M12" s="77">
        <f>SUM(N11:Q11)</f>
        <v/>
      </c>
      <c r="N12" s="77">
        <f>SUM(O11:R11)</f>
        <v/>
      </c>
      <c r="O12" s="77">
        <f>SUM(P11:S11)</f>
        <v/>
      </c>
      <c r="P12" s="77">
        <f>SUM(Q11:T11)</f>
        <v/>
      </c>
      <c r="Q12" s="77">
        <f>SUM(R11:U11)</f>
        <v/>
      </c>
      <c r="R12" s="77">
        <f>SUM(S11:V11)</f>
        <v/>
      </c>
      <c r="S12" s="77">
        <f>SUM(T11:W11)</f>
        <v/>
      </c>
      <c r="T12" s="77">
        <f>SUM(U11:X11)</f>
        <v/>
      </c>
      <c r="U12" s="77">
        <f>SUM(V11:Y11)</f>
        <v/>
      </c>
      <c r="V12" s="77">
        <f>SUM(W11:Z11)</f>
        <v/>
      </c>
      <c r="W12" s="77">
        <f>SUM(X11:AA11)</f>
        <v/>
      </c>
      <c r="X12" s="77">
        <f>SUM(Y11:AB11)</f>
        <v/>
      </c>
      <c r="Y12" s="77">
        <f>SUM(Z11:AC11)</f>
        <v/>
      </c>
      <c r="Z12" s="77">
        <f>SUM(AA11:AD11)</f>
        <v/>
      </c>
      <c r="AA12" s="77">
        <f>SUM(AB11:AE11)</f>
        <v/>
      </c>
      <c r="AB12" s="77">
        <f>SUM(AC11:AF11)</f>
        <v/>
      </c>
      <c r="AC12" s="77">
        <f>SUM(AD11:AG11)</f>
        <v/>
      </c>
      <c r="AD12" s="77">
        <f>SUM(AE11:AH11)</f>
        <v/>
      </c>
      <c r="AE12" s="77">
        <f>SUM(AF11:AI11)</f>
        <v/>
      </c>
      <c r="AF12" s="77">
        <f>SUM(AG11:AJ11)</f>
        <v/>
      </c>
      <c r="AG12" s="77">
        <f>SUM(AH11:AK11)</f>
        <v/>
      </c>
      <c r="AH12" s="77">
        <f>SUM(AI11:AL11)</f>
        <v/>
      </c>
      <c r="AI12" s="77">
        <f>SUM(AJ11:AM11)</f>
        <v/>
      </c>
      <c r="AJ12" s="77">
        <f>SUM(AK11:AN11)</f>
        <v/>
      </c>
      <c r="AK12" s="77">
        <f>SUM(AL11:AO11)</f>
        <v/>
      </c>
      <c r="AL12" s="77">
        <f>SUM(AM11:AP11)</f>
        <v/>
      </c>
      <c r="AM12" s="77">
        <f>SUM(AN11:AQ11)</f>
        <v/>
      </c>
      <c r="AN12" s="77">
        <f>SUM(AO11:AR11)</f>
        <v/>
      </c>
      <c r="AO12" s="77">
        <f>SUM(AP11:AS11)</f>
        <v/>
      </c>
      <c r="AP12" s="77">
        <f>SUM(AQ11:AT11)</f>
        <v/>
      </c>
      <c r="AQ12" s="77">
        <f>SUM(AR11:AU11)</f>
        <v/>
      </c>
      <c r="AR12" s="77">
        <f>SUM(AS11:AV11)</f>
        <v/>
      </c>
      <c r="AS12" s="77">
        <f>SUM(AT11:AW11)</f>
        <v/>
      </c>
      <c r="AT12" s="77">
        <f>SUM(AU11:AX11)</f>
        <v/>
      </c>
      <c r="AU12" s="77">
        <f>SUM(AV11:AY11)</f>
        <v/>
      </c>
      <c r="AV12" s="77">
        <f>SUM(AW11:AZ11)</f>
        <v/>
      </c>
      <c r="AW12" s="77">
        <f>SUM(AX11:BA11)</f>
        <v/>
      </c>
      <c r="AX12" s="77">
        <f>SUM(AY11:BB11)</f>
        <v/>
      </c>
      <c r="AY12" s="77">
        <f>SUM(AZ11:BC11)</f>
        <v/>
      </c>
      <c r="AZ12" s="77">
        <f>SUM(BA11:BD11)</f>
        <v/>
      </c>
      <c r="BA12" s="77">
        <f>SUM(BB11:BE11)</f>
        <v/>
      </c>
      <c r="BB12" s="77">
        <f>SUM(BC11:BF11)</f>
        <v/>
      </c>
      <c r="BC12" s="77">
        <f>SUM(BD11:BG11)</f>
        <v/>
      </c>
      <c r="BD12" s="77">
        <f>SUM(BE11:BH11)</f>
        <v/>
      </c>
      <c r="BE12" s="77">
        <f>SUM(BF11:BI11)</f>
        <v/>
      </c>
      <c r="BF12" s="77">
        <f>SUM(BG11:BJ11)</f>
        <v/>
      </c>
      <c r="BG12" s="77">
        <f>SUM(BH11:BK11)</f>
        <v/>
      </c>
      <c r="BH12" s="77">
        <f>SUM(BI11:BL11)</f>
        <v/>
      </c>
      <c r="BI12" s="77">
        <f>SUM(BJ11:BM11)</f>
        <v/>
      </c>
      <c r="BJ12" s="77">
        <f>SUM(BK11:BN11)</f>
        <v/>
      </c>
      <c r="BK12" s="77">
        <f>SUM(BL11:BO11)</f>
        <v/>
      </c>
      <c r="BL12" s="77">
        <f>SUM(BM11:BP11)</f>
        <v/>
      </c>
      <c r="BM12" s="77">
        <f>SUM(BN11:BQ11)</f>
        <v/>
      </c>
      <c r="BN12" s="77">
        <f>SUM(BO11:BR11)</f>
        <v/>
      </c>
      <c r="BO12" s="77">
        <f>SUM(BP11:BS11)</f>
        <v/>
      </c>
      <c r="BP12" s="77">
        <f>SUM(BQ11:BT11)</f>
        <v/>
      </c>
      <c r="BQ12" s="77">
        <f>SUM(BR11:BU11)</f>
        <v/>
      </c>
      <c r="BR12" s="77">
        <f>SUM(BS11:BV11)</f>
        <v/>
      </c>
      <c r="BS12" s="77">
        <f>SUM(BT11:BW11)</f>
        <v/>
      </c>
      <c r="BT12" s="77">
        <f>SUM(BU11:BX11)</f>
        <v/>
      </c>
      <c r="BU12" s="77">
        <f>SUM(BV11:BY11)</f>
        <v/>
      </c>
      <c r="BV12" s="77">
        <f>SUM(BW11:BZ11)</f>
        <v/>
      </c>
      <c r="BW12" s="77">
        <f>SUM(BX11:CA11)</f>
        <v/>
      </c>
      <c r="BX12" s="77">
        <f>SUM(BY11:CB11)</f>
        <v/>
      </c>
      <c r="BY12" s="77">
        <f>SUM(BZ11:CC11)</f>
        <v/>
      </c>
      <c r="BZ12" s="77">
        <f>SUM(CA11:CD11)</f>
        <v/>
      </c>
      <c r="CA12" s="77">
        <f>SUM(CB11:CD11)</f>
        <v/>
      </c>
      <c r="CB12" s="77">
        <f>SUM(CC11:CD11)</f>
        <v/>
      </c>
      <c r="CC12" s="77">
        <f>SUM(CD11:CD11)</f>
        <v/>
      </c>
      <c r="CD12" s="77">
        <f>0</f>
        <v/>
      </c>
    </row>
    <row r="13">
      <c r="A13" t="inlineStr">
        <is>
          <t>MRA Balance ($)</t>
        </is>
      </c>
      <c r="C13" s="77">
        <f>C12</f>
        <v/>
      </c>
      <c r="D13" s="77">
        <f>D12</f>
        <v/>
      </c>
      <c r="E13" s="77">
        <f>E12</f>
        <v/>
      </c>
      <c r="F13" s="77">
        <f>F12</f>
        <v/>
      </c>
      <c r="G13" s="77">
        <f>G12</f>
        <v/>
      </c>
      <c r="H13" s="77">
        <f>H12</f>
        <v/>
      </c>
      <c r="I13" s="77">
        <f>I12</f>
        <v/>
      </c>
      <c r="J13" s="77">
        <f>J12</f>
        <v/>
      </c>
      <c r="K13" s="77">
        <f>K12</f>
        <v/>
      </c>
      <c r="L13" s="77">
        <f>L12</f>
        <v/>
      </c>
      <c r="M13" s="77">
        <f>M12</f>
        <v/>
      </c>
      <c r="N13" s="77">
        <f>N12</f>
        <v/>
      </c>
      <c r="O13" s="77">
        <f>O12</f>
        <v/>
      </c>
      <c r="P13" s="77">
        <f>P12</f>
        <v/>
      </c>
      <c r="Q13" s="77">
        <f>Q12</f>
        <v/>
      </c>
      <c r="R13" s="77">
        <f>R12</f>
        <v/>
      </c>
      <c r="S13" s="77">
        <f>S12</f>
        <v/>
      </c>
      <c r="T13" s="77">
        <f>T12</f>
        <v/>
      </c>
      <c r="U13" s="77">
        <f>U12</f>
        <v/>
      </c>
      <c r="V13" s="77">
        <f>V12</f>
        <v/>
      </c>
      <c r="W13" s="77">
        <f>W12</f>
        <v/>
      </c>
      <c r="X13" s="77">
        <f>X12</f>
        <v/>
      </c>
      <c r="Y13" s="77">
        <f>Y12</f>
        <v/>
      </c>
      <c r="Z13" s="77">
        <f>Z12</f>
        <v/>
      </c>
      <c r="AA13" s="77">
        <f>AA12</f>
        <v/>
      </c>
      <c r="AB13" s="77">
        <f>AB12</f>
        <v/>
      </c>
      <c r="AC13" s="77">
        <f>AC12</f>
        <v/>
      </c>
      <c r="AD13" s="77">
        <f>AD12</f>
        <v/>
      </c>
      <c r="AE13" s="77">
        <f>AE12</f>
        <v/>
      </c>
      <c r="AF13" s="77">
        <f>AF12</f>
        <v/>
      </c>
      <c r="AG13" s="77">
        <f>AG12</f>
        <v/>
      </c>
      <c r="AH13" s="77">
        <f>AH12</f>
        <v/>
      </c>
      <c r="AI13" s="77">
        <f>AI12</f>
        <v/>
      </c>
      <c r="AJ13" s="77">
        <f>AJ12</f>
        <v/>
      </c>
      <c r="AK13" s="77">
        <f>AK12</f>
        <v/>
      </c>
      <c r="AL13" s="77">
        <f>AL12</f>
        <v/>
      </c>
      <c r="AM13" s="77">
        <f>AM12</f>
        <v/>
      </c>
      <c r="AN13" s="77">
        <f>AN12</f>
        <v/>
      </c>
      <c r="AO13" s="77">
        <f>AO12</f>
        <v/>
      </c>
      <c r="AP13" s="77">
        <f>AP12</f>
        <v/>
      </c>
      <c r="AQ13" s="77">
        <f>AQ12</f>
        <v/>
      </c>
      <c r="AR13" s="77">
        <f>AR12</f>
        <v/>
      </c>
      <c r="AS13" s="77">
        <f>AS12</f>
        <v/>
      </c>
      <c r="AT13" s="77">
        <f>AT12</f>
        <v/>
      </c>
      <c r="AU13" s="77">
        <f>AU12</f>
        <v/>
      </c>
      <c r="AV13" s="77">
        <f>AV12</f>
        <v/>
      </c>
      <c r="AW13" s="77">
        <f>AW12</f>
        <v/>
      </c>
      <c r="AX13" s="77">
        <f>AX12</f>
        <v/>
      </c>
      <c r="AY13" s="77">
        <f>AY12</f>
        <v/>
      </c>
      <c r="AZ13" s="77">
        <f>AZ12</f>
        <v/>
      </c>
      <c r="BA13" s="77">
        <f>BA12</f>
        <v/>
      </c>
      <c r="BB13" s="77">
        <f>BB12</f>
        <v/>
      </c>
      <c r="BC13" s="77">
        <f>BC12</f>
        <v/>
      </c>
      <c r="BD13" s="77">
        <f>BD12</f>
        <v/>
      </c>
      <c r="BE13" s="77">
        <f>BE12</f>
        <v/>
      </c>
      <c r="BF13" s="77">
        <f>BF12</f>
        <v/>
      </c>
      <c r="BG13" s="77">
        <f>BG12</f>
        <v/>
      </c>
      <c r="BH13" s="77">
        <f>BH12</f>
        <v/>
      </c>
      <c r="BI13" s="77">
        <f>BI12</f>
        <v/>
      </c>
      <c r="BJ13" s="77">
        <f>BJ12</f>
        <v/>
      </c>
      <c r="BK13" s="77">
        <f>BK12</f>
        <v/>
      </c>
      <c r="BL13" s="77">
        <f>BL12</f>
        <v/>
      </c>
      <c r="BM13" s="77">
        <f>BM12</f>
        <v/>
      </c>
      <c r="BN13" s="77">
        <f>BN12</f>
        <v/>
      </c>
      <c r="BO13" s="77">
        <f>BO12</f>
        <v/>
      </c>
      <c r="BP13" s="77">
        <f>BP12</f>
        <v/>
      </c>
      <c r="BQ13" s="77">
        <f>BQ12</f>
        <v/>
      </c>
      <c r="BR13" s="77">
        <f>BR12</f>
        <v/>
      </c>
      <c r="BS13" s="77">
        <f>BS12</f>
        <v/>
      </c>
      <c r="BT13" s="77">
        <f>BT12</f>
        <v/>
      </c>
      <c r="BU13" s="77">
        <f>BU12</f>
        <v/>
      </c>
      <c r="BV13" s="77">
        <f>BV12</f>
        <v/>
      </c>
      <c r="BW13" s="77">
        <f>BW12</f>
        <v/>
      </c>
      <c r="BX13" s="77">
        <f>BX12</f>
        <v/>
      </c>
      <c r="BY13" s="77">
        <f>BY12</f>
        <v/>
      </c>
      <c r="BZ13" s="77">
        <f>BZ12</f>
        <v/>
      </c>
      <c r="CA13" s="77">
        <f>CA12</f>
        <v/>
      </c>
      <c r="CB13" s="77">
        <f>CB12</f>
        <v/>
      </c>
      <c r="CC13" s="77">
        <f>CC12</f>
        <v/>
      </c>
      <c r="CD13" s="77">
        <f>CD12</f>
        <v/>
      </c>
    </row>
    <row r="14">
      <c r="A14" t="inlineStr">
        <is>
          <t>MRA Funding/(Release) ($) — releases as the spend it pre-funded lands</t>
        </is>
      </c>
      <c r="C14" s="77">
        <f>C13</f>
        <v/>
      </c>
      <c r="D14" s="77">
        <f>D13-C13</f>
        <v/>
      </c>
      <c r="E14" s="77">
        <f>E13-D13</f>
        <v/>
      </c>
      <c r="F14" s="77">
        <f>F13-E13</f>
        <v/>
      </c>
      <c r="G14" s="77">
        <f>G13-F13</f>
        <v/>
      </c>
      <c r="H14" s="77">
        <f>H13-G13</f>
        <v/>
      </c>
      <c r="I14" s="77">
        <f>I13-H13</f>
        <v/>
      </c>
      <c r="J14" s="77">
        <f>J13-I13</f>
        <v/>
      </c>
      <c r="K14" s="77">
        <f>K13-J13</f>
        <v/>
      </c>
      <c r="L14" s="77">
        <f>L13-K13</f>
        <v/>
      </c>
      <c r="M14" s="77">
        <f>M13-L13</f>
        <v/>
      </c>
      <c r="N14" s="77">
        <f>N13-M13</f>
        <v/>
      </c>
      <c r="O14" s="77">
        <f>O13-N13</f>
        <v/>
      </c>
      <c r="P14" s="77">
        <f>P13-O13</f>
        <v/>
      </c>
      <c r="Q14" s="77">
        <f>Q13-P13</f>
        <v/>
      </c>
      <c r="R14" s="77">
        <f>R13-Q13</f>
        <v/>
      </c>
      <c r="S14" s="77">
        <f>S13-R13</f>
        <v/>
      </c>
      <c r="T14" s="77">
        <f>T13-S13</f>
        <v/>
      </c>
      <c r="U14" s="77">
        <f>U13-T13</f>
        <v/>
      </c>
      <c r="V14" s="77">
        <f>V13-U13</f>
        <v/>
      </c>
      <c r="W14" s="77">
        <f>W13-V13</f>
        <v/>
      </c>
      <c r="X14" s="77">
        <f>X13-W13</f>
        <v/>
      </c>
      <c r="Y14" s="77">
        <f>Y13-X13</f>
        <v/>
      </c>
      <c r="Z14" s="77">
        <f>Z13-Y13</f>
        <v/>
      </c>
      <c r="AA14" s="77">
        <f>AA13-Z13</f>
        <v/>
      </c>
      <c r="AB14" s="77">
        <f>AB13-AA13</f>
        <v/>
      </c>
      <c r="AC14" s="77">
        <f>AC13-AB13</f>
        <v/>
      </c>
      <c r="AD14" s="77">
        <f>AD13-AC13</f>
        <v/>
      </c>
      <c r="AE14" s="77">
        <f>AE13-AD13</f>
        <v/>
      </c>
      <c r="AF14" s="77">
        <f>AF13-AE13</f>
        <v/>
      </c>
      <c r="AG14" s="77">
        <f>AG13-AF13</f>
        <v/>
      </c>
      <c r="AH14" s="77">
        <f>AH13-AG13</f>
        <v/>
      </c>
      <c r="AI14" s="77">
        <f>AI13-AH13</f>
        <v/>
      </c>
      <c r="AJ14" s="77">
        <f>AJ13-AI13</f>
        <v/>
      </c>
      <c r="AK14" s="77">
        <f>AK13-AJ13</f>
        <v/>
      </c>
      <c r="AL14" s="77">
        <f>AL13-AK13</f>
        <v/>
      </c>
      <c r="AM14" s="77">
        <f>AM13-AL13</f>
        <v/>
      </c>
      <c r="AN14" s="77">
        <f>AN13-AM13</f>
        <v/>
      </c>
      <c r="AO14" s="77">
        <f>AO13-AN13</f>
        <v/>
      </c>
      <c r="AP14" s="77">
        <f>AP13-AO13</f>
        <v/>
      </c>
      <c r="AQ14" s="77">
        <f>AQ13-AP13</f>
        <v/>
      </c>
      <c r="AR14" s="77">
        <f>AR13-AQ13</f>
        <v/>
      </c>
      <c r="AS14" s="77">
        <f>AS13-AR13</f>
        <v/>
      </c>
      <c r="AT14" s="77">
        <f>AT13-AS13</f>
        <v/>
      </c>
      <c r="AU14" s="77">
        <f>AU13-AT13</f>
        <v/>
      </c>
      <c r="AV14" s="77">
        <f>AV13-AU13</f>
        <v/>
      </c>
      <c r="AW14" s="77">
        <f>AW13-AV13</f>
        <v/>
      </c>
      <c r="AX14" s="77">
        <f>AX13-AW13</f>
        <v/>
      </c>
      <c r="AY14" s="77">
        <f>AY13-AX13</f>
        <v/>
      </c>
      <c r="AZ14" s="77">
        <f>AZ13-AY13</f>
        <v/>
      </c>
      <c r="BA14" s="77">
        <f>BA13-AZ13</f>
        <v/>
      </c>
      <c r="BB14" s="77">
        <f>BB13-BA13</f>
        <v/>
      </c>
      <c r="BC14" s="77">
        <f>BC13-BB13</f>
        <v/>
      </c>
      <c r="BD14" s="77">
        <f>BD13-BC13</f>
        <v/>
      </c>
      <c r="BE14" s="77">
        <f>BE13-BD13</f>
        <v/>
      </c>
      <c r="BF14" s="77">
        <f>BF13-BE13</f>
        <v/>
      </c>
      <c r="BG14" s="77">
        <f>BG13-BF13</f>
        <v/>
      </c>
      <c r="BH14" s="77">
        <f>BH13-BG13</f>
        <v/>
      </c>
      <c r="BI14" s="77">
        <f>BI13-BH13</f>
        <v/>
      </c>
      <c r="BJ14" s="77">
        <f>BJ13-BI13</f>
        <v/>
      </c>
      <c r="BK14" s="77">
        <f>BK13-BJ13</f>
        <v/>
      </c>
      <c r="BL14" s="77">
        <f>BL13-BK13</f>
        <v/>
      </c>
      <c r="BM14" s="77">
        <f>BM13-BL13</f>
        <v/>
      </c>
      <c r="BN14" s="77">
        <f>BN13-BM13</f>
        <v/>
      </c>
      <c r="BO14" s="77">
        <f>BO13-BN13</f>
        <v/>
      </c>
      <c r="BP14" s="77">
        <f>BP13-BO13</f>
        <v/>
      </c>
      <c r="BQ14" s="77">
        <f>BQ13-BP13</f>
        <v/>
      </c>
      <c r="BR14" s="77">
        <f>BR13-BQ13</f>
        <v/>
      </c>
      <c r="BS14" s="77">
        <f>BS13-BR13</f>
        <v/>
      </c>
      <c r="BT14" s="77">
        <f>BT13-BS13</f>
        <v/>
      </c>
      <c r="BU14" s="77">
        <f>BU13-BT13</f>
        <v/>
      </c>
      <c r="BV14" s="77">
        <f>BV13-BU13</f>
        <v/>
      </c>
      <c r="BW14" s="77">
        <f>BW13-BV13</f>
        <v/>
      </c>
      <c r="BX14" s="77">
        <f>BX13-BW13</f>
        <v/>
      </c>
      <c r="BY14" s="77">
        <f>BY13-BX13</f>
        <v/>
      </c>
      <c r="BZ14" s="77">
        <f>BZ13-BY13</f>
        <v/>
      </c>
      <c r="CA14" s="77">
        <f>CA13-BZ13</f>
        <v/>
      </c>
      <c r="CB14" s="77">
        <f>CB13-CA13</f>
        <v/>
      </c>
      <c r="CC14" s="77">
        <f>CC13-CB13</f>
        <v/>
      </c>
      <c r="CD14" s="77">
        <f>CD13-CC13</f>
        <v/>
      </c>
    </row>
    <row r="16">
      <c r="A16" t="inlineStr">
        <is>
          <t>Cash Available for Distribution ($) — after debt service and reserves</t>
        </is>
      </c>
      <c r="C16" s="77">
        <f>C7-C9-C14-C11</f>
        <v/>
      </c>
      <c r="D16" s="77">
        <f>D7-D9-D14-D11</f>
        <v/>
      </c>
      <c r="E16" s="77">
        <f>E7-E9-E14-E11</f>
        <v/>
      </c>
      <c r="F16" s="77">
        <f>F7-F9-F14-F11</f>
        <v/>
      </c>
      <c r="G16" s="77">
        <f>G7-G9-G14-G11</f>
        <v/>
      </c>
      <c r="H16" s="77">
        <f>H7-H9-H14-H11</f>
        <v/>
      </c>
      <c r="I16" s="77">
        <f>I7-I9-I14-I11</f>
        <v/>
      </c>
      <c r="J16" s="77">
        <f>J7-J9-J14-J11</f>
        <v/>
      </c>
      <c r="K16" s="77">
        <f>K7-K9-K14-K11</f>
        <v/>
      </c>
      <c r="L16" s="77">
        <f>L7-L9-L14-L11</f>
        <v/>
      </c>
      <c r="M16" s="77">
        <f>M7-M9-M14-M11</f>
        <v/>
      </c>
      <c r="N16" s="77">
        <f>N7-N9-N14-N11</f>
        <v/>
      </c>
      <c r="O16" s="77">
        <f>O7-O9-O14-O11</f>
        <v/>
      </c>
      <c r="P16" s="77">
        <f>P7-P9-P14-P11</f>
        <v/>
      </c>
      <c r="Q16" s="77">
        <f>Q7-Q9-Q14-Q11</f>
        <v/>
      </c>
      <c r="R16" s="77">
        <f>R7-R9-R14-R11</f>
        <v/>
      </c>
      <c r="S16" s="77">
        <f>S7-S9-S14-S11</f>
        <v/>
      </c>
      <c r="T16" s="77">
        <f>T7-T9-T14-T11</f>
        <v/>
      </c>
      <c r="U16" s="77">
        <f>U7-U9-U14-U11</f>
        <v/>
      </c>
      <c r="V16" s="77">
        <f>V7-V9-V14-V11</f>
        <v/>
      </c>
      <c r="W16" s="77">
        <f>W7-W9-W14-W11</f>
        <v/>
      </c>
      <c r="X16" s="77">
        <f>X7-X9-X14-X11</f>
        <v/>
      </c>
      <c r="Y16" s="77">
        <f>Y7-Y9-Y14-Y11</f>
        <v/>
      </c>
      <c r="Z16" s="77">
        <f>Z7-Z9-Z14-Z11</f>
        <v/>
      </c>
      <c r="AA16" s="77">
        <f>AA7-AA9-AA14-AA11</f>
        <v/>
      </c>
      <c r="AB16" s="77">
        <f>AB7-AB9-AB14-AB11</f>
        <v/>
      </c>
      <c r="AC16" s="77">
        <f>AC7-AC9-AC14-AC11</f>
        <v/>
      </c>
      <c r="AD16" s="77">
        <f>AD7-AD9-AD14-AD11</f>
        <v/>
      </c>
      <c r="AE16" s="77">
        <f>AE7-AE9-AE14-AE11</f>
        <v/>
      </c>
      <c r="AF16" s="77">
        <f>AF7-AF9-AF14-AF11</f>
        <v/>
      </c>
      <c r="AG16" s="77">
        <f>AG7-AG9-AG14-AG11</f>
        <v/>
      </c>
      <c r="AH16" s="77">
        <f>AH7-AH9-AH14-AH11</f>
        <v/>
      </c>
      <c r="AI16" s="77">
        <f>AI7-AI9-AI14-AI11</f>
        <v/>
      </c>
      <c r="AJ16" s="77">
        <f>AJ7-AJ9-AJ14-AJ11</f>
        <v/>
      </c>
      <c r="AK16" s="77">
        <f>AK7-AK9-AK14-AK11</f>
        <v/>
      </c>
      <c r="AL16" s="77">
        <f>AL7-AL9-AL14-AL11</f>
        <v/>
      </c>
      <c r="AM16" s="77">
        <f>AM7-AM9-AM14-AM11</f>
        <v/>
      </c>
      <c r="AN16" s="77">
        <f>AN7-AN9-AN14-AN11</f>
        <v/>
      </c>
      <c r="AO16" s="77">
        <f>AO7-AO9-AO14-AO11</f>
        <v/>
      </c>
      <c r="AP16" s="77">
        <f>AP7-AP9-AP14-AP11</f>
        <v/>
      </c>
      <c r="AQ16" s="77">
        <f>AQ7-AQ9-AQ14-AQ11</f>
        <v/>
      </c>
      <c r="AR16" s="77">
        <f>AR7-AR9-AR14-AR11</f>
        <v/>
      </c>
      <c r="AS16" s="77">
        <f>AS7-AS9-AS14-AS11</f>
        <v/>
      </c>
      <c r="AT16" s="77">
        <f>AT7-AT9-AT14-AT11</f>
        <v/>
      </c>
      <c r="AU16" s="77">
        <f>AU7-AU9-AU14-AU11</f>
        <v/>
      </c>
      <c r="AV16" s="77">
        <f>AV7-AV9-AV14-AV11</f>
        <v/>
      </c>
      <c r="AW16" s="77">
        <f>AW7-AW9-AW14-AW11</f>
        <v/>
      </c>
      <c r="AX16" s="77">
        <f>AX7-AX9-AX14-AX11</f>
        <v/>
      </c>
      <c r="AY16" s="77">
        <f>AY7-AY9-AY14-AY11</f>
        <v/>
      </c>
      <c r="AZ16" s="77">
        <f>AZ7-AZ9-AZ14-AZ11</f>
        <v/>
      </c>
      <c r="BA16" s="77">
        <f>BA7-BA9-BA14-BA11</f>
        <v/>
      </c>
      <c r="BB16" s="77">
        <f>BB7-BB9-BB14-BB11</f>
        <v/>
      </c>
      <c r="BC16" s="77">
        <f>BC7-BC9-BC14-BC11</f>
        <v/>
      </c>
      <c r="BD16" s="77">
        <f>BD7-BD9-BD14-BD11</f>
        <v/>
      </c>
      <c r="BE16" s="77">
        <f>BE7-BE9-BE14-BE11</f>
        <v/>
      </c>
      <c r="BF16" s="77">
        <f>BF7-BF9-BF14-BF11</f>
        <v/>
      </c>
      <c r="BG16" s="77">
        <f>BG7-BG9-BG14-BG11</f>
        <v/>
      </c>
      <c r="BH16" s="77">
        <f>BH7-BH9-BH14-BH11</f>
        <v/>
      </c>
      <c r="BI16" s="77">
        <f>BI7-BI9-BI14-BI11</f>
        <v/>
      </c>
      <c r="BJ16" s="77">
        <f>BJ7-BJ9-BJ14-BJ11</f>
        <v/>
      </c>
      <c r="BK16" s="77">
        <f>BK7-BK9-BK14-BK11</f>
        <v/>
      </c>
      <c r="BL16" s="77">
        <f>BL7-BL9-BL14-BL11</f>
        <v/>
      </c>
      <c r="BM16" s="77">
        <f>BM7-BM9-BM14-BM11</f>
        <v/>
      </c>
      <c r="BN16" s="77">
        <f>BN7-BN9-BN14-BN11</f>
        <v/>
      </c>
      <c r="BO16" s="77">
        <f>BO7-BO9-BO14-BO11</f>
        <v/>
      </c>
      <c r="BP16" s="77">
        <f>BP7-BP9-BP14-BP11</f>
        <v/>
      </c>
      <c r="BQ16" s="77">
        <f>BQ7-BQ9-BQ14-BQ11</f>
        <v/>
      </c>
      <c r="BR16" s="77">
        <f>BR7-BR9-BR14-BR11</f>
        <v/>
      </c>
      <c r="BS16" s="77">
        <f>BS7-BS9-BS14-BS11</f>
        <v/>
      </c>
      <c r="BT16" s="77">
        <f>BT7-BT9-BT14-BT11</f>
        <v/>
      </c>
      <c r="BU16" s="77">
        <f>BU7-BU9-BU14-BU11</f>
        <v/>
      </c>
      <c r="BV16" s="77">
        <f>BV7-BV9-BV14-BV11</f>
        <v/>
      </c>
      <c r="BW16" s="77">
        <f>BW7-BW9-BW14-BW11</f>
        <v/>
      </c>
      <c r="BX16" s="77">
        <f>BX7-BX9-BX14-BX11</f>
        <v/>
      </c>
      <c r="BY16" s="77">
        <f>BY7-BY9-BY14-BY11</f>
        <v/>
      </c>
      <c r="BZ16" s="77">
        <f>BZ7-BZ9-BZ14-BZ11</f>
        <v/>
      </c>
      <c r="CA16" s="77">
        <f>CA7-CA9-CA14-CA11</f>
        <v/>
      </c>
      <c r="CB16" s="77">
        <f>CB7-CB9-CB14-CB11</f>
        <v/>
      </c>
      <c r="CC16" s="77">
        <f>CC7-CC9-CC14-CC11</f>
        <v/>
      </c>
      <c r="CD16" s="77">
        <f>CD7-CD9-CD14-CD11</f>
        <v/>
      </c>
    </row>
    <row r="18">
      <c r="A18" t="inlineStr">
        <is>
          <t>DSCR (achieved) — linked from Calc_Financing_Ops</t>
        </is>
      </c>
      <c r="C18" s="75">
        <f>Calc_Financing_Ops!C24</f>
        <v/>
      </c>
      <c r="D18" s="75">
        <f>Calc_Financing_Ops!D24</f>
        <v/>
      </c>
      <c r="E18" s="75">
        <f>Calc_Financing_Ops!E24</f>
        <v/>
      </c>
      <c r="F18" s="75">
        <f>Calc_Financing_Ops!F24</f>
        <v/>
      </c>
      <c r="G18" s="75">
        <f>Calc_Financing_Ops!G24</f>
        <v/>
      </c>
      <c r="H18" s="75">
        <f>Calc_Financing_Ops!H24</f>
        <v/>
      </c>
      <c r="I18" s="75">
        <f>Calc_Financing_Ops!I24</f>
        <v/>
      </c>
      <c r="J18" s="75">
        <f>Calc_Financing_Ops!J24</f>
        <v/>
      </c>
      <c r="K18" s="75">
        <f>Calc_Financing_Ops!K24</f>
        <v/>
      </c>
      <c r="L18" s="75">
        <f>Calc_Financing_Ops!L24</f>
        <v/>
      </c>
      <c r="M18" s="75">
        <f>Calc_Financing_Ops!M24</f>
        <v/>
      </c>
      <c r="N18" s="75">
        <f>Calc_Financing_Ops!N24</f>
        <v/>
      </c>
      <c r="O18" s="75">
        <f>Calc_Financing_Ops!O24</f>
        <v/>
      </c>
      <c r="P18" s="75">
        <f>Calc_Financing_Ops!P24</f>
        <v/>
      </c>
      <c r="Q18" s="75">
        <f>Calc_Financing_Ops!Q24</f>
        <v/>
      </c>
      <c r="R18" s="75">
        <f>Calc_Financing_Ops!R24</f>
        <v/>
      </c>
      <c r="S18" s="75">
        <f>Calc_Financing_Ops!S24</f>
        <v/>
      </c>
      <c r="T18" s="75">
        <f>Calc_Financing_Ops!T24</f>
        <v/>
      </c>
      <c r="U18" s="75">
        <f>Calc_Financing_Ops!U24</f>
        <v/>
      </c>
      <c r="V18" s="75">
        <f>Calc_Financing_Ops!V24</f>
        <v/>
      </c>
      <c r="W18" s="75">
        <f>Calc_Financing_Ops!W24</f>
        <v/>
      </c>
      <c r="X18" s="75">
        <f>Calc_Financing_Ops!X24</f>
        <v/>
      </c>
      <c r="Y18" s="75">
        <f>Calc_Financing_Ops!Y24</f>
        <v/>
      </c>
      <c r="Z18" s="75">
        <f>Calc_Financing_Ops!Z24</f>
        <v/>
      </c>
      <c r="AA18" s="75">
        <f>Calc_Financing_Ops!AA24</f>
        <v/>
      </c>
      <c r="AB18" s="75">
        <f>Calc_Financing_Ops!AB24</f>
        <v/>
      </c>
      <c r="AC18" s="75">
        <f>Calc_Financing_Ops!AC24</f>
        <v/>
      </c>
      <c r="AD18" s="75">
        <f>Calc_Financing_Ops!AD24</f>
        <v/>
      </c>
      <c r="AE18" s="75">
        <f>Calc_Financing_Ops!AE24</f>
        <v/>
      </c>
      <c r="AF18" s="75">
        <f>Calc_Financing_Ops!AF24</f>
        <v/>
      </c>
      <c r="AG18" s="75">
        <f>Calc_Financing_Ops!AG24</f>
        <v/>
      </c>
      <c r="AH18" s="75">
        <f>Calc_Financing_Ops!AH24</f>
        <v/>
      </c>
      <c r="AI18" s="75">
        <f>Calc_Financing_Ops!AI24</f>
        <v/>
      </c>
      <c r="AJ18" s="75">
        <f>Calc_Financing_Ops!AJ24</f>
        <v/>
      </c>
      <c r="AK18" s="75">
        <f>Calc_Financing_Ops!AK24</f>
        <v/>
      </c>
      <c r="AL18" s="75">
        <f>Calc_Financing_Ops!AL24</f>
        <v/>
      </c>
      <c r="AM18" s="75">
        <f>Calc_Financing_Ops!AM24</f>
        <v/>
      </c>
      <c r="AN18" s="75">
        <f>Calc_Financing_Ops!AN24</f>
        <v/>
      </c>
      <c r="AO18" s="75">
        <f>Calc_Financing_Ops!AO24</f>
        <v/>
      </c>
      <c r="AP18" s="75">
        <f>Calc_Financing_Ops!AP24</f>
        <v/>
      </c>
      <c r="AQ18" s="75">
        <f>Calc_Financing_Ops!AQ24</f>
        <v/>
      </c>
      <c r="AR18" s="75">
        <f>Calc_Financing_Ops!AR24</f>
        <v/>
      </c>
      <c r="AS18" s="75">
        <f>Calc_Financing_Ops!AS24</f>
        <v/>
      </c>
      <c r="AT18" s="75">
        <f>Calc_Financing_Ops!AT24</f>
        <v/>
      </c>
      <c r="AU18" s="75">
        <f>Calc_Financing_Ops!AU24</f>
        <v/>
      </c>
      <c r="AV18" s="75">
        <f>Calc_Financing_Ops!AV24</f>
        <v/>
      </c>
      <c r="AW18" s="75">
        <f>Calc_Financing_Ops!AW24</f>
        <v/>
      </c>
      <c r="AX18" s="75">
        <f>Calc_Financing_Ops!AX24</f>
        <v/>
      </c>
      <c r="AY18" s="75">
        <f>Calc_Financing_Ops!AY24</f>
        <v/>
      </c>
      <c r="AZ18" s="75">
        <f>Calc_Financing_Ops!AZ24</f>
        <v/>
      </c>
      <c r="BA18" s="75">
        <f>Calc_Financing_Ops!BA24</f>
        <v/>
      </c>
      <c r="BB18" s="75">
        <f>Calc_Financing_Ops!BB24</f>
        <v/>
      </c>
      <c r="BC18" s="75">
        <f>Calc_Financing_Ops!BC24</f>
        <v/>
      </c>
      <c r="BD18" s="75">
        <f>Calc_Financing_Ops!BD24</f>
        <v/>
      </c>
      <c r="BE18" s="75">
        <f>Calc_Financing_Ops!BE24</f>
        <v/>
      </c>
      <c r="BF18" s="75">
        <f>Calc_Financing_Ops!BF24</f>
        <v/>
      </c>
      <c r="BG18" s="75">
        <f>Calc_Financing_Ops!BG24</f>
        <v/>
      </c>
      <c r="BH18" s="75">
        <f>Calc_Financing_Ops!BH24</f>
        <v/>
      </c>
      <c r="BI18" s="75">
        <f>Calc_Financing_Ops!BI24</f>
        <v/>
      </c>
      <c r="BJ18" s="75">
        <f>Calc_Financing_Ops!BJ24</f>
        <v/>
      </c>
      <c r="BK18" s="75">
        <f>Calc_Financing_Ops!BK24</f>
        <v/>
      </c>
      <c r="BL18" s="75">
        <f>Calc_Financing_Ops!BL24</f>
        <v/>
      </c>
      <c r="BM18" s="75">
        <f>Calc_Financing_Ops!BM24</f>
        <v/>
      </c>
      <c r="BN18" s="75">
        <f>Calc_Financing_Ops!BN24</f>
        <v/>
      </c>
      <c r="BO18" s="75">
        <f>Calc_Financing_Ops!BO24</f>
        <v/>
      </c>
      <c r="BP18" s="75">
        <f>Calc_Financing_Ops!BP24</f>
        <v/>
      </c>
      <c r="BQ18" s="75">
        <f>Calc_Financing_Ops!BQ24</f>
        <v/>
      </c>
      <c r="BR18" s="75">
        <f>Calc_Financing_Ops!BR24</f>
        <v/>
      </c>
      <c r="BS18" s="75">
        <f>Calc_Financing_Ops!BS24</f>
        <v/>
      </c>
      <c r="BT18" s="75">
        <f>Calc_Financing_Ops!BT24</f>
        <v/>
      </c>
      <c r="BU18" s="75">
        <f>Calc_Financing_Ops!BU24</f>
        <v/>
      </c>
      <c r="BV18" s="75">
        <f>Calc_Financing_Ops!BV24</f>
        <v/>
      </c>
      <c r="BW18" s="75">
        <f>Calc_Financing_Ops!BW24</f>
        <v/>
      </c>
      <c r="BX18" s="75">
        <f>Calc_Financing_Ops!BX24</f>
        <v/>
      </c>
      <c r="BY18" s="75">
        <f>Calc_Financing_Ops!BY24</f>
        <v/>
      </c>
      <c r="BZ18" s="75">
        <f>Calc_Financing_Ops!BZ24</f>
        <v/>
      </c>
      <c r="CA18" s="75">
        <f>Calc_Financing_Ops!CA24</f>
        <v/>
      </c>
      <c r="CB18" s="75">
        <f>Calc_Financing_Ops!CB24</f>
        <v/>
      </c>
      <c r="CC18" s="75">
        <f>Calc_Financing_Ops!CC24</f>
        <v/>
      </c>
      <c r="CD18" s="75">
        <f>Calc_Financing_Ops!CD24</f>
        <v/>
      </c>
    </row>
    <row r="19">
      <c r="A19" t="inlineStr">
        <is>
          <t>Distributions Locked Up? (1 = blocked by DSCR trigger)</t>
        </is>
      </c>
      <c r="C19" s="77">
        <f>IF(N(C18)=0,0,IF(C18&lt;Cover!$B$27,1,0))</f>
        <v/>
      </c>
      <c r="D19" s="77">
        <f>IF(N(D18)=0,0,IF(D18&lt;Cover!$B$27,1,0))</f>
        <v/>
      </c>
      <c r="E19" s="77">
        <f>IF(N(E18)=0,0,IF(E18&lt;Cover!$B$27,1,0))</f>
        <v/>
      </c>
      <c r="F19" s="77">
        <f>IF(N(F18)=0,0,IF(F18&lt;Cover!$B$27,1,0))</f>
        <v/>
      </c>
      <c r="G19" s="77">
        <f>IF(N(G18)=0,0,IF(G18&lt;Cover!$B$27,1,0))</f>
        <v/>
      </c>
      <c r="H19" s="77">
        <f>IF(N(H18)=0,0,IF(H18&lt;Cover!$B$27,1,0))</f>
        <v/>
      </c>
      <c r="I19" s="77">
        <f>IF(N(I18)=0,0,IF(I18&lt;Cover!$B$27,1,0))</f>
        <v/>
      </c>
      <c r="J19" s="77">
        <f>IF(N(J18)=0,0,IF(J18&lt;Cover!$B$27,1,0))</f>
        <v/>
      </c>
      <c r="K19" s="77">
        <f>IF(N(K18)=0,0,IF(K18&lt;Cover!$B$27,1,0))</f>
        <v/>
      </c>
      <c r="L19" s="77">
        <f>IF(N(L18)=0,0,IF(L18&lt;Cover!$B$27,1,0))</f>
        <v/>
      </c>
      <c r="M19" s="77">
        <f>IF(N(M18)=0,0,IF(M18&lt;Cover!$B$27,1,0))</f>
        <v/>
      </c>
      <c r="N19" s="77">
        <f>IF(N(N18)=0,0,IF(N18&lt;Cover!$B$27,1,0))</f>
        <v/>
      </c>
      <c r="O19" s="77">
        <f>IF(N(O18)=0,0,IF(O18&lt;Cover!$B$27,1,0))</f>
        <v/>
      </c>
      <c r="P19" s="77">
        <f>IF(N(P18)=0,0,IF(P18&lt;Cover!$B$27,1,0))</f>
        <v/>
      </c>
      <c r="Q19" s="77">
        <f>IF(N(Q18)=0,0,IF(Q18&lt;Cover!$B$27,1,0))</f>
        <v/>
      </c>
      <c r="R19" s="77">
        <f>IF(N(R18)=0,0,IF(R18&lt;Cover!$B$27,1,0))</f>
        <v/>
      </c>
      <c r="S19" s="77">
        <f>IF(N(S18)=0,0,IF(S18&lt;Cover!$B$27,1,0))</f>
        <v/>
      </c>
      <c r="T19" s="77">
        <f>IF(N(T18)=0,0,IF(T18&lt;Cover!$B$27,1,0))</f>
        <v/>
      </c>
      <c r="U19" s="77">
        <f>IF(N(U18)=0,0,IF(U18&lt;Cover!$B$27,1,0))</f>
        <v/>
      </c>
      <c r="V19" s="77">
        <f>IF(N(V18)=0,0,IF(V18&lt;Cover!$B$27,1,0))</f>
        <v/>
      </c>
      <c r="W19" s="77">
        <f>IF(N(W18)=0,0,IF(W18&lt;Cover!$B$27,1,0))</f>
        <v/>
      </c>
      <c r="X19" s="77">
        <f>IF(N(X18)=0,0,IF(X18&lt;Cover!$B$27,1,0))</f>
        <v/>
      </c>
      <c r="Y19" s="77">
        <f>IF(N(Y18)=0,0,IF(Y18&lt;Cover!$B$27,1,0))</f>
        <v/>
      </c>
      <c r="Z19" s="77">
        <f>IF(N(Z18)=0,0,IF(Z18&lt;Cover!$B$27,1,0))</f>
        <v/>
      </c>
      <c r="AA19" s="77">
        <f>IF(N(AA18)=0,0,IF(AA18&lt;Cover!$B$27,1,0))</f>
        <v/>
      </c>
      <c r="AB19" s="77">
        <f>IF(N(AB18)=0,0,IF(AB18&lt;Cover!$B$27,1,0))</f>
        <v/>
      </c>
      <c r="AC19" s="77">
        <f>IF(N(AC18)=0,0,IF(AC18&lt;Cover!$B$27,1,0))</f>
        <v/>
      </c>
      <c r="AD19" s="77">
        <f>IF(N(AD18)=0,0,IF(AD18&lt;Cover!$B$27,1,0))</f>
        <v/>
      </c>
      <c r="AE19" s="77">
        <f>IF(N(AE18)=0,0,IF(AE18&lt;Cover!$B$27,1,0))</f>
        <v/>
      </c>
      <c r="AF19" s="77">
        <f>IF(N(AF18)=0,0,IF(AF18&lt;Cover!$B$27,1,0))</f>
        <v/>
      </c>
      <c r="AG19" s="77">
        <f>IF(N(AG18)=0,0,IF(AG18&lt;Cover!$B$27,1,0))</f>
        <v/>
      </c>
      <c r="AH19" s="77">
        <f>IF(N(AH18)=0,0,IF(AH18&lt;Cover!$B$27,1,0))</f>
        <v/>
      </c>
      <c r="AI19" s="77">
        <f>IF(N(AI18)=0,0,IF(AI18&lt;Cover!$B$27,1,0))</f>
        <v/>
      </c>
      <c r="AJ19" s="77">
        <f>IF(N(AJ18)=0,0,IF(AJ18&lt;Cover!$B$27,1,0))</f>
        <v/>
      </c>
      <c r="AK19" s="77">
        <f>IF(N(AK18)=0,0,IF(AK18&lt;Cover!$B$27,1,0))</f>
        <v/>
      </c>
      <c r="AL19" s="77">
        <f>IF(N(AL18)=0,0,IF(AL18&lt;Cover!$B$27,1,0))</f>
        <v/>
      </c>
      <c r="AM19" s="77">
        <f>IF(N(AM18)=0,0,IF(AM18&lt;Cover!$B$27,1,0))</f>
        <v/>
      </c>
      <c r="AN19" s="77">
        <f>IF(N(AN18)=0,0,IF(AN18&lt;Cover!$B$27,1,0))</f>
        <v/>
      </c>
      <c r="AO19" s="77">
        <f>IF(N(AO18)=0,0,IF(AO18&lt;Cover!$B$27,1,0))</f>
        <v/>
      </c>
      <c r="AP19" s="77">
        <f>IF(N(AP18)=0,0,IF(AP18&lt;Cover!$B$27,1,0))</f>
        <v/>
      </c>
      <c r="AQ19" s="77">
        <f>IF(N(AQ18)=0,0,IF(AQ18&lt;Cover!$B$27,1,0))</f>
        <v/>
      </c>
      <c r="AR19" s="77">
        <f>IF(N(AR18)=0,0,IF(AR18&lt;Cover!$B$27,1,0))</f>
        <v/>
      </c>
      <c r="AS19" s="77">
        <f>IF(N(AS18)=0,0,IF(AS18&lt;Cover!$B$27,1,0))</f>
        <v/>
      </c>
      <c r="AT19" s="77">
        <f>IF(N(AT18)=0,0,IF(AT18&lt;Cover!$B$27,1,0))</f>
        <v/>
      </c>
      <c r="AU19" s="77">
        <f>IF(N(AU18)=0,0,IF(AU18&lt;Cover!$B$27,1,0))</f>
        <v/>
      </c>
      <c r="AV19" s="77">
        <f>IF(N(AV18)=0,0,IF(AV18&lt;Cover!$B$27,1,0))</f>
        <v/>
      </c>
      <c r="AW19" s="77">
        <f>IF(N(AW18)=0,0,IF(AW18&lt;Cover!$B$27,1,0))</f>
        <v/>
      </c>
      <c r="AX19" s="77">
        <f>IF(N(AX18)=0,0,IF(AX18&lt;Cover!$B$27,1,0))</f>
        <v/>
      </c>
      <c r="AY19" s="77">
        <f>IF(N(AY18)=0,0,IF(AY18&lt;Cover!$B$27,1,0))</f>
        <v/>
      </c>
      <c r="AZ19" s="77">
        <f>IF(N(AZ18)=0,0,IF(AZ18&lt;Cover!$B$27,1,0))</f>
        <v/>
      </c>
      <c r="BA19" s="77">
        <f>IF(N(BA18)=0,0,IF(BA18&lt;Cover!$B$27,1,0))</f>
        <v/>
      </c>
      <c r="BB19" s="77">
        <f>IF(N(BB18)=0,0,IF(BB18&lt;Cover!$B$27,1,0))</f>
        <v/>
      </c>
      <c r="BC19" s="77">
        <f>IF(N(BC18)=0,0,IF(BC18&lt;Cover!$B$27,1,0))</f>
        <v/>
      </c>
      <c r="BD19" s="77">
        <f>IF(N(BD18)=0,0,IF(BD18&lt;Cover!$B$27,1,0))</f>
        <v/>
      </c>
      <c r="BE19" s="77">
        <f>IF(N(BE18)=0,0,IF(BE18&lt;Cover!$B$27,1,0))</f>
        <v/>
      </c>
      <c r="BF19" s="77">
        <f>IF(N(BF18)=0,0,IF(BF18&lt;Cover!$B$27,1,0))</f>
        <v/>
      </c>
      <c r="BG19" s="77">
        <f>IF(N(BG18)=0,0,IF(BG18&lt;Cover!$B$27,1,0))</f>
        <v/>
      </c>
      <c r="BH19" s="77">
        <f>IF(N(BH18)=0,0,IF(BH18&lt;Cover!$B$27,1,0))</f>
        <v/>
      </c>
      <c r="BI19" s="77">
        <f>IF(N(BI18)=0,0,IF(BI18&lt;Cover!$B$27,1,0))</f>
        <v/>
      </c>
      <c r="BJ19" s="77">
        <f>IF(N(BJ18)=0,0,IF(BJ18&lt;Cover!$B$27,1,0))</f>
        <v/>
      </c>
      <c r="BK19" s="77">
        <f>IF(N(BK18)=0,0,IF(BK18&lt;Cover!$B$27,1,0))</f>
        <v/>
      </c>
      <c r="BL19" s="77">
        <f>IF(N(BL18)=0,0,IF(BL18&lt;Cover!$B$27,1,0))</f>
        <v/>
      </c>
      <c r="BM19" s="77">
        <f>IF(N(BM18)=0,0,IF(BM18&lt;Cover!$B$27,1,0))</f>
        <v/>
      </c>
      <c r="BN19" s="77">
        <f>IF(N(BN18)=0,0,IF(BN18&lt;Cover!$B$27,1,0))</f>
        <v/>
      </c>
      <c r="BO19" s="77">
        <f>IF(N(BO18)=0,0,IF(BO18&lt;Cover!$B$27,1,0))</f>
        <v/>
      </c>
      <c r="BP19" s="77">
        <f>IF(N(BP18)=0,0,IF(BP18&lt;Cover!$B$27,1,0))</f>
        <v/>
      </c>
      <c r="BQ19" s="77">
        <f>IF(N(BQ18)=0,0,IF(BQ18&lt;Cover!$B$27,1,0))</f>
        <v/>
      </c>
      <c r="BR19" s="77">
        <f>IF(N(BR18)=0,0,IF(BR18&lt;Cover!$B$27,1,0))</f>
        <v/>
      </c>
      <c r="BS19" s="77">
        <f>IF(N(BS18)=0,0,IF(BS18&lt;Cover!$B$27,1,0))</f>
        <v/>
      </c>
      <c r="BT19" s="77">
        <f>IF(N(BT18)=0,0,IF(BT18&lt;Cover!$B$27,1,0))</f>
        <v/>
      </c>
      <c r="BU19" s="77">
        <f>IF(N(BU18)=0,0,IF(BU18&lt;Cover!$B$27,1,0))</f>
        <v/>
      </c>
      <c r="BV19" s="77">
        <f>IF(N(BV18)=0,0,IF(BV18&lt;Cover!$B$27,1,0))</f>
        <v/>
      </c>
      <c r="BW19" s="77">
        <f>IF(N(BW18)=0,0,IF(BW18&lt;Cover!$B$27,1,0))</f>
        <v/>
      </c>
      <c r="BX19" s="77">
        <f>IF(N(BX18)=0,0,IF(BX18&lt;Cover!$B$27,1,0))</f>
        <v/>
      </c>
      <c r="BY19" s="77">
        <f>IF(N(BY18)=0,0,IF(BY18&lt;Cover!$B$27,1,0))</f>
        <v/>
      </c>
      <c r="BZ19" s="77">
        <f>IF(N(BZ18)=0,0,IF(BZ18&lt;Cover!$B$27,1,0))</f>
        <v/>
      </c>
      <c r="CA19" s="77">
        <f>IF(N(CA18)=0,0,IF(CA18&lt;Cover!$B$27,1,0))</f>
        <v/>
      </c>
      <c r="CB19" s="77">
        <f>IF(N(CB18)=0,0,IF(CB18&lt;Cover!$B$27,1,0))</f>
        <v/>
      </c>
      <c r="CC19" s="77">
        <f>IF(N(CC18)=0,0,IF(CC18&lt;Cover!$B$27,1,0))</f>
        <v/>
      </c>
      <c r="CD19" s="77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7">
        <f>Cover!$B$29*Calc_Revenue_Opex!C11</f>
        <v/>
      </c>
      <c r="D20" s="77">
        <f>Cover!$B$29*Calc_Revenue_Opex!D11</f>
        <v/>
      </c>
      <c r="E20" s="77">
        <f>Cover!$B$29*Calc_Revenue_Opex!E11</f>
        <v/>
      </c>
      <c r="F20" s="77">
        <f>Cover!$B$29*Calc_Revenue_Opex!F11</f>
        <v/>
      </c>
      <c r="G20" s="77">
        <f>Cover!$B$29*Calc_Revenue_Opex!G11</f>
        <v/>
      </c>
      <c r="H20" s="77">
        <f>Cover!$B$29*Calc_Revenue_Opex!H11</f>
        <v/>
      </c>
      <c r="I20" s="77">
        <f>Cover!$B$29*Calc_Revenue_Opex!I11</f>
        <v/>
      </c>
      <c r="J20" s="77">
        <f>Cover!$B$29*Calc_Revenue_Opex!J11</f>
        <v/>
      </c>
      <c r="K20" s="77">
        <f>Cover!$B$29*Calc_Revenue_Opex!K11</f>
        <v/>
      </c>
      <c r="L20" s="77">
        <f>Cover!$B$29*Calc_Revenue_Opex!L11</f>
        <v/>
      </c>
      <c r="M20" s="77">
        <f>Cover!$B$29*Calc_Revenue_Opex!M11</f>
        <v/>
      </c>
      <c r="N20" s="77">
        <f>Cover!$B$29*Calc_Revenue_Opex!N11</f>
        <v/>
      </c>
      <c r="O20" s="77">
        <f>Cover!$B$29*Calc_Revenue_Opex!O11</f>
        <v/>
      </c>
      <c r="P20" s="77">
        <f>Cover!$B$29*Calc_Revenue_Opex!P11</f>
        <v/>
      </c>
      <c r="Q20" s="77">
        <f>Cover!$B$29*Calc_Revenue_Opex!Q11</f>
        <v/>
      </c>
      <c r="R20" s="77">
        <f>Cover!$B$29*Calc_Revenue_Opex!R11</f>
        <v/>
      </c>
      <c r="S20" s="77">
        <f>Cover!$B$29*Calc_Revenue_Opex!S11</f>
        <v/>
      </c>
      <c r="T20" s="77">
        <f>Cover!$B$29*Calc_Revenue_Opex!T11</f>
        <v/>
      </c>
      <c r="U20" s="77">
        <f>Cover!$B$29*Calc_Revenue_Opex!U11</f>
        <v/>
      </c>
      <c r="V20" s="77">
        <f>Cover!$B$29*Calc_Revenue_Opex!V11</f>
        <v/>
      </c>
      <c r="W20" s="77">
        <f>Cover!$B$29*Calc_Revenue_Opex!W11</f>
        <v/>
      </c>
      <c r="X20" s="77">
        <f>Cover!$B$29*Calc_Revenue_Opex!X11</f>
        <v/>
      </c>
      <c r="Y20" s="77">
        <f>Cover!$B$29*Calc_Revenue_Opex!Y11</f>
        <v/>
      </c>
      <c r="Z20" s="77">
        <f>Cover!$B$29*Calc_Revenue_Opex!Z11</f>
        <v/>
      </c>
      <c r="AA20" s="77">
        <f>Cover!$B$29*Calc_Revenue_Opex!AA11</f>
        <v/>
      </c>
      <c r="AB20" s="77">
        <f>Cover!$B$29*Calc_Revenue_Opex!AB11</f>
        <v/>
      </c>
      <c r="AC20" s="77">
        <f>Cover!$B$29*Calc_Revenue_Opex!AC11</f>
        <v/>
      </c>
      <c r="AD20" s="77">
        <f>Cover!$B$29*Calc_Revenue_Opex!AD11</f>
        <v/>
      </c>
      <c r="AE20" s="77">
        <f>Cover!$B$29*Calc_Revenue_Opex!AE11</f>
        <v/>
      </c>
      <c r="AF20" s="77">
        <f>Cover!$B$29*Calc_Revenue_Opex!AF11</f>
        <v/>
      </c>
      <c r="AG20" s="77">
        <f>Cover!$B$29*Calc_Revenue_Opex!AG11</f>
        <v/>
      </c>
      <c r="AH20" s="77">
        <f>Cover!$B$29*Calc_Revenue_Opex!AH11</f>
        <v/>
      </c>
      <c r="AI20" s="77">
        <f>Cover!$B$29*Calc_Revenue_Opex!AI11</f>
        <v/>
      </c>
      <c r="AJ20" s="77">
        <f>Cover!$B$29*Calc_Revenue_Opex!AJ11</f>
        <v/>
      </c>
      <c r="AK20" s="77">
        <f>Cover!$B$29*Calc_Revenue_Opex!AK11</f>
        <v/>
      </c>
      <c r="AL20" s="77">
        <f>Cover!$B$29*Calc_Revenue_Opex!AL11</f>
        <v/>
      </c>
      <c r="AM20" s="77">
        <f>Cover!$B$29*Calc_Revenue_Opex!AM11</f>
        <v/>
      </c>
      <c r="AN20" s="77">
        <f>Cover!$B$29*Calc_Revenue_Opex!AN11</f>
        <v/>
      </c>
      <c r="AO20" s="77">
        <f>Cover!$B$29*Calc_Revenue_Opex!AO11</f>
        <v/>
      </c>
      <c r="AP20" s="77">
        <f>Cover!$B$29*Calc_Revenue_Opex!AP11</f>
        <v/>
      </c>
      <c r="AQ20" s="77">
        <f>Cover!$B$29*Calc_Revenue_Opex!AQ11</f>
        <v/>
      </c>
      <c r="AR20" s="77">
        <f>Cover!$B$29*Calc_Revenue_Opex!AR11</f>
        <v/>
      </c>
      <c r="AS20" s="77">
        <f>Cover!$B$29*Calc_Revenue_Opex!AS11</f>
        <v/>
      </c>
      <c r="AT20" s="77">
        <f>Cover!$B$29*Calc_Revenue_Opex!AT11</f>
        <v/>
      </c>
      <c r="AU20" s="77">
        <f>Cover!$B$29*Calc_Revenue_Opex!AU11</f>
        <v/>
      </c>
      <c r="AV20" s="77">
        <f>Cover!$B$29*Calc_Revenue_Opex!AV11</f>
        <v/>
      </c>
      <c r="AW20" s="77">
        <f>Cover!$B$29*Calc_Revenue_Opex!AW11</f>
        <v/>
      </c>
      <c r="AX20" s="77">
        <f>Cover!$B$29*Calc_Revenue_Opex!AX11</f>
        <v/>
      </c>
      <c r="AY20" s="77">
        <f>Cover!$B$29*Calc_Revenue_Opex!AY11</f>
        <v/>
      </c>
      <c r="AZ20" s="77">
        <f>Cover!$B$29*Calc_Revenue_Opex!AZ11</f>
        <v/>
      </c>
      <c r="BA20" s="77">
        <f>Cover!$B$29*Calc_Revenue_Opex!BA11</f>
        <v/>
      </c>
      <c r="BB20" s="77">
        <f>Cover!$B$29*Calc_Revenue_Opex!BB11</f>
        <v/>
      </c>
      <c r="BC20" s="77">
        <f>Cover!$B$29*Calc_Revenue_Opex!BC11</f>
        <v/>
      </c>
      <c r="BD20" s="77">
        <f>Cover!$B$29*Calc_Revenue_Opex!BD11</f>
        <v/>
      </c>
      <c r="BE20" s="77">
        <f>Cover!$B$29*Calc_Revenue_Opex!BE11</f>
        <v/>
      </c>
      <c r="BF20" s="77">
        <f>Cover!$B$29*Calc_Revenue_Opex!BF11</f>
        <v/>
      </c>
      <c r="BG20" s="77">
        <f>Cover!$B$29*Calc_Revenue_Opex!BG11</f>
        <v/>
      </c>
      <c r="BH20" s="77">
        <f>Cover!$B$29*Calc_Revenue_Opex!BH11</f>
        <v/>
      </c>
      <c r="BI20" s="77">
        <f>Cover!$B$29*Calc_Revenue_Opex!BI11</f>
        <v/>
      </c>
      <c r="BJ20" s="77">
        <f>Cover!$B$29*Calc_Revenue_Opex!BJ11</f>
        <v/>
      </c>
      <c r="BK20" s="77">
        <f>Cover!$B$29*Calc_Revenue_Opex!BK11</f>
        <v/>
      </c>
      <c r="BL20" s="77">
        <f>Cover!$B$29*Calc_Revenue_Opex!BL11</f>
        <v/>
      </c>
      <c r="BM20" s="77">
        <f>Cover!$B$29*Calc_Revenue_Opex!BM11</f>
        <v/>
      </c>
      <c r="BN20" s="77">
        <f>Cover!$B$29*Calc_Revenue_Opex!BN11</f>
        <v/>
      </c>
      <c r="BO20" s="77">
        <f>Cover!$B$29*Calc_Revenue_Opex!BO11</f>
        <v/>
      </c>
      <c r="BP20" s="77">
        <f>Cover!$B$29*Calc_Revenue_Opex!BP11</f>
        <v/>
      </c>
      <c r="BQ20" s="77">
        <f>Cover!$B$29*Calc_Revenue_Opex!BQ11</f>
        <v/>
      </c>
      <c r="BR20" s="77">
        <f>Cover!$B$29*Calc_Revenue_Opex!BR11</f>
        <v/>
      </c>
      <c r="BS20" s="77">
        <f>Cover!$B$29*Calc_Revenue_Opex!BS11</f>
        <v/>
      </c>
      <c r="BT20" s="77">
        <f>Cover!$B$29*Calc_Revenue_Opex!BT11</f>
        <v/>
      </c>
      <c r="BU20" s="77">
        <f>Cover!$B$29*Calc_Revenue_Opex!BU11</f>
        <v/>
      </c>
      <c r="BV20" s="77">
        <f>Cover!$B$29*Calc_Revenue_Opex!BV11</f>
        <v/>
      </c>
      <c r="BW20" s="77">
        <f>Cover!$B$29*Calc_Revenue_Opex!BW11</f>
        <v/>
      </c>
      <c r="BX20" s="77">
        <f>Cover!$B$29*Calc_Revenue_Opex!BX11</f>
        <v/>
      </c>
      <c r="BY20" s="77">
        <f>Cover!$B$29*Calc_Revenue_Opex!BY11</f>
        <v/>
      </c>
      <c r="BZ20" s="77">
        <f>Cover!$B$29*Calc_Revenue_Opex!BZ11</f>
        <v/>
      </c>
      <c r="CA20" s="77">
        <f>Cover!$B$29*Calc_Revenue_Opex!CA11</f>
        <v/>
      </c>
      <c r="CB20" s="77">
        <f>Cover!$B$29*Calc_Revenue_Opex!CB11</f>
        <v/>
      </c>
      <c r="CC20" s="77">
        <f>Cover!$B$29*Calc_Revenue_Opex!CC11</f>
        <v/>
      </c>
      <c r="CD20" s="77">
        <f>0</f>
        <v/>
      </c>
    </row>
    <row r="21">
      <c r="A21" t="inlineStr">
        <is>
          <t>Cash Buffer, Opening ($)</t>
        </is>
      </c>
      <c r="C21" s="77">
        <f>Calc_Financing_Cons!$B$13</f>
        <v/>
      </c>
      <c r="D21" s="77">
        <f>C24</f>
        <v/>
      </c>
      <c r="E21" s="77">
        <f>D24</f>
        <v/>
      </c>
      <c r="F21" s="77">
        <f>E24</f>
        <v/>
      </c>
      <c r="G21" s="77">
        <f>F24</f>
        <v/>
      </c>
      <c r="H21" s="77">
        <f>G24</f>
        <v/>
      </c>
      <c r="I21" s="77">
        <f>H24</f>
        <v/>
      </c>
      <c r="J21" s="77">
        <f>I24</f>
        <v/>
      </c>
      <c r="K21" s="77">
        <f>J24</f>
        <v/>
      </c>
      <c r="L21" s="77">
        <f>K24</f>
        <v/>
      </c>
      <c r="M21" s="77">
        <f>L24</f>
        <v/>
      </c>
      <c r="N21" s="77">
        <f>M24</f>
        <v/>
      </c>
      <c r="O21" s="77">
        <f>N24</f>
        <v/>
      </c>
      <c r="P21" s="77">
        <f>O24</f>
        <v/>
      </c>
      <c r="Q21" s="77">
        <f>P24</f>
        <v/>
      </c>
      <c r="R21" s="77">
        <f>Q24</f>
        <v/>
      </c>
      <c r="S21" s="77">
        <f>R24</f>
        <v/>
      </c>
      <c r="T21" s="77">
        <f>S24</f>
        <v/>
      </c>
      <c r="U21" s="77">
        <f>T24</f>
        <v/>
      </c>
      <c r="V21" s="77">
        <f>U24</f>
        <v/>
      </c>
      <c r="W21" s="77">
        <f>V24</f>
        <v/>
      </c>
      <c r="X21" s="77">
        <f>W24</f>
        <v/>
      </c>
      <c r="Y21" s="77">
        <f>X24</f>
        <v/>
      </c>
      <c r="Z21" s="77">
        <f>Y24</f>
        <v/>
      </c>
      <c r="AA21" s="77">
        <f>Z24</f>
        <v/>
      </c>
      <c r="AB21" s="77">
        <f>AA24</f>
        <v/>
      </c>
      <c r="AC21" s="77">
        <f>AB24</f>
        <v/>
      </c>
      <c r="AD21" s="77">
        <f>AC24</f>
        <v/>
      </c>
      <c r="AE21" s="77">
        <f>AD24</f>
        <v/>
      </c>
      <c r="AF21" s="77">
        <f>AE24</f>
        <v/>
      </c>
      <c r="AG21" s="77">
        <f>AF24</f>
        <v/>
      </c>
      <c r="AH21" s="77">
        <f>AG24</f>
        <v/>
      </c>
      <c r="AI21" s="77">
        <f>AH24</f>
        <v/>
      </c>
      <c r="AJ21" s="77">
        <f>AI24</f>
        <v/>
      </c>
      <c r="AK21" s="77">
        <f>AJ24</f>
        <v/>
      </c>
      <c r="AL21" s="77">
        <f>AK24</f>
        <v/>
      </c>
      <c r="AM21" s="77">
        <f>AL24</f>
        <v/>
      </c>
      <c r="AN21" s="77">
        <f>AM24</f>
        <v/>
      </c>
      <c r="AO21" s="77">
        <f>AN24</f>
        <v/>
      </c>
      <c r="AP21" s="77">
        <f>AO24</f>
        <v/>
      </c>
      <c r="AQ21" s="77">
        <f>AP24</f>
        <v/>
      </c>
      <c r="AR21" s="77">
        <f>AQ24</f>
        <v/>
      </c>
      <c r="AS21" s="77">
        <f>AR24</f>
        <v/>
      </c>
      <c r="AT21" s="77">
        <f>AS24</f>
        <v/>
      </c>
      <c r="AU21" s="77">
        <f>AT24</f>
        <v/>
      </c>
      <c r="AV21" s="77">
        <f>AU24</f>
        <v/>
      </c>
      <c r="AW21" s="77">
        <f>AV24</f>
        <v/>
      </c>
      <c r="AX21" s="77">
        <f>AW24</f>
        <v/>
      </c>
      <c r="AY21" s="77">
        <f>AX24</f>
        <v/>
      </c>
      <c r="AZ21" s="77">
        <f>AY24</f>
        <v/>
      </c>
      <c r="BA21" s="77">
        <f>AZ24</f>
        <v/>
      </c>
      <c r="BB21" s="77">
        <f>BA24</f>
        <v/>
      </c>
      <c r="BC21" s="77">
        <f>BB24</f>
        <v/>
      </c>
      <c r="BD21" s="77">
        <f>BC24</f>
        <v/>
      </c>
      <c r="BE21" s="77">
        <f>BD24</f>
        <v/>
      </c>
      <c r="BF21" s="77">
        <f>BE24</f>
        <v/>
      </c>
      <c r="BG21" s="77">
        <f>BF24</f>
        <v/>
      </c>
      <c r="BH21" s="77">
        <f>BG24</f>
        <v/>
      </c>
      <c r="BI21" s="77">
        <f>BH24</f>
        <v/>
      </c>
      <c r="BJ21" s="77">
        <f>BI24</f>
        <v/>
      </c>
      <c r="BK21" s="77">
        <f>BJ24</f>
        <v/>
      </c>
      <c r="BL21" s="77">
        <f>BK24</f>
        <v/>
      </c>
      <c r="BM21" s="77">
        <f>BL24</f>
        <v/>
      </c>
      <c r="BN21" s="77">
        <f>BM24</f>
        <v/>
      </c>
      <c r="BO21" s="77">
        <f>BN24</f>
        <v/>
      </c>
      <c r="BP21" s="77">
        <f>BO24</f>
        <v/>
      </c>
      <c r="BQ21" s="77">
        <f>BP24</f>
        <v/>
      </c>
      <c r="BR21" s="77">
        <f>BQ24</f>
        <v/>
      </c>
      <c r="BS21" s="77">
        <f>BR24</f>
        <v/>
      </c>
      <c r="BT21" s="77">
        <f>BS24</f>
        <v/>
      </c>
      <c r="BU21" s="77">
        <f>BT24</f>
        <v/>
      </c>
      <c r="BV21" s="77">
        <f>BU24</f>
        <v/>
      </c>
      <c r="BW21" s="77">
        <f>BV24</f>
        <v/>
      </c>
      <c r="BX21" s="77">
        <f>BW24</f>
        <v/>
      </c>
      <c r="BY21" s="77">
        <f>BX24</f>
        <v/>
      </c>
      <c r="BZ21" s="77">
        <f>BY24</f>
        <v/>
      </c>
      <c r="CA21" s="77">
        <f>BZ24</f>
        <v/>
      </c>
      <c r="CB21" s="77">
        <f>CA24</f>
        <v/>
      </c>
      <c r="CC21" s="77">
        <f>CB24</f>
        <v/>
      </c>
      <c r="CD21" s="77">
        <f>CC24</f>
        <v/>
      </c>
    </row>
    <row r="22">
      <c r="A22" t="inlineStr">
        <is>
          <t>Distribution to Equity ($)</t>
        </is>
      </c>
      <c r="C22" s="77">
        <f>IF(C19=1,0,MAX(0,(C21+C16)-C20))</f>
        <v/>
      </c>
      <c r="D22" s="77">
        <f>IF(D19=1,0,MAX(0,(D21+D16)-D20))</f>
        <v/>
      </c>
      <c r="E22" s="77">
        <f>IF(E19=1,0,MAX(0,(E21+E16)-E20))</f>
        <v/>
      </c>
      <c r="F22" s="77">
        <f>IF(F19=1,0,MAX(0,(F21+F16)-F20))</f>
        <v/>
      </c>
      <c r="G22" s="77">
        <f>IF(G19=1,0,MAX(0,(G21+G16)-G20))</f>
        <v/>
      </c>
      <c r="H22" s="77">
        <f>IF(H19=1,0,MAX(0,(H21+H16)-H20))</f>
        <v/>
      </c>
      <c r="I22" s="77">
        <f>IF(I19=1,0,MAX(0,(I21+I16)-I20))</f>
        <v/>
      </c>
      <c r="J22" s="77">
        <f>IF(J19=1,0,MAX(0,(J21+J16)-J20))</f>
        <v/>
      </c>
      <c r="K22" s="77">
        <f>IF(K19=1,0,MAX(0,(K21+K16)-K20))</f>
        <v/>
      </c>
      <c r="L22" s="77">
        <f>IF(L19=1,0,MAX(0,(L21+L16)-L20))</f>
        <v/>
      </c>
      <c r="M22" s="77">
        <f>IF(M19=1,0,MAX(0,(M21+M16)-M20))</f>
        <v/>
      </c>
      <c r="N22" s="77">
        <f>IF(N19=1,0,MAX(0,(N21+N16)-N20))</f>
        <v/>
      </c>
      <c r="O22" s="77">
        <f>IF(O19=1,0,MAX(0,(O21+O16)-O20))</f>
        <v/>
      </c>
      <c r="P22" s="77">
        <f>IF(P19=1,0,MAX(0,(P21+P16)-P20))</f>
        <v/>
      </c>
      <c r="Q22" s="77">
        <f>IF(Q19=1,0,MAX(0,(Q21+Q16)-Q20))</f>
        <v/>
      </c>
      <c r="R22" s="77">
        <f>IF(R19=1,0,MAX(0,(R21+R16)-R20))</f>
        <v/>
      </c>
      <c r="S22" s="77">
        <f>IF(S19=1,0,MAX(0,(S21+S16)-S20))</f>
        <v/>
      </c>
      <c r="T22" s="77">
        <f>IF(T19=1,0,MAX(0,(T21+T16)-T20))</f>
        <v/>
      </c>
      <c r="U22" s="77">
        <f>IF(U19=1,0,MAX(0,(U21+U16)-U20))</f>
        <v/>
      </c>
      <c r="V22" s="77">
        <f>IF(V19=1,0,MAX(0,(V21+V16)-V20))</f>
        <v/>
      </c>
      <c r="W22" s="77">
        <f>IF(W19=1,0,MAX(0,(W21+W16)-W20))</f>
        <v/>
      </c>
      <c r="X22" s="77">
        <f>IF(X19=1,0,MAX(0,(X21+X16)-X20))</f>
        <v/>
      </c>
      <c r="Y22" s="77">
        <f>IF(Y19=1,0,MAX(0,(Y21+Y16)-Y20))</f>
        <v/>
      </c>
      <c r="Z22" s="77">
        <f>IF(Z19=1,0,MAX(0,(Z21+Z16)-Z20))</f>
        <v/>
      </c>
      <c r="AA22" s="77">
        <f>IF(AA19=1,0,MAX(0,(AA21+AA16)-AA20))</f>
        <v/>
      </c>
      <c r="AB22" s="77">
        <f>IF(AB19=1,0,MAX(0,(AB21+AB16)-AB20))</f>
        <v/>
      </c>
      <c r="AC22" s="77">
        <f>IF(AC19=1,0,MAX(0,(AC21+AC16)-AC20))</f>
        <v/>
      </c>
      <c r="AD22" s="77">
        <f>IF(AD19=1,0,MAX(0,(AD21+AD16)-AD20))</f>
        <v/>
      </c>
      <c r="AE22" s="77">
        <f>IF(AE19=1,0,MAX(0,(AE21+AE16)-AE20))</f>
        <v/>
      </c>
      <c r="AF22" s="77">
        <f>IF(AF19=1,0,MAX(0,(AF21+AF16)-AF20))</f>
        <v/>
      </c>
      <c r="AG22" s="77">
        <f>IF(AG19=1,0,MAX(0,(AG21+AG16)-AG20))</f>
        <v/>
      </c>
      <c r="AH22" s="77">
        <f>IF(AH19=1,0,MAX(0,(AH21+AH16)-AH20))</f>
        <v/>
      </c>
      <c r="AI22" s="77">
        <f>IF(AI19=1,0,MAX(0,(AI21+AI16)-AI20))</f>
        <v/>
      </c>
      <c r="AJ22" s="77">
        <f>IF(AJ19=1,0,MAX(0,(AJ21+AJ16)-AJ20))</f>
        <v/>
      </c>
      <c r="AK22" s="77">
        <f>IF(AK19=1,0,MAX(0,(AK21+AK16)-AK20))</f>
        <v/>
      </c>
      <c r="AL22" s="77">
        <f>IF(AL19=1,0,MAX(0,(AL21+AL16)-AL20))</f>
        <v/>
      </c>
      <c r="AM22" s="77">
        <f>IF(AM19=1,0,MAX(0,(AM21+AM16)-AM20))</f>
        <v/>
      </c>
      <c r="AN22" s="77">
        <f>IF(AN19=1,0,MAX(0,(AN21+AN16)-AN20))</f>
        <v/>
      </c>
      <c r="AO22" s="77">
        <f>IF(AO19=1,0,MAX(0,(AO21+AO16)-AO20))</f>
        <v/>
      </c>
      <c r="AP22" s="77">
        <f>IF(AP19=1,0,MAX(0,(AP21+AP16)-AP20))</f>
        <v/>
      </c>
      <c r="AQ22" s="77">
        <f>IF(AQ19=1,0,MAX(0,(AQ21+AQ16)-AQ20))</f>
        <v/>
      </c>
      <c r="AR22" s="77">
        <f>IF(AR19=1,0,MAX(0,(AR21+AR16)-AR20))</f>
        <v/>
      </c>
      <c r="AS22" s="77">
        <f>IF(AS19=1,0,MAX(0,(AS21+AS16)-AS20))</f>
        <v/>
      </c>
      <c r="AT22" s="77">
        <f>IF(AT19=1,0,MAX(0,(AT21+AT16)-AT20))</f>
        <v/>
      </c>
      <c r="AU22" s="77">
        <f>IF(AU19=1,0,MAX(0,(AU21+AU16)-AU20))</f>
        <v/>
      </c>
      <c r="AV22" s="77">
        <f>IF(AV19=1,0,MAX(0,(AV21+AV16)-AV20))</f>
        <v/>
      </c>
      <c r="AW22" s="77">
        <f>IF(AW19=1,0,MAX(0,(AW21+AW16)-AW20))</f>
        <v/>
      </c>
      <c r="AX22" s="77">
        <f>IF(AX19=1,0,MAX(0,(AX21+AX16)-AX20))</f>
        <v/>
      </c>
      <c r="AY22" s="77">
        <f>IF(AY19=1,0,MAX(0,(AY21+AY16)-AY20))</f>
        <v/>
      </c>
      <c r="AZ22" s="77">
        <f>IF(AZ19=1,0,MAX(0,(AZ21+AZ16)-AZ20))</f>
        <v/>
      </c>
      <c r="BA22" s="77">
        <f>IF(BA19=1,0,MAX(0,(BA21+BA16)-BA20))</f>
        <v/>
      </c>
      <c r="BB22" s="77">
        <f>IF(BB19=1,0,MAX(0,(BB21+BB16)-BB20))</f>
        <v/>
      </c>
      <c r="BC22" s="77">
        <f>IF(BC19=1,0,MAX(0,(BC21+BC16)-BC20))</f>
        <v/>
      </c>
      <c r="BD22" s="77">
        <f>IF(BD19=1,0,MAX(0,(BD21+BD16)-BD20))</f>
        <v/>
      </c>
      <c r="BE22" s="77">
        <f>IF(BE19=1,0,MAX(0,(BE21+BE16)-BE20))</f>
        <v/>
      </c>
      <c r="BF22" s="77">
        <f>IF(BF19=1,0,MAX(0,(BF21+BF16)-BF20))</f>
        <v/>
      </c>
      <c r="BG22" s="77">
        <f>IF(BG19=1,0,MAX(0,(BG21+BG16)-BG20))</f>
        <v/>
      </c>
      <c r="BH22" s="77">
        <f>IF(BH19=1,0,MAX(0,(BH21+BH16)-BH20))</f>
        <v/>
      </c>
      <c r="BI22" s="77">
        <f>IF(BI19=1,0,MAX(0,(BI21+BI16)-BI20))</f>
        <v/>
      </c>
      <c r="BJ22" s="77">
        <f>IF(BJ19=1,0,MAX(0,(BJ21+BJ16)-BJ20))</f>
        <v/>
      </c>
      <c r="BK22" s="77">
        <f>IF(BK19=1,0,MAX(0,(BK21+BK16)-BK20))</f>
        <v/>
      </c>
      <c r="BL22" s="77">
        <f>IF(BL19=1,0,MAX(0,(BL21+BL16)-BL20))</f>
        <v/>
      </c>
      <c r="BM22" s="77">
        <f>IF(BM19=1,0,MAX(0,(BM21+BM16)-BM20))</f>
        <v/>
      </c>
      <c r="BN22" s="77">
        <f>IF(BN19=1,0,MAX(0,(BN21+BN16)-BN20))</f>
        <v/>
      </c>
      <c r="BO22" s="77">
        <f>IF(BO19=1,0,MAX(0,(BO21+BO16)-BO20))</f>
        <v/>
      </c>
      <c r="BP22" s="77">
        <f>IF(BP19=1,0,MAX(0,(BP21+BP16)-BP20))</f>
        <v/>
      </c>
      <c r="BQ22" s="77">
        <f>IF(BQ19=1,0,MAX(0,(BQ21+BQ16)-BQ20))</f>
        <v/>
      </c>
      <c r="BR22" s="77">
        <f>IF(BR19=1,0,MAX(0,(BR21+BR16)-BR20))</f>
        <v/>
      </c>
      <c r="BS22" s="77">
        <f>IF(BS19=1,0,MAX(0,(BS21+BS16)-BS20))</f>
        <v/>
      </c>
      <c r="BT22" s="77">
        <f>IF(BT19=1,0,MAX(0,(BT21+BT16)-BT20))</f>
        <v/>
      </c>
      <c r="BU22" s="77">
        <f>IF(BU19=1,0,MAX(0,(BU21+BU16)-BU20))</f>
        <v/>
      </c>
      <c r="BV22" s="77">
        <f>IF(BV19=1,0,MAX(0,(BV21+BV16)-BV20))</f>
        <v/>
      </c>
      <c r="BW22" s="77">
        <f>IF(BW19=1,0,MAX(0,(BW21+BW16)-BW20))</f>
        <v/>
      </c>
      <c r="BX22" s="77">
        <f>IF(BX19=1,0,MAX(0,(BX21+BX16)-BX20))</f>
        <v/>
      </c>
      <c r="BY22" s="77">
        <f>IF(BY19=1,0,MAX(0,(BY21+BY16)-BY20))</f>
        <v/>
      </c>
      <c r="BZ22" s="77">
        <f>IF(BZ19=1,0,MAX(0,(BZ21+BZ16)-BZ20))</f>
        <v/>
      </c>
      <c r="CA22" s="77">
        <f>IF(CA19=1,0,MAX(0,(CA21+CA16)-CA20))</f>
        <v/>
      </c>
      <c r="CB22" s="77">
        <f>IF(CB19=1,0,MAX(0,(CB21+CB16)-CB20))</f>
        <v/>
      </c>
      <c r="CC22" s="77">
        <f>IF(CC19=1,0,MAX(0,(CC21+CC16)-CC20))</f>
        <v/>
      </c>
      <c r="CD22" s="77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7">
        <f>MAX(0,-(C21+C16))</f>
        <v/>
      </c>
      <c r="D23" s="77">
        <f>MAX(0,-(D21+D16))</f>
        <v/>
      </c>
      <c r="E23" s="77">
        <f>MAX(0,-(E21+E16))</f>
        <v/>
      </c>
      <c r="F23" s="77">
        <f>MAX(0,-(F21+F16))</f>
        <v/>
      </c>
      <c r="G23" s="77">
        <f>MAX(0,-(G21+G16))</f>
        <v/>
      </c>
      <c r="H23" s="77">
        <f>MAX(0,-(H21+H16))</f>
        <v/>
      </c>
      <c r="I23" s="77">
        <f>MAX(0,-(I21+I16))</f>
        <v/>
      </c>
      <c r="J23" s="77">
        <f>MAX(0,-(J21+J16))</f>
        <v/>
      </c>
      <c r="K23" s="77">
        <f>MAX(0,-(K21+K16))</f>
        <v/>
      </c>
      <c r="L23" s="77">
        <f>MAX(0,-(L21+L16))</f>
        <v/>
      </c>
      <c r="M23" s="77">
        <f>MAX(0,-(M21+M16))</f>
        <v/>
      </c>
      <c r="N23" s="77">
        <f>MAX(0,-(N21+N16))</f>
        <v/>
      </c>
      <c r="O23" s="77">
        <f>MAX(0,-(O21+O16))</f>
        <v/>
      </c>
      <c r="P23" s="77">
        <f>MAX(0,-(P21+P16))</f>
        <v/>
      </c>
      <c r="Q23" s="77">
        <f>MAX(0,-(Q21+Q16))</f>
        <v/>
      </c>
      <c r="R23" s="77">
        <f>MAX(0,-(R21+R16))</f>
        <v/>
      </c>
      <c r="S23" s="77">
        <f>MAX(0,-(S21+S16))</f>
        <v/>
      </c>
      <c r="T23" s="77">
        <f>MAX(0,-(T21+T16))</f>
        <v/>
      </c>
      <c r="U23" s="77">
        <f>MAX(0,-(U21+U16))</f>
        <v/>
      </c>
      <c r="V23" s="77">
        <f>MAX(0,-(V21+V16))</f>
        <v/>
      </c>
      <c r="W23" s="77">
        <f>MAX(0,-(W21+W16))</f>
        <v/>
      </c>
      <c r="X23" s="77">
        <f>MAX(0,-(X21+X16))</f>
        <v/>
      </c>
      <c r="Y23" s="77">
        <f>MAX(0,-(Y21+Y16))</f>
        <v/>
      </c>
      <c r="Z23" s="77">
        <f>MAX(0,-(Z21+Z16))</f>
        <v/>
      </c>
      <c r="AA23" s="77">
        <f>MAX(0,-(AA21+AA16))</f>
        <v/>
      </c>
      <c r="AB23" s="77">
        <f>MAX(0,-(AB21+AB16))</f>
        <v/>
      </c>
      <c r="AC23" s="77">
        <f>MAX(0,-(AC21+AC16))</f>
        <v/>
      </c>
      <c r="AD23" s="77">
        <f>MAX(0,-(AD21+AD16))</f>
        <v/>
      </c>
      <c r="AE23" s="77">
        <f>MAX(0,-(AE21+AE16))</f>
        <v/>
      </c>
      <c r="AF23" s="77">
        <f>MAX(0,-(AF21+AF16))</f>
        <v/>
      </c>
      <c r="AG23" s="77">
        <f>MAX(0,-(AG21+AG16))</f>
        <v/>
      </c>
      <c r="AH23" s="77">
        <f>MAX(0,-(AH21+AH16))</f>
        <v/>
      </c>
      <c r="AI23" s="77">
        <f>MAX(0,-(AI21+AI16))</f>
        <v/>
      </c>
      <c r="AJ23" s="77">
        <f>MAX(0,-(AJ21+AJ16))</f>
        <v/>
      </c>
      <c r="AK23" s="77">
        <f>MAX(0,-(AK21+AK16))</f>
        <v/>
      </c>
      <c r="AL23" s="77">
        <f>MAX(0,-(AL21+AL16))</f>
        <v/>
      </c>
      <c r="AM23" s="77">
        <f>MAX(0,-(AM21+AM16))</f>
        <v/>
      </c>
      <c r="AN23" s="77">
        <f>MAX(0,-(AN21+AN16))</f>
        <v/>
      </c>
      <c r="AO23" s="77">
        <f>MAX(0,-(AO21+AO16))</f>
        <v/>
      </c>
      <c r="AP23" s="77">
        <f>MAX(0,-(AP21+AP16))</f>
        <v/>
      </c>
      <c r="AQ23" s="77">
        <f>MAX(0,-(AQ21+AQ16))</f>
        <v/>
      </c>
      <c r="AR23" s="77">
        <f>MAX(0,-(AR21+AR16))</f>
        <v/>
      </c>
      <c r="AS23" s="77">
        <f>MAX(0,-(AS21+AS16))</f>
        <v/>
      </c>
      <c r="AT23" s="77">
        <f>MAX(0,-(AT21+AT16))</f>
        <v/>
      </c>
      <c r="AU23" s="77">
        <f>MAX(0,-(AU21+AU16))</f>
        <v/>
      </c>
      <c r="AV23" s="77">
        <f>MAX(0,-(AV21+AV16))</f>
        <v/>
      </c>
      <c r="AW23" s="77">
        <f>MAX(0,-(AW21+AW16))</f>
        <v/>
      </c>
      <c r="AX23" s="77">
        <f>MAX(0,-(AX21+AX16))</f>
        <v/>
      </c>
      <c r="AY23" s="77">
        <f>MAX(0,-(AY21+AY16))</f>
        <v/>
      </c>
      <c r="AZ23" s="77">
        <f>MAX(0,-(AZ21+AZ16))</f>
        <v/>
      </c>
      <c r="BA23" s="77">
        <f>MAX(0,-(BA21+BA16))</f>
        <v/>
      </c>
      <c r="BB23" s="77">
        <f>MAX(0,-(BB21+BB16))</f>
        <v/>
      </c>
      <c r="BC23" s="77">
        <f>MAX(0,-(BC21+BC16))</f>
        <v/>
      </c>
      <c r="BD23" s="77">
        <f>MAX(0,-(BD21+BD16))</f>
        <v/>
      </c>
      <c r="BE23" s="77">
        <f>MAX(0,-(BE21+BE16))</f>
        <v/>
      </c>
      <c r="BF23" s="77">
        <f>MAX(0,-(BF21+BF16))</f>
        <v/>
      </c>
      <c r="BG23" s="77">
        <f>MAX(0,-(BG21+BG16))</f>
        <v/>
      </c>
      <c r="BH23" s="77">
        <f>MAX(0,-(BH21+BH16))</f>
        <v/>
      </c>
      <c r="BI23" s="77">
        <f>MAX(0,-(BI21+BI16))</f>
        <v/>
      </c>
      <c r="BJ23" s="77">
        <f>MAX(0,-(BJ21+BJ16))</f>
        <v/>
      </c>
      <c r="BK23" s="77">
        <f>MAX(0,-(BK21+BK16))</f>
        <v/>
      </c>
      <c r="BL23" s="77">
        <f>MAX(0,-(BL21+BL16))</f>
        <v/>
      </c>
      <c r="BM23" s="77">
        <f>MAX(0,-(BM21+BM16))</f>
        <v/>
      </c>
      <c r="BN23" s="77">
        <f>MAX(0,-(BN21+BN16))</f>
        <v/>
      </c>
      <c r="BO23" s="77">
        <f>MAX(0,-(BO21+BO16))</f>
        <v/>
      </c>
      <c r="BP23" s="77">
        <f>MAX(0,-(BP21+BP16))</f>
        <v/>
      </c>
      <c r="BQ23" s="77">
        <f>MAX(0,-(BQ21+BQ16))</f>
        <v/>
      </c>
      <c r="BR23" s="77">
        <f>MAX(0,-(BR21+BR16))</f>
        <v/>
      </c>
      <c r="BS23" s="77">
        <f>MAX(0,-(BS21+BS16))</f>
        <v/>
      </c>
      <c r="BT23" s="77">
        <f>MAX(0,-(BT21+BT16))</f>
        <v/>
      </c>
      <c r="BU23" s="77">
        <f>MAX(0,-(BU21+BU16))</f>
        <v/>
      </c>
      <c r="BV23" s="77">
        <f>MAX(0,-(BV21+BV16))</f>
        <v/>
      </c>
      <c r="BW23" s="77">
        <f>MAX(0,-(BW21+BW16))</f>
        <v/>
      </c>
      <c r="BX23" s="77">
        <f>MAX(0,-(BX21+BX16))</f>
        <v/>
      </c>
      <c r="BY23" s="77">
        <f>MAX(0,-(BY21+BY16))</f>
        <v/>
      </c>
      <c r="BZ23" s="77">
        <f>MAX(0,-(BZ21+BZ16))</f>
        <v/>
      </c>
      <c r="CA23" s="77">
        <f>MAX(0,-(CA21+CA16))</f>
        <v/>
      </c>
      <c r="CB23" s="77">
        <f>MAX(0,-(CB21+CB16))</f>
        <v/>
      </c>
      <c r="CC23" s="77">
        <f>MAX(0,-(CC21+CC16))</f>
        <v/>
      </c>
      <c r="CD23" s="77">
        <f>MAX(0,-(CD21+CD16))</f>
        <v/>
      </c>
    </row>
    <row r="24">
      <c r="A24" t="inlineStr">
        <is>
          <t>Cash Buffer, Closing ($)</t>
        </is>
      </c>
      <c r="C24" s="77">
        <f>(C21+C16)-C22+C23</f>
        <v/>
      </c>
      <c r="D24" s="77">
        <f>(D21+D16)-D22+D23</f>
        <v/>
      </c>
      <c r="E24" s="77">
        <f>(E21+E16)-E22+E23</f>
        <v/>
      </c>
      <c r="F24" s="77">
        <f>(F21+F16)-F22+F23</f>
        <v/>
      </c>
      <c r="G24" s="77">
        <f>(G21+G16)-G22+G23</f>
        <v/>
      </c>
      <c r="H24" s="77">
        <f>(H21+H16)-H22+H23</f>
        <v/>
      </c>
      <c r="I24" s="77">
        <f>(I21+I16)-I22+I23</f>
        <v/>
      </c>
      <c r="J24" s="77">
        <f>(J21+J16)-J22+J23</f>
        <v/>
      </c>
      <c r="K24" s="77">
        <f>(K21+K16)-K22+K23</f>
        <v/>
      </c>
      <c r="L24" s="77">
        <f>(L21+L16)-L22+L23</f>
        <v/>
      </c>
      <c r="M24" s="77">
        <f>(M21+M16)-M22+M23</f>
        <v/>
      </c>
      <c r="N24" s="77">
        <f>(N21+N16)-N22+N23</f>
        <v/>
      </c>
      <c r="O24" s="77">
        <f>(O21+O16)-O22+O23</f>
        <v/>
      </c>
      <c r="P24" s="77">
        <f>(P21+P16)-P22+P23</f>
        <v/>
      </c>
      <c r="Q24" s="77">
        <f>(Q21+Q16)-Q22+Q23</f>
        <v/>
      </c>
      <c r="R24" s="77">
        <f>(R21+R16)-R22+R23</f>
        <v/>
      </c>
      <c r="S24" s="77">
        <f>(S21+S16)-S22+S23</f>
        <v/>
      </c>
      <c r="T24" s="77">
        <f>(T21+T16)-T22+T23</f>
        <v/>
      </c>
      <c r="U24" s="77">
        <f>(U21+U16)-U22+U23</f>
        <v/>
      </c>
      <c r="V24" s="77">
        <f>(V21+V16)-V22+V23</f>
        <v/>
      </c>
      <c r="W24" s="77">
        <f>(W21+W16)-W22+W23</f>
        <v/>
      </c>
      <c r="X24" s="77">
        <f>(X21+X16)-X22+X23</f>
        <v/>
      </c>
      <c r="Y24" s="77">
        <f>(Y21+Y16)-Y22+Y23</f>
        <v/>
      </c>
      <c r="Z24" s="77">
        <f>(Z21+Z16)-Z22+Z23</f>
        <v/>
      </c>
      <c r="AA24" s="77">
        <f>(AA21+AA16)-AA22+AA23</f>
        <v/>
      </c>
      <c r="AB24" s="77">
        <f>(AB21+AB16)-AB22+AB23</f>
        <v/>
      </c>
      <c r="AC24" s="77">
        <f>(AC21+AC16)-AC22+AC23</f>
        <v/>
      </c>
      <c r="AD24" s="77">
        <f>(AD21+AD16)-AD22+AD23</f>
        <v/>
      </c>
      <c r="AE24" s="77">
        <f>(AE21+AE16)-AE22+AE23</f>
        <v/>
      </c>
      <c r="AF24" s="77">
        <f>(AF21+AF16)-AF22+AF23</f>
        <v/>
      </c>
      <c r="AG24" s="77">
        <f>(AG21+AG16)-AG22+AG23</f>
        <v/>
      </c>
      <c r="AH24" s="77">
        <f>(AH21+AH16)-AH22+AH23</f>
        <v/>
      </c>
      <c r="AI24" s="77">
        <f>(AI21+AI16)-AI22+AI23</f>
        <v/>
      </c>
      <c r="AJ24" s="77">
        <f>(AJ21+AJ16)-AJ22+AJ23</f>
        <v/>
      </c>
      <c r="AK24" s="77">
        <f>(AK21+AK16)-AK22+AK23</f>
        <v/>
      </c>
      <c r="AL24" s="77">
        <f>(AL21+AL16)-AL22+AL23</f>
        <v/>
      </c>
      <c r="AM24" s="77">
        <f>(AM21+AM16)-AM22+AM23</f>
        <v/>
      </c>
      <c r="AN24" s="77">
        <f>(AN21+AN16)-AN22+AN23</f>
        <v/>
      </c>
      <c r="AO24" s="77">
        <f>(AO21+AO16)-AO22+AO23</f>
        <v/>
      </c>
      <c r="AP24" s="77">
        <f>(AP21+AP16)-AP22+AP23</f>
        <v/>
      </c>
      <c r="AQ24" s="77">
        <f>(AQ21+AQ16)-AQ22+AQ23</f>
        <v/>
      </c>
      <c r="AR24" s="77">
        <f>(AR21+AR16)-AR22+AR23</f>
        <v/>
      </c>
      <c r="AS24" s="77">
        <f>(AS21+AS16)-AS22+AS23</f>
        <v/>
      </c>
      <c r="AT24" s="77">
        <f>(AT21+AT16)-AT22+AT23</f>
        <v/>
      </c>
      <c r="AU24" s="77">
        <f>(AU21+AU16)-AU22+AU23</f>
        <v/>
      </c>
      <c r="AV24" s="77">
        <f>(AV21+AV16)-AV22+AV23</f>
        <v/>
      </c>
      <c r="AW24" s="77">
        <f>(AW21+AW16)-AW22+AW23</f>
        <v/>
      </c>
      <c r="AX24" s="77">
        <f>(AX21+AX16)-AX22+AX23</f>
        <v/>
      </c>
      <c r="AY24" s="77">
        <f>(AY21+AY16)-AY22+AY23</f>
        <v/>
      </c>
      <c r="AZ24" s="77">
        <f>(AZ21+AZ16)-AZ22+AZ23</f>
        <v/>
      </c>
      <c r="BA24" s="77">
        <f>(BA21+BA16)-BA22+BA23</f>
        <v/>
      </c>
      <c r="BB24" s="77">
        <f>(BB21+BB16)-BB22+BB23</f>
        <v/>
      </c>
      <c r="BC24" s="77">
        <f>(BC21+BC16)-BC22+BC23</f>
        <v/>
      </c>
      <c r="BD24" s="77">
        <f>(BD21+BD16)-BD22+BD23</f>
        <v/>
      </c>
      <c r="BE24" s="77">
        <f>(BE21+BE16)-BE22+BE23</f>
        <v/>
      </c>
      <c r="BF24" s="77">
        <f>(BF21+BF16)-BF22+BF23</f>
        <v/>
      </c>
      <c r="BG24" s="77">
        <f>(BG21+BG16)-BG22+BG23</f>
        <v/>
      </c>
      <c r="BH24" s="77">
        <f>(BH21+BH16)-BH22+BH23</f>
        <v/>
      </c>
      <c r="BI24" s="77">
        <f>(BI21+BI16)-BI22+BI23</f>
        <v/>
      </c>
      <c r="BJ24" s="77">
        <f>(BJ21+BJ16)-BJ22+BJ23</f>
        <v/>
      </c>
      <c r="BK24" s="77">
        <f>(BK21+BK16)-BK22+BK23</f>
        <v/>
      </c>
      <c r="BL24" s="77">
        <f>(BL21+BL16)-BL22+BL23</f>
        <v/>
      </c>
      <c r="BM24" s="77">
        <f>(BM21+BM16)-BM22+BM23</f>
        <v/>
      </c>
      <c r="BN24" s="77">
        <f>(BN21+BN16)-BN22+BN23</f>
        <v/>
      </c>
      <c r="BO24" s="77">
        <f>(BO21+BO16)-BO22+BO23</f>
        <v/>
      </c>
      <c r="BP24" s="77">
        <f>(BP21+BP16)-BP22+BP23</f>
        <v/>
      </c>
      <c r="BQ24" s="77">
        <f>(BQ21+BQ16)-BQ22+BQ23</f>
        <v/>
      </c>
      <c r="BR24" s="77">
        <f>(BR21+BR16)-BR22+BR23</f>
        <v/>
      </c>
      <c r="BS24" s="77">
        <f>(BS21+BS16)-BS22+BS23</f>
        <v/>
      </c>
      <c r="BT24" s="77">
        <f>(BT21+BT16)-BT22+BT23</f>
        <v/>
      </c>
      <c r="BU24" s="77">
        <f>(BU21+BU16)-BU22+BU23</f>
        <v/>
      </c>
      <c r="BV24" s="77">
        <f>(BV21+BV16)-BV22+BV23</f>
        <v/>
      </c>
      <c r="BW24" s="77">
        <f>(BW21+BW16)-BW22+BW23</f>
        <v/>
      </c>
      <c r="BX24" s="77">
        <f>(BX21+BX16)-BX22+BX23</f>
        <v/>
      </c>
      <c r="BY24" s="77">
        <f>(BY21+BY16)-BY22+BY23</f>
        <v/>
      </c>
      <c r="BZ24" s="77">
        <f>(BZ21+BZ16)-BZ22+BZ23</f>
        <v/>
      </c>
      <c r="CA24" s="77">
        <f>(CA21+CA16)-CA22+CA23</f>
        <v/>
      </c>
      <c r="CB24" s="77">
        <f>(CB21+CB16)-CB22+CB23</f>
        <v/>
      </c>
      <c r="CC24" s="77">
        <f>(CC21+CC16)-CC22+CC23</f>
        <v/>
      </c>
      <c r="CD24" s="77">
        <f>(CD21+CD16)-CD22+CD23</f>
        <v/>
      </c>
    </row>
    <row r="26">
      <c r="A26" t="inlineStr">
        <is>
          <t>FCFE ($) = Distributions less Equity Injections</t>
        </is>
      </c>
      <c r="C26" s="77">
        <f>C22-C23</f>
        <v/>
      </c>
      <c r="D26" s="77">
        <f>D22-D23</f>
        <v/>
      </c>
      <c r="E26" s="77">
        <f>E22-E23</f>
        <v/>
      </c>
      <c r="F26" s="77">
        <f>F22-F23</f>
        <v/>
      </c>
      <c r="G26" s="77">
        <f>G22-G23</f>
        <v/>
      </c>
      <c r="H26" s="77">
        <f>H22-H23</f>
        <v/>
      </c>
      <c r="I26" s="77">
        <f>I22-I23</f>
        <v/>
      </c>
      <c r="J26" s="77">
        <f>J22-J23</f>
        <v/>
      </c>
      <c r="K26" s="77">
        <f>K22-K23</f>
        <v/>
      </c>
      <c r="L26" s="77">
        <f>L22-L23</f>
        <v/>
      </c>
      <c r="M26" s="77">
        <f>M22-M23</f>
        <v/>
      </c>
      <c r="N26" s="77">
        <f>N22-N23</f>
        <v/>
      </c>
      <c r="O26" s="77">
        <f>O22-O23</f>
        <v/>
      </c>
      <c r="P26" s="77">
        <f>P22-P23</f>
        <v/>
      </c>
      <c r="Q26" s="77">
        <f>Q22-Q23</f>
        <v/>
      </c>
      <c r="R26" s="77">
        <f>R22-R23</f>
        <v/>
      </c>
      <c r="S26" s="77">
        <f>S22-S23</f>
        <v/>
      </c>
      <c r="T26" s="77">
        <f>T22-T23</f>
        <v/>
      </c>
      <c r="U26" s="77">
        <f>U22-U23</f>
        <v/>
      </c>
      <c r="V26" s="77">
        <f>V22-V23</f>
        <v/>
      </c>
      <c r="W26" s="77">
        <f>W22-W23</f>
        <v/>
      </c>
      <c r="X26" s="77">
        <f>X22-X23</f>
        <v/>
      </c>
      <c r="Y26" s="77">
        <f>Y22-Y23</f>
        <v/>
      </c>
      <c r="Z26" s="77">
        <f>Z22-Z23</f>
        <v/>
      </c>
      <c r="AA26" s="77">
        <f>AA22-AA23</f>
        <v/>
      </c>
      <c r="AB26" s="77">
        <f>AB22-AB23</f>
        <v/>
      </c>
      <c r="AC26" s="77">
        <f>AC22-AC23</f>
        <v/>
      </c>
      <c r="AD26" s="77">
        <f>AD22-AD23</f>
        <v/>
      </c>
      <c r="AE26" s="77">
        <f>AE22-AE23</f>
        <v/>
      </c>
      <c r="AF26" s="77">
        <f>AF22-AF23</f>
        <v/>
      </c>
      <c r="AG26" s="77">
        <f>AG22-AG23</f>
        <v/>
      </c>
      <c r="AH26" s="77">
        <f>AH22-AH23</f>
        <v/>
      </c>
      <c r="AI26" s="77">
        <f>AI22-AI23</f>
        <v/>
      </c>
      <c r="AJ26" s="77">
        <f>AJ22-AJ23</f>
        <v/>
      </c>
      <c r="AK26" s="77">
        <f>AK22-AK23</f>
        <v/>
      </c>
      <c r="AL26" s="77">
        <f>AL22-AL23</f>
        <v/>
      </c>
      <c r="AM26" s="77">
        <f>AM22-AM23</f>
        <v/>
      </c>
      <c r="AN26" s="77">
        <f>AN22-AN23</f>
        <v/>
      </c>
      <c r="AO26" s="77">
        <f>AO22-AO23</f>
        <v/>
      </c>
      <c r="AP26" s="77">
        <f>AP22-AP23</f>
        <v/>
      </c>
      <c r="AQ26" s="77">
        <f>AQ22-AQ23</f>
        <v/>
      </c>
      <c r="AR26" s="77">
        <f>AR22-AR23</f>
        <v/>
      </c>
      <c r="AS26" s="77">
        <f>AS22-AS23</f>
        <v/>
      </c>
      <c r="AT26" s="77">
        <f>AT22-AT23</f>
        <v/>
      </c>
      <c r="AU26" s="77">
        <f>AU22-AU23</f>
        <v/>
      </c>
      <c r="AV26" s="77">
        <f>AV22-AV23</f>
        <v/>
      </c>
      <c r="AW26" s="77">
        <f>AW22-AW23</f>
        <v/>
      </c>
      <c r="AX26" s="77">
        <f>AX22-AX23</f>
        <v/>
      </c>
      <c r="AY26" s="77">
        <f>AY22-AY23</f>
        <v/>
      </c>
      <c r="AZ26" s="77">
        <f>AZ22-AZ23</f>
        <v/>
      </c>
      <c r="BA26" s="77">
        <f>BA22-BA23</f>
        <v/>
      </c>
      <c r="BB26" s="77">
        <f>BB22-BB23</f>
        <v/>
      </c>
      <c r="BC26" s="77">
        <f>BC22-BC23</f>
        <v/>
      </c>
      <c r="BD26" s="77">
        <f>BD22-BD23</f>
        <v/>
      </c>
      <c r="BE26" s="77">
        <f>BE22-BE23</f>
        <v/>
      </c>
      <c r="BF26" s="77">
        <f>BF22-BF23</f>
        <v/>
      </c>
      <c r="BG26" s="77">
        <f>BG22-BG23</f>
        <v/>
      </c>
      <c r="BH26" s="77">
        <f>BH22-BH23</f>
        <v/>
      </c>
      <c r="BI26" s="77">
        <f>BI22-BI23</f>
        <v/>
      </c>
      <c r="BJ26" s="77">
        <f>BJ22-BJ23</f>
        <v/>
      </c>
      <c r="BK26" s="77">
        <f>BK22-BK23</f>
        <v/>
      </c>
      <c r="BL26" s="77">
        <f>BL22-BL23</f>
        <v/>
      </c>
      <c r="BM26" s="77">
        <f>BM22-BM23</f>
        <v/>
      </c>
      <c r="BN26" s="77">
        <f>BN22-BN23</f>
        <v/>
      </c>
      <c r="BO26" s="77">
        <f>BO22-BO23</f>
        <v/>
      </c>
      <c r="BP26" s="77">
        <f>BP22-BP23</f>
        <v/>
      </c>
      <c r="BQ26" s="77">
        <f>BQ22-BQ23</f>
        <v/>
      </c>
      <c r="BR26" s="77">
        <f>BR22-BR23</f>
        <v/>
      </c>
      <c r="BS26" s="77">
        <f>BS22-BS23</f>
        <v/>
      </c>
      <c r="BT26" s="77">
        <f>BT22-BT23</f>
        <v/>
      </c>
      <c r="BU26" s="77">
        <f>BU22-BU23</f>
        <v/>
      </c>
      <c r="BV26" s="77">
        <f>BV22-BV23</f>
        <v/>
      </c>
      <c r="BW26" s="77">
        <f>BW22-BW23</f>
        <v/>
      </c>
      <c r="BX26" s="77">
        <f>BX22-BX23</f>
        <v/>
      </c>
      <c r="BY26" s="77">
        <f>BY22-BY23</f>
        <v/>
      </c>
      <c r="BZ26" s="77">
        <f>BZ22-BZ23</f>
        <v/>
      </c>
      <c r="CA26" s="77">
        <f>CA22-CA23</f>
        <v/>
      </c>
      <c r="CB26" s="77">
        <f>CB22-CB23</f>
        <v/>
      </c>
      <c r="CC26" s="77">
        <f>CC22-CC23</f>
        <v/>
      </c>
      <c r="CD26" s="77">
        <f>CD22-CD23</f>
        <v/>
      </c>
    </row>
    <row r="27">
      <c r="A27" t="inlineStr">
        <is>
          <t>FCFF ($) = CFADS - Maintenance Capex (unlevered)</t>
        </is>
      </c>
      <c r="C27" s="77">
        <f>C5-C11</f>
        <v/>
      </c>
      <c r="D27" s="77">
        <f>D5-D11</f>
        <v/>
      </c>
      <c r="E27" s="77">
        <f>E5-E11</f>
        <v/>
      </c>
      <c r="F27" s="77">
        <f>F5-F11</f>
        <v/>
      </c>
      <c r="G27" s="77">
        <f>G5-G11</f>
        <v/>
      </c>
      <c r="H27" s="77">
        <f>H5-H11</f>
        <v/>
      </c>
      <c r="I27" s="77">
        <f>I5-I11</f>
        <v/>
      </c>
      <c r="J27" s="77">
        <f>J5-J11</f>
        <v/>
      </c>
      <c r="K27" s="77">
        <f>K5-K11</f>
        <v/>
      </c>
      <c r="L27" s="77">
        <f>L5-L11</f>
        <v/>
      </c>
      <c r="M27" s="77">
        <f>M5-M11</f>
        <v/>
      </c>
      <c r="N27" s="77">
        <f>N5-N11</f>
        <v/>
      </c>
      <c r="O27" s="77">
        <f>O5-O11</f>
        <v/>
      </c>
      <c r="P27" s="77">
        <f>P5-P11</f>
        <v/>
      </c>
      <c r="Q27" s="77">
        <f>Q5-Q11</f>
        <v/>
      </c>
      <c r="R27" s="77">
        <f>R5-R11</f>
        <v/>
      </c>
      <c r="S27" s="77">
        <f>S5-S11</f>
        <v/>
      </c>
      <c r="T27" s="77">
        <f>T5-T11</f>
        <v/>
      </c>
      <c r="U27" s="77">
        <f>U5-U11</f>
        <v/>
      </c>
      <c r="V27" s="77">
        <f>V5-V11</f>
        <v/>
      </c>
      <c r="W27" s="77">
        <f>W5-W11</f>
        <v/>
      </c>
      <c r="X27" s="77">
        <f>X5-X11</f>
        <v/>
      </c>
      <c r="Y27" s="77">
        <f>Y5-Y11</f>
        <v/>
      </c>
      <c r="Z27" s="77">
        <f>Z5-Z11</f>
        <v/>
      </c>
      <c r="AA27" s="77">
        <f>AA5-AA11</f>
        <v/>
      </c>
      <c r="AB27" s="77">
        <f>AB5-AB11</f>
        <v/>
      </c>
      <c r="AC27" s="77">
        <f>AC5-AC11</f>
        <v/>
      </c>
      <c r="AD27" s="77">
        <f>AD5-AD11</f>
        <v/>
      </c>
      <c r="AE27" s="77">
        <f>AE5-AE11</f>
        <v/>
      </c>
      <c r="AF27" s="77">
        <f>AF5-AF11</f>
        <v/>
      </c>
      <c r="AG27" s="77">
        <f>AG5-AG11</f>
        <v/>
      </c>
      <c r="AH27" s="77">
        <f>AH5-AH11</f>
        <v/>
      </c>
      <c r="AI27" s="77">
        <f>AI5-AI11</f>
        <v/>
      </c>
      <c r="AJ27" s="77">
        <f>AJ5-AJ11</f>
        <v/>
      </c>
      <c r="AK27" s="77">
        <f>AK5-AK11</f>
        <v/>
      </c>
      <c r="AL27" s="77">
        <f>AL5-AL11</f>
        <v/>
      </c>
      <c r="AM27" s="77">
        <f>AM5-AM11</f>
        <v/>
      </c>
      <c r="AN27" s="77">
        <f>AN5-AN11</f>
        <v/>
      </c>
      <c r="AO27" s="77">
        <f>AO5-AO11</f>
        <v/>
      </c>
      <c r="AP27" s="77">
        <f>AP5-AP11</f>
        <v/>
      </c>
      <c r="AQ27" s="77">
        <f>AQ5-AQ11</f>
        <v/>
      </c>
      <c r="AR27" s="77">
        <f>AR5-AR11</f>
        <v/>
      </c>
      <c r="AS27" s="77">
        <f>AS5-AS11</f>
        <v/>
      </c>
      <c r="AT27" s="77">
        <f>AT5-AT11</f>
        <v/>
      </c>
      <c r="AU27" s="77">
        <f>AU5-AU11</f>
        <v/>
      </c>
      <c r="AV27" s="77">
        <f>AV5-AV11</f>
        <v/>
      </c>
      <c r="AW27" s="77">
        <f>AW5-AW11</f>
        <v/>
      </c>
      <c r="AX27" s="77">
        <f>AX5-AX11</f>
        <v/>
      </c>
      <c r="AY27" s="77">
        <f>AY5-AY11</f>
        <v/>
      </c>
      <c r="AZ27" s="77">
        <f>AZ5-AZ11</f>
        <v/>
      </c>
      <c r="BA27" s="77">
        <f>BA5-BA11</f>
        <v/>
      </c>
      <c r="BB27" s="77">
        <f>BB5-BB11</f>
        <v/>
      </c>
      <c r="BC27" s="77">
        <f>BC5-BC11</f>
        <v/>
      </c>
      <c r="BD27" s="77">
        <f>BD5-BD11</f>
        <v/>
      </c>
      <c r="BE27" s="77">
        <f>BE5-BE11</f>
        <v/>
      </c>
      <c r="BF27" s="77">
        <f>BF5-BF11</f>
        <v/>
      </c>
      <c r="BG27" s="77">
        <f>BG5-BG11</f>
        <v/>
      </c>
      <c r="BH27" s="77">
        <f>BH5-BH11</f>
        <v/>
      </c>
      <c r="BI27" s="77">
        <f>BI5-BI11</f>
        <v/>
      </c>
      <c r="BJ27" s="77">
        <f>BJ5-BJ11</f>
        <v/>
      </c>
      <c r="BK27" s="77">
        <f>BK5-BK11</f>
        <v/>
      </c>
      <c r="BL27" s="77">
        <f>BL5-BL11</f>
        <v/>
      </c>
      <c r="BM27" s="77">
        <f>BM5-BM11</f>
        <v/>
      </c>
      <c r="BN27" s="77">
        <f>BN5-BN11</f>
        <v/>
      </c>
      <c r="BO27" s="77">
        <f>BO5-BO11</f>
        <v/>
      </c>
      <c r="BP27" s="77">
        <f>BP5-BP11</f>
        <v/>
      </c>
      <c r="BQ27" s="77">
        <f>BQ5-BQ11</f>
        <v/>
      </c>
      <c r="BR27" s="77">
        <f>BR5-BR11</f>
        <v/>
      </c>
      <c r="BS27" s="77">
        <f>BS5-BS11</f>
        <v/>
      </c>
      <c r="BT27" s="77">
        <f>BT5-BT11</f>
        <v/>
      </c>
      <c r="BU27" s="77">
        <f>BU5-BU11</f>
        <v/>
      </c>
      <c r="BV27" s="77">
        <f>BV5-BV11</f>
        <v/>
      </c>
      <c r="BW27" s="77">
        <f>BW5-BW11</f>
        <v/>
      </c>
      <c r="BX27" s="77">
        <f>BX5-BX11</f>
        <v/>
      </c>
      <c r="BY27" s="77">
        <f>BY5-BY11</f>
        <v/>
      </c>
      <c r="BZ27" s="77">
        <f>BZ5-BZ11</f>
        <v/>
      </c>
      <c r="CA27" s="77">
        <f>CA5-CA11</f>
        <v/>
      </c>
      <c r="CB27" s="77">
        <f>CB5-CB11</f>
        <v/>
      </c>
      <c r="CC27" s="77">
        <f>CC5-CC11</f>
        <v/>
      </c>
      <c r="CD27" s="77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2">
        <f>COUNTIF(C26:CD26,"&lt;0")</f>
        <v/>
      </c>
    </row>
    <row r="32">
      <c r="A32" t="inlineStr">
        <is>
          <t>Check: MRA fully released by end of life (net funding = 0)</t>
        </is>
      </c>
      <c r="CD32" s="82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2">
        <f>IF(SUMPRODUCT(--(C13:CC13&lt;D11:CD11-0.01))=0,1,0)</f>
        <v/>
      </c>
    </row>
    <row r="34">
      <c r="A34" t="inlineStr">
        <is>
          <t>Check: Cash buffer never negative</t>
        </is>
      </c>
      <c r="CD34" s="82">
        <f>IF(MIN(C24:CD24)&gt;=-0.01,1,0)</f>
        <v/>
      </c>
    </row>
    <row r="35">
      <c r="A35" t="inlineStr">
        <is>
          <t>Check: Sum of CAFD = distributions - injections + closing buffer</t>
        </is>
      </c>
      <c r="CD35" s="82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2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72">
        <f>Calc_Revenue_Opex!C10</f>
        <v/>
      </c>
      <c r="D5" s="72">
        <f>Calc_Revenue_Opex!D10</f>
        <v/>
      </c>
      <c r="E5" s="72">
        <f>Calc_Revenue_Opex!E10</f>
        <v/>
      </c>
      <c r="F5" s="72">
        <f>Calc_Revenue_Opex!F10</f>
        <v/>
      </c>
      <c r="G5" s="72">
        <f>Calc_Revenue_Opex!G10</f>
        <v/>
      </c>
      <c r="H5" s="72">
        <f>Calc_Revenue_Opex!H10</f>
        <v/>
      </c>
      <c r="I5" s="72">
        <f>Calc_Revenue_Opex!I10</f>
        <v/>
      </c>
      <c r="J5" s="72">
        <f>Calc_Revenue_Opex!J10</f>
        <v/>
      </c>
      <c r="K5" s="72">
        <f>Calc_Revenue_Opex!K10</f>
        <v/>
      </c>
      <c r="L5" s="72">
        <f>Calc_Revenue_Opex!L10</f>
        <v/>
      </c>
      <c r="M5" s="72">
        <f>Calc_Revenue_Opex!M10</f>
        <v/>
      </c>
      <c r="N5" s="72">
        <f>Calc_Revenue_Opex!N10</f>
        <v/>
      </c>
      <c r="O5" s="72">
        <f>Calc_Revenue_Opex!O10</f>
        <v/>
      </c>
      <c r="P5" s="72">
        <f>Calc_Revenue_Opex!P10</f>
        <v/>
      </c>
      <c r="Q5" s="72">
        <f>Calc_Revenue_Opex!Q10</f>
        <v/>
      </c>
      <c r="R5" s="72">
        <f>Calc_Revenue_Opex!R10</f>
        <v/>
      </c>
      <c r="S5" s="72">
        <f>Calc_Revenue_Opex!S10</f>
        <v/>
      </c>
      <c r="T5" s="72">
        <f>Calc_Revenue_Opex!T10</f>
        <v/>
      </c>
      <c r="U5" s="72">
        <f>Calc_Revenue_Opex!U10</f>
        <v/>
      </c>
      <c r="V5" s="72">
        <f>Calc_Revenue_Opex!V10</f>
        <v/>
      </c>
      <c r="W5" s="72">
        <f>Calc_Revenue_Opex!W10</f>
        <v/>
      </c>
      <c r="X5" s="72">
        <f>Calc_Revenue_Opex!X10</f>
        <v/>
      </c>
      <c r="Y5" s="72">
        <f>Calc_Revenue_Opex!Y10</f>
        <v/>
      </c>
      <c r="Z5" s="72">
        <f>Calc_Revenue_Opex!Z10</f>
        <v/>
      </c>
      <c r="AA5" s="72">
        <f>Calc_Revenue_Opex!AA10</f>
        <v/>
      </c>
      <c r="AB5" s="72">
        <f>Calc_Revenue_Opex!AB10</f>
        <v/>
      </c>
      <c r="AC5" s="72">
        <f>Calc_Revenue_Opex!AC10</f>
        <v/>
      </c>
      <c r="AD5" s="72">
        <f>Calc_Revenue_Opex!AD10</f>
        <v/>
      </c>
      <c r="AE5" s="72">
        <f>Calc_Revenue_Opex!AE10</f>
        <v/>
      </c>
      <c r="AF5" s="72">
        <f>Calc_Revenue_Opex!AF10</f>
        <v/>
      </c>
      <c r="AG5" s="72">
        <f>Calc_Revenue_Opex!AG10</f>
        <v/>
      </c>
      <c r="AH5" s="72">
        <f>Calc_Revenue_Opex!AH10</f>
        <v/>
      </c>
      <c r="AI5" s="72">
        <f>Calc_Revenue_Opex!AI10</f>
        <v/>
      </c>
      <c r="AJ5" s="72">
        <f>Calc_Revenue_Opex!AJ10</f>
        <v/>
      </c>
      <c r="AK5" s="72">
        <f>Calc_Revenue_Opex!AK10</f>
        <v/>
      </c>
      <c r="AL5" s="72">
        <f>Calc_Revenue_Opex!AL10</f>
        <v/>
      </c>
      <c r="AM5" s="72">
        <f>Calc_Revenue_Opex!AM10</f>
        <v/>
      </c>
      <c r="AN5" s="72">
        <f>Calc_Revenue_Opex!AN10</f>
        <v/>
      </c>
      <c r="AO5" s="72">
        <f>Calc_Revenue_Opex!AO10</f>
        <v/>
      </c>
      <c r="AP5" s="72">
        <f>Calc_Revenue_Opex!AP10</f>
        <v/>
      </c>
      <c r="AQ5" s="72">
        <f>Calc_Revenue_Opex!AQ10</f>
        <v/>
      </c>
      <c r="AR5" s="72">
        <f>Calc_Revenue_Opex!AR10</f>
        <v/>
      </c>
      <c r="AS5" s="72">
        <f>Calc_Revenue_Opex!AS10</f>
        <v/>
      </c>
      <c r="AT5" s="72">
        <f>Calc_Revenue_Opex!AT10</f>
        <v/>
      </c>
      <c r="AU5" s="72">
        <f>Calc_Revenue_Opex!AU10</f>
        <v/>
      </c>
      <c r="AV5" s="72">
        <f>Calc_Revenue_Opex!AV10</f>
        <v/>
      </c>
      <c r="AW5" s="72">
        <f>Calc_Revenue_Opex!AW10</f>
        <v/>
      </c>
      <c r="AX5" s="72">
        <f>Calc_Revenue_Opex!AX10</f>
        <v/>
      </c>
      <c r="AY5" s="72">
        <f>Calc_Revenue_Opex!AY10</f>
        <v/>
      </c>
      <c r="AZ5" s="72">
        <f>Calc_Revenue_Opex!AZ10</f>
        <v/>
      </c>
      <c r="BA5" s="72">
        <f>Calc_Revenue_Opex!BA10</f>
        <v/>
      </c>
      <c r="BB5" s="72">
        <f>Calc_Revenue_Opex!BB10</f>
        <v/>
      </c>
      <c r="BC5" s="72">
        <f>Calc_Revenue_Opex!BC10</f>
        <v/>
      </c>
      <c r="BD5" s="72">
        <f>Calc_Revenue_Opex!BD10</f>
        <v/>
      </c>
      <c r="BE5" s="72">
        <f>Calc_Revenue_Opex!BE10</f>
        <v/>
      </c>
      <c r="BF5" s="72">
        <f>Calc_Revenue_Opex!BF10</f>
        <v/>
      </c>
      <c r="BG5" s="72">
        <f>Calc_Revenue_Opex!BG10</f>
        <v/>
      </c>
      <c r="BH5" s="72">
        <f>Calc_Revenue_Opex!BH10</f>
        <v/>
      </c>
      <c r="BI5" s="72">
        <f>Calc_Revenue_Opex!BI10</f>
        <v/>
      </c>
      <c r="BJ5" s="72">
        <f>Calc_Revenue_Opex!BJ10</f>
        <v/>
      </c>
      <c r="BK5" s="72">
        <f>Calc_Revenue_Opex!BK10</f>
        <v/>
      </c>
      <c r="BL5" s="72">
        <f>Calc_Revenue_Opex!BL10</f>
        <v/>
      </c>
      <c r="BM5" s="72">
        <f>Calc_Revenue_Opex!BM10</f>
        <v/>
      </c>
      <c r="BN5" s="72">
        <f>Calc_Revenue_Opex!BN10</f>
        <v/>
      </c>
      <c r="BO5" s="72">
        <f>Calc_Revenue_Opex!BO10</f>
        <v/>
      </c>
      <c r="BP5" s="72">
        <f>Calc_Revenue_Opex!BP10</f>
        <v/>
      </c>
      <c r="BQ5" s="72">
        <f>Calc_Revenue_Opex!BQ10</f>
        <v/>
      </c>
      <c r="BR5" s="72">
        <f>Calc_Revenue_Opex!BR10</f>
        <v/>
      </c>
      <c r="BS5" s="72">
        <f>Calc_Revenue_Opex!BS10</f>
        <v/>
      </c>
      <c r="BT5" s="72">
        <f>Calc_Revenue_Opex!BT10</f>
        <v/>
      </c>
      <c r="BU5" s="72">
        <f>Calc_Revenue_Opex!BU10</f>
        <v/>
      </c>
      <c r="BV5" s="72">
        <f>Calc_Revenue_Opex!BV10</f>
        <v/>
      </c>
      <c r="BW5" s="72">
        <f>Calc_Revenue_Opex!BW10</f>
        <v/>
      </c>
      <c r="BX5" s="72">
        <f>Calc_Revenue_Opex!BX10</f>
        <v/>
      </c>
      <c r="BY5" s="72">
        <f>Calc_Revenue_Opex!BY10</f>
        <v/>
      </c>
      <c r="BZ5" s="72">
        <f>Calc_Revenue_Opex!BZ10</f>
        <v/>
      </c>
      <c r="CA5" s="72">
        <f>Calc_Revenue_Opex!CA10</f>
        <v/>
      </c>
      <c r="CB5" s="72">
        <f>Calc_Revenue_Opex!CB10</f>
        <v/>
      </c>
      <c r="CC5" s="72">
        <f>Calc_Revenue_Opex!CC10</f>
        <v/>
      </c>
      <c r="CD5" s="72">
        <f>Calc_Revenue_Opex!CD10</f>
        <v/>
      </c>
    </row>
    <row r="6">
      <c r="A6" t="inlineStr">
        <is>
          <t>Opex ($)</t>
        </is>
      </c>
      <c r="C6" s="72">
        <f>Calc_Revenue_Opex!C11</f>
        <v/>
      </c>
      <c r="D6" s="72">
        <f>Calc_Revenue_Opex!D11</f>
        <v/>
      </c>
      <c r="E6" s="72">
        <f>Calc_Revenue_Opex!E11</f>
        <v/>
      </c>
      <c r="F6" s="72">
        <f>Calc_Revenue_Opex!F11</f>
        <v/>
      </c>
      <c r="G6" s="72">
        <f>Calc_Revenue_Opex!G11</f>
        <v/>
      </c>
      <c r="H6" s="72">
        <f>Calc_Revenue_Opex!H11</f>
        <v/>
      </c>
      <c r="I6" s="72">
        <f>Calc_Revenue_Opex!I11</f>
        <v/>
      </c>
      <c r="J6" s="72">
        <f>Calc_Revenue_Opex!J11</f>
        <v/>
      </c>
      <c r="K6" s="72">
        <f>Calc_Revenue_Opex!K11</f>
        <v/>
      </c>
      <c r="L6" s="72">
        <f>Calc_Revenue_Opex!L11</f>
        <v/>
      </c>
      <c r="M6" s="72">
        <f>Calc_Revenue_Opex!M11</f>
        <v/>
      </c>
      <c r="N6" s="72">
        <f>Calc_Revenue_Opex!N11</f>
        <v/>
      </c>
      <c r="O6" s="72">
        <f>Calc_Revenue_Opex!O11</f>
        <v/>
      </c>
      <c r="P6" s="72">
        <f>Calc_Revenue_Opex!P11</f>
        <v/>
      </c>
      <c r="Q6" s="72">
        <f>Calc_Revenue_Opex!Q11</f>
        <v/>
      </c>
      <c r="R6" s="72">
        <f>Calc_Revenue_Opex!R11</f>
        <v/>
      </c>
      <c r="S6" s="72">
        <f>Calc_Revenue_Opex!S11</f>
        <v/>
      </c>
      <c r="T6" s="72">
        <f>Calc_Revenue_Opex!T11</f>
        <v/>
      </c>
      <c r="U6" s="72">
        <f>Calc_Revenue_Opex!U11</f>
        <v/>
      </c>
      <c r="V6" s="72">
        <f>Calc_Revenue_Opex!V11</f>
        <v/>
      </c>
      <c r="W6" s="72">
        <f>Calc_Revenue_Opex!W11</f>
        <v/>
      </c>
      <c r="X6" s="72">
        <f>Calc_Revenue_Opex!X11</f>
        <v/>
      </c>
      <c r="Y6" s="72">
        <f>Calc_Revenue_Opex!Y11</f>
        <v/>
      </c>
      <c r="Z6" s="72">
        <f>Calc_Revenue_Opex!Z11</f>
        <v/>
      </c>
      <c r="AA6" s="72">
        <f>Calc_Revenue_Opex!AA11</f>
        <v/>
      </c>
      <c r="AB6" s="72">
        <f>Calc_Revenue_Opex!AB11</f>
        <v/>
      </c>
      <c r="AC6" s="72">
        <f>Calc_Revenue_Opex!AC11</f>
        <v/>
      </c>
      <c r="AD6" s="72">
        <f>Calc_Revenue_Opex!AD11</f>
        <v/>
      </c>
      <c r="AE6" s="72">
        <f>Calc_Revenue_Opex!AE11</f>
        <v/>
      </c>
      <c r="AF6" s="72">
        <f>Calc_Revenue_Opex!AF11</f>
        <v/>
      </c>
      <c r="AG6" s="72">
        <f>Calc_Revenue_Opex!AG11</f>
        <v/>
      </c>
      <c r="AH6" s="72">
        <f>Calc_Revenue_Opex!AH11</f>
        <v/>
      </c>
      <c r="AI6" s="72">
        <f>Calc_Revenue_Opex!AI11</f>
        <v/>
      </c>
      <c r="AJ6" s="72">
        <f>Calc_Revenue_Opex!AJ11</f>
        <v/>
      </c>
      <c r="AK6" s="72">
        <f>Calc_Revenue_Opex!AK11</f>
        <v/>
      </c>
      <c r="AL6" s="72">
        <f>Calc_Revenue_Opex!AL11</f>
        <v/>
      </c>
      <c r="AM6" s="72">
        <f>Calc_Revenue_Opex!AM11</f>
        <v/>
      </c>
      <c r="AN6" s="72">
        <f>Calc_Revenue_Opex!AN11</f>
        <v/>
      </c>
      <c r="AO6" s="72">
        <f>Calc_Revenue_Opex!AO11</f>
        <v/>
      </c>
      <c r="AP6" s="72">
        <f>Calc_Revenue_Opex!AP11</f>
        <v/>
      </c>
      <c r="AQ6" s="72">
        <f>Calc_Revenue_Opex!AQ11</f>
        <v/>
      </c>
      <c r="AR6" s="72">
        <f>Calc_Revenue_Opex!AR11</f>
        <v/>
      </c>
      <c r="AS6" s="72">
        <f>Calc_Revenue_Opex!AS11</f>
        <v/>
      </c>
      <c r="AT6" s="72">
        <f>Calc_Revenue_Opex!AT11</f>
        <v/>
      </c>
      <c r="AU6" s="72">
        <f>Calc_Revenue_Opex!AU11</f>
        <v/>
      </c>
      <c r="AV6" s="72">
        <f>Calc_Revenue_Opex!AV11</f>
        <v/>
      </c>
      <c r="AW6" s="72">
        <f>Calc_Revenue_Opex!AW11</f>
        <v/>
      </c>
      <c r="AX6" s="72">
        <f>Calc_Revenue_Opex!AX11</f>
        <v/>
      </c>
      <c r="AY6" s="72">
        <f>Calc_Revenue_Opex!AY11</f>
        <v/>
      </c>
      <c r="AZ6" s="72">
        <f>Calc_Revenue_Opex!AZ11</f>
        <v/>
      </c>
      <c r="BA6" s="72">
        <f>Calc_Revenue_Opex!BA11</f>
        <v/>
      </c>
      <c r="BB6" s="72">
        <f>Calc_Revenue_Opex!BB11</f>
        <v/>
      </c>
      <c r="BC6" s="72">
        <f>Calc_Revenue_Opex!BC11</f>
        <v/>
      </c>
      <c r="BD6" s="72">
        <f>Calc_Revenue_Opex!BD11</f>
        <v/>
      </c>
      <c r="BE6" s="72">
        <f>Calc_Revenue_Opex!BE11</f>
        <v/>
      </c>
      <c r="BF6" s="72">
        <f>Calc_Revenue_Opex!BF11</f>
        <v/>
      </c>
      <c r="BG6" s="72">
        <f>Calc_Revenue_Opex!BG11</f>
        <v/>
      </c>
      <c r="BH6" s="72">
        <f>Calc_Revenue_Opex!BH11</f>
        <v/>
      </c>
      <c r="BI6" s="72">
        <f>Calc_Revenue_Opex!BI11</f>
        <v/>
      </c>
      <c r="BJ6" s="72">
        <f>Calc_Revenue_Opex!BJ11</f>
        <v/>
      </c>
      <c r="BK6" s="72">
        <f>Calc_Revenue_Opex!BK11</f>
        <v/>
      </c>
      <c r="BL6" s="72">
        <f>Calc_Revenue_Opex!BL11</f>
        <v/>
      </c>
      <c r="BM6" s="72">
        <f>Calc_Revenue_Opex!BM11</f>
        <v/>
      </c>
      <c r="BN6" s="72">
        <f>Calc_Revenue_Opex!BN11</f>
        <v/>
      </c>
      <c r="BO6" s="72">
        <f>Calc_Revenue_Opex!BO11</f>
        <v/>
      </c>
      <c r="BP6" s="72">
        <f>Calc_Revenue_Opex!BP11</f>
        <v/>
      </c>
      <c r="BQ6" s="72">
        <f>Calc_Revenue_Opex!BQ11</f>
        <v/>
      </c>
      <c r="BR6" s="72">
        <f>Calc_Revenue_Opex!BR11</f>
        <v/>
      </c>
      <c r="BS6" s="72">
        <f>Calc_Revenue_Opex!BS11</f>
        <v/>
      </c>
      <c r="BT6" s="72">
        <f>Calc_Revenue_Opex!BT11</f>
        <v/>
      </c>
      <c r="BU6" s="72">
        <f>Calc_Revenue_Opex!BU11</f>
        <v/>
      </c>
      <c r="BV6" s="72">
        <f>Calc_Revenue_Opex!BV11</f>
        <v/>
      </c>
      <c r="BW6" s="72">
        <f>Calc_Revenue_Opex!BW11</f>
        <v/>
      </c>
      <c r="BX6" s="72">
        <f>Calc_Revenue_Opex!BX11</f>
        <v/>
      </c>
      <c r="BY6" s="72">
        <f>Calc_Revenue_Opex!BY11</f>
        <v/>
      </c>
      <c r="BZ6" s="72">
        <f>Calc_Revenue_Opex!BZ11</f>
        <v/>
      </c>
      <c r="CA6" s="72">
        <f>Calc_Revenue_Opex!CA11</f>
        <v/>
      </c>
      <c r="CB6" s="72">
        <f>Calc_Revenue_Opex!CB11</f>
        <v/>
      </c>
      <c r="CC6" s="72">
        <f>Calc_Revenue_Opex!CC11</f>
        <v/>
      </c>
      <c r="CD6" s="72">
        <f>Calc_Revenue_Opex!CD11</f>
        <v/>
      </c>
    </row>
    <row r="7">
      <c r="A7" t="inlineStr">
        <is>
          <t>EBITDA ($)</t>
        </is>
      </c>
      <c r="C7" s="72">
        <f>Calc_Revenue_Opex!C12</f>
        <v/>
      </c>
      <c r="D7" s="72">
        <f>Calc_Revenue_Opex!D12</f>
        <v/>
      </c>
      <c r="E7" s="72">
        <f>Calc_Revenue_Opex!E12</f>
        <v/>
      </c>
      <c r="F7" s="72">
        <f>Calc_Revenue_Opex!F12</f>
        <v/>
      </c>
      <c r="G7" s="72">
        <f>Calc_Revenue_Opex!G12</f>
        <v/>
      </c>
      <c r="H7" s="72">
        <f>Calc_Revenue_Opex!H12</f>
        <v/>
      </c>
      <c r="I7" s="72">
        <f>Calc_Revenue_Opex!I12</f>
        <v/>
      </c>
      <c r="J7" s="72">
        <f>Calc_Revenue_Opex!J12</f>
        <v/>
      </c>
      <c r="K7" s="72">
        <f>Calc_Revenue_Opex!K12</f>
        <v/>
      </c>
      <c r="L7" s="72">
        <f>Calc_Revenue_Opex!L12</f>
        <v/>
      </c>
      <c r="M7" s="72">
        <f>Calc_Revenue_Opex!M12</f>
        <v/>
      </c>
      <c r="N7" s="72">
        <f>Calc_Revenue_Opex!N12</f>
        <v/>
      </c>
      <c r="O7" s="72">
        <f>Calc_Revenue_Opex!O12</f>
        <v/>
      </c>
      <c r="P7" s="72">
        <f>Calc_Revenue_Opex!P12</f>
        <v/>
      </c>
      <c r="Q7" s="72">
        <f>Calc_Revenue_Opex!Q12</f>
        <v/>
      </c>
      <c r="R7" s="72">
        <f>Calc_Revenue_Opex!R12</f>
        <v/>
      </c>
      <c r="S7" s="72">
        <f>Calc_Revenue_Opex!S12</f>
        <v/>
      </c>
      <c r="T7" s="72">
        <f>Calc_Revenue_Opex!T12</f>
        <v/>
      </c>
      <c r="U7" s="72">
        <f>Calc_Revenue_Opex!U12</f>
        <v/>
      </c>
      <c r="V7" s="72">
        <f>Calc_Revenue_Opex!V12</f>
        <v/>
      </c>
      <c r="W7" s="72">
        <f>Calc_Revenue_Opex!W12</f>
        <v/>
      </c>
      <c r="X7" s="72">
        <f>Calc_Revenue_Opex!X12</f>
        <v/>
      </c>
      <c r="Y7" s="72">
        <f>Calc_Revenue_Opex!Y12</f>
        <v/>
      </c>
      <c r="Z7" s="72">
        <f>Calc_Revenue_Opex!Z12</f>
        <v/>
      </c>
      <c r="AA7" s="72">
        <f>Calc_Revenue_Opex!AA12</f>
        <v/>
      </c>
      <c r="AB7" s="72">
        <f>Calc_Revenue_Opex!AB12</f>
        <v/>
      </c>
      <c r="AC7" s="72">
        <f>Calc_Revenue_Opex!AC12</f>
        <v/>
      </c>
      <c r="AD7" s="72">
        <f>Calc_Revenue_Opex!AD12</f>
        <v/>
      </c>
      <c r="AE7" s="72">
        <f>Calc_Revenue_Opex!AE12</f>
        <v/>
      </c>
      <c r="AF7" s="72">
        <f>Calc_Revenue_Opex!AF12</f>
        <v/>
      </c>
      <c r="AG7" s="72">
        <f>Calc_Revenue_Opex!AG12</f>
        <v/>
      </c>
      <c r="AH7" s="72">
        <f>Calc_Revenue_Opex!AH12</f>
        <v/>
      </c>
      <c r="AI7" s="72">
        <f>Calc_Revenue_Opex!AI12</f>
        <v/>
      </c>
      <c r="AJ7" s="72">
        <f>Calc_Revenue_Opex!AJ12</f>
        <v/>
      </c>
      <c r="AK7" s="72">
        <f>Calc_Revenue_Opex!AK12</f>
        <v/>
      </c>
      <c r="AL7" s="72">
        <f>Calc_Revenue_Opex!AL12</f>
        <v/>
      </c>
      <c r="AM7" s="72">
        <f>Calc_Revenue_Opex!AM12</f>
        <v/>
      </c>
      <c r="AN7" s="72">
        <f>Calc_Revenue_Opex!AN12</f>
        <v/>
      </c>
      <c r="AO7" s="72">
        <f>Calc_Revenue_Opex!AO12</f>
        <v/>
      </c>
      <c r="AP7" s="72">
        <f>Calc_Revenue_Opex!AP12</f>
        <v/>
      </c>
      <c r="AQ7" s="72">
        <f>Calc_Revenue_Opex!AQ12</f>
        <v/>
      </c>
      <c r="AR7" s="72">
        <f>Calc_Revenue_Opex!AR12</f>
        <v/>
      </c>
      <c r="AS7" s="72">
        <f>Calc_Revenue_Opex!AS12</f>
        <v/>
      </c>
      <c r="AT7" s="72">
        <f>Calc_Revenue_Opex!AT12</f>
        <v/>
      </c>
      <c r="AU7" s="72">
        <f>Calc_Revenue_Opex!AU12</f>
        <v/>
      </c>
      <c r="AV7" s="72">
        <f>Calc_Revenue_Opex!AV12</f>
        <v/>
      </c>
      <c r="AW7" s="72">
        <f>Calc_Revenue_Opex!AW12</f>
        <v/>
      </c>
      <c r="AX7" s="72">
        <f>Calc_Revenue_Opex!AX12</f>
        <v/>
      </c>
      <c r="AY7" s="72">
        <f>Calc_Revenue_Opex!AY12</f>
        <v/>
      </c>
      <c r="AZ7" s="72">
        <f>Calc_Revenue_Opex!AZ12</f>
        <v/>
      </c>
      <c r="BA7" s="72">
        <f>Calc_Revenue_Opex!BA12</f>
        <v/>
      </c>
      <c r="BB7" s="72">
        <f>Calc_Revenue_Opex!BB12</f>
        <v/>
      </c>
      <c r="BC7" s="72">
        <f>Calc_Revenue_Opex!BC12</f>
        <v/>
      </c>
      <c r="BD7" s="72">
        <f>Calc_Revenue_Opex!BD12</f>
        <v/>
      </c>
      <c r="BE7" s="72">
        <f>Calc_Revenue_Opex!BE12</f>
        <v/>
      </c>
      <c r="BF7" s="72">
        <f>Calc_Revenue_Opex!BF12</f>
        <v/>
      </c>
      <c r="BG7" s="72">
        <f>Calc_Revenue_Opex!BG12</f>
        <v/>
      </c>
      <c r="BH7" s="72">
        <f>Calc_Revenue_Opex!BH12</f>
        <v/>
      </c>
      <c r="BI7" s="72">
        <f>Calc_Revenue_Opex!BI12</f>
        <v/>
      </c>
      <c r="BJ7" s="72">
        <f>Calc_Revenue_Opex!BJ12</f>
        <v/>
      </c>
      <c r="BK7" s="72">
        <f>Calc_Revenue_Opex!BK12</f>
        <v/>
      </c>
      <c r="BL7" s="72">
        <f>Calc_Revenue_Opex!BL12</f>
        <v/>
      </c>
      <c r="BM7" s="72">
        <f>Calc_Revenue_Opex!BM12</f>
        <v/>
      </c>
      <c r="BN7" s="72">
        <f>Calc_Revenue_Opex!BN12</f>
        <v/>
      </c>
      <c r="BO7" s="72">
        <f>Calc_Revenue_Opex!BO12</f>
        <v/>
      </c>
      <c r="BP7" s="72">
        <f>Calc_Revenue_Opex!BP12</f>
        <v/>
      </c>
      <c r="BQ7" s="72">
        <f>Calc_Revenue_Opex!BQ12</f>
        <v/>
      </c>
      <c r="BR7" s="72">
        <f>Calc_Revenue_Opex!BR12</f>
        <v/>
      </c>
      <c r="BS7" s="72">
        <f>Calc_Revenue_Opex!BS12</f>
        <v/>
      </c>
      <c r="BT7" s="72">
        <f>Calc_Revenue_Opex!BT12</f>
        <v/>
      </c>
      <c r="BU7" s="72">
        <f>Calc_Revenue_Opex!BU12</f>
        <v/>
      </c>
      <c r="BV7" s="72">
        <f>Calc_Revenue_Opex!BV12</f>
        <v/>
      </c>
      <c r="BW7" s="72">
        <f>Calc_Revenue_Opex!BW12</f>
        <v/>
      </c>
      <c r="BX7" s="72">
        <f>Calc_Revenue_Opex!BX12</f>
        <v/>
      </c>
      <c r="BY7" s="72">
        <f>Calc_Revenue_Opex!BY12</f>
        <v/>
      </c>
      <c r="BZ7" s="72">
        <f>Calc_Revenue_Opex!BZ12</f>
        <v/>
      </c>
      <c r="CA7" s="72">
        <f>Calc_Revenue_Opex!CA12</f>
        <v/>
      </c>
      <c r="CB7" s="72">
        <f>Calc_Revenue_Opex!CB12</f>
        <v/>
      </c>
      <c r="CC7" s="72">
        <f>Calc_Revenue_Opex!CC12</f>
        <v/>
      </c>
      <c r="CD7" s="72">
        <f>Calc_Revenue_Opex!CD12</f>
        <v/>
      </c>
    </row>
    <row r="8">
      <c r="A8" t="inlineStr">
        <is>
          <t>Depreciation ($) — base vintage + maintenance vintages</t>
        </is>
      </c>
      <c r="C8" s="72">
        <f>Calc_Tax!C15</f>
        <v/>
      </c>
      <c r="D8" s="72">
        <f>Calc_Tax!D15</f>
        <v/>
      </c>
      <c r="E8" s="72">
        <f>Calc_Tax!E15</f>
        <v/>
      </c>
      <c r="F8" s="72">
        <f>Calc_Tax!F15</f>
        <v/>
      </c>
      <c r="G8" s="72">
        <f>Calc_Tax!G15</f>
        <v/>
      </c>
      <c r="H8" s="72">
        <f>Calc_Tax!H15</f>
        <v/>
      </c>
      <c r="I8" s="72">
        <f>Calc_Tax!I15</f>
        <v/>
      </c>
      <c r="J8" s="72">
        <f>Calc_Tax!J15</f>
        <v/>
      </c>
      <c r="K8" s="72">
        <f>Calc_Tax!K15</f>
        <v/>
      </c>
      <c r="L8" s="72">
        <f>Calc_Tax!L15</f>
        <v/>
      </c>
      <c r="M8" s="72">
        <f>Calc_Tax!M15</f>
        <v/>
      </c>
      <c r="N8" s="72">
        <f>Calc_Tax!N15</f>
        <v/>
      </c>
      <c r="O8" s="72">
        <f>Calc_Tax!O15</f>
        <v/>
      </c>
      <c r="P8" s="72">
        <f>Calc_Tax!P15</f>
        <v/>
      </c>
      <c r="Q8" s="72">
        <f>Calc_Tax!Q15</f>
        <v/>
      </c>
      <c r="R8" s="72">
        <f>Calc_Tax!R15</f>
        <v/>
      </c>
      <c r="S8" s="72">
        <f>Calc_Tax!S15</f>
        <v/>
      </c>
      <c r="T8" s="72">
        <f>Calc_Tax!T15</f>
        <v/>
      </c>
      <c r="U8" s="72">
        <f>Calc_Tax!U15</f>
        <v/>
      </c>
      <c r="V8" s="72">
        <f>Calc_Tax!V15</f>
        <v/>
      </c>
      <c r="W8" s="72">
        <f>Calc_Tax!W15</f>
        <v/>
      </c>
      <c r="X8" s="72">
        <f>Calc_Tax!X15</f>
        <v/>
      </c>
      <c r="Y8" s="72">
        <f>Calc_Tax!Y15</f>
        <v/>
      </c>
      <c r="Z8" s="72">
        <f>Calc_Tax!Z15</f>
        <v/>
      </c>
      <c r="AA8" s="72">
        <f>Calc_Tax!AA15</f>
        <v/>
      </c>
      <c r="AB8" s="72">
        <f>Calc_Tax!AB15</f>
        <v/>
      </c>
      <c r="AC8" s="72">
        <f>Calc_Tax!AC15</f>
        <v/>
      </c>
      <c r="AD8" s="72">
        <f>Calc_Tax!AD15</f>
        <v/>
      </c>
      <c r="AE8" s="72">
        <f>Calc_Tax!AE15</f>
        <v/>
      </c>
      <c r="AF8" s="72">
        <f>Calc_Tax!AF15</f>
        <v/>
      </c>
      <c r="AG8" s="72">
        <f>Calc_Tax!AG15</f>
        <v/>
      </c>
      <c r="AH8" s="72">
        <f>Calc_Tax!AH15</f>
        <v/>
      </c>
      <c r="AI8" s="72">
        <f>Calc_Tax!AI15</f>
        <v/>
      </c>
      <c r="AJ8" s="72">
        <f>Calc_Tax!AJ15</f>
        <v/>
      </c>
      <c r="AK8" s="72">
        <f>Calc_Tax!AK15</f>
        <v/>
      </c>
      <c r="AL8" s="72">
        <f>Calc_Tax!AL15</f>
        <v/>
      </c>
      <c r="AM8" s="72">
        <f>Calc_Tax!AM15</f>
        <v/>
      </c>
      <c r="AN8" s="72">
        <f>Calc_Tax!AN15</f>
        <v/>
      </c>
      <c r="AO8" s="72">
        <f>Calc_Tax!AO15</f>
        <v/>
      </c>
      <c r="AP8" s="72">
        <f>Calc_Tax!AP15</f>
        <v/>
      </c>
      <c r="AQ8" s="72">
        <f>Calc_Tax!AQ15</f>
        <v/>
      </c>
      <c r="AR8" s="72">
        <f>Calc_Tax!AR15</f>
        <v/>
      </c>
      <c r="AS8" s="72">
        <f>Calc_Tax!AS15</f>
        <v/>
      </c>
      <c r="AT8" s="72">
        <f>Calc_Tax!AT15</f>
        <v/>
      </c>
      <c r="AU8" s="72">
        <f>Calc_Tax!AU15</f>
        <v/>
      </c>
      <c r="AV8" s="72">
        <f>Calc_Tax!AV15</f>
        <v/>
      </c>
      <c r="AW8" s="72">
        <f>Calc_Tax!AW15</f>
        <v/>
      </c>
      <c r="AX8" s="72">
        <f>Calc_Tax!AX15</f>
        <v/>
      </c>
      <c r="AY8" s="72">
        <f>Calc_Tax!AY15</f>
        <v/>
      </c>
      <c r="AZ8" s="72">
        <f>Calc_Tax!AZ15</f>
        <v/>
      </c>
      <c r="BA8" s="72">
        <f>Calc_Tax!BA15</f>
        <v/>
      </c>
      <c r="BB8" s="72">
        <f>Calc_Tax!BB15</f>
        <v/>
      </c>
      <c r="BC8" s="72">
        <f>Calc_Tax!BC15</f>
        <v/>
      </c>
      <c r="BD8" s="72">
        <f>Calc_Tax!BD15</f>
        <v/>
      </c>
      <c r="BE8" s="72">
        <f>Calc_Tax!BE15</f>
        <v/>
      </c>
      <c r="BF8" s="72">
        <f>Calc_Tax!BF15</f>
        <v/>
      </c>
      <c r="BG8" s="72">
        <f>Calc_Tax!BG15</f>
        <v/>
      </c>
      <c r="BH8" s="72">
        <f>Calc_Tax!BH15</f>
        <v/>
      </c>
      <c r="BI8" s="72">
        <f>Calc_Tax!BI15</f>
        <v/>
      </c>
      <c r="BJ8" s="72">
        <f>Calc_Tax!BJ15</f>
        <v/>
      </c>
      <c r="BK8" s="72">
        <f>Calc_Tax!BK15</f>
        <v/>
      </c>
      <c r="BL8" s="72">
        <f>Calc_Tax!BL15</f>
        <v/>
      </c>
      <c r="BM8" s="72">
        <f>Calc_Tax!BM15</f>
        <v/>
      </c>
      <c r="BN8" s="72">
        <f>Calc_Tax!BN15</f>
        <v/>
      </c>
      <c r="BO8" s="72">
        <f>Calc_Tax!BO15</f>
        <v/>
      </c>
      <c r="BP8" s="72">
        <f>Calc_Tax!BP15</f>
        <v/>
      </c>
      <c r="BQ8" s="72">
        <f>Calc_Tax!BQ15</f>
        <v/>
      </c>
      <c r="BR8" s="72">
        <f>Calc_Tax!BR15</f>
        <v/>
      </c>
      <c r="BS8" s="72">
        <f>Calc_Tax!BS15</f>
        <v/>
      </c>
      <c r="BT8" s="72">
        <f>Calc_Tax!BT15</f>
        <v/>
      </c>
      <c r="BU8" s="72">
        <f>Calc_Tax!BU15</f>
        <v/>
      </c>
      <c r="BV8" s="72">
        <f>Calc_Tax!BV15</f>
        <v/>
      </c>
      <c r="BW8" s="72">
        <f>Calc_Tax!BW15</f>
        <v/>
      </c>
      <c r="BX8" s="72">
        <f>Calc_Tax!BX15</f>
        <v/>
      </c>
      <c r="BY8" s="72">
        <f>Calc_Tax!BY15</f>
        <v/>
      </c>
      <c r="BZ8" s="72">
        <f>Calc_Tax!BZ15</f>
        <v/>
      </c>
      <c r="CA8" s="72">
        <f>Calc_Tax!CA15</f>
        <v/>
      </c>
      <c r="CB8" s="72">
        <f>Calc_Tax!CB15</f>
        <v/>
      </c>
      <c r="CC8" s="72">
        <f>Calc_Tax!CC15</f>
        <v/>
      </c>
      <c r="CD8" s="72">
        <f>Calc_Tax!CD15</f>
        <v/>
      </c>
    </row>
    <row r="9">
      <c r="A9" t="inlineStr">
        <is>
          <t>EBIT ($)</t>
        </is>
      </c>
      <c r="C9" s="77">
        <f>C7-C8</f>
        <v/>
      </c>
      <c r="D9" s="77">
        <f>D7-D8</f>
        <v/>
      </c>
      <c r="E9" s="77">
        <f>E7-E8</f>
        <v/>
      </c>
      <c r="F9" s="77">
        <f>F7-F8</f>
        <v/>
      </c>
      <c r="G9" s="77">
        <f>G7-G8</f>
        <v/>
      </c>
      <c r="H9" s="77">
        <f>H7-H8</f>
        <v/>
      </c>
      <c r="I9" s="77">
        <f>I7-I8</f>
        <v/>
      </c>
      <c r="J9" s="77">
        <f>J7-J8</f>
        <v/>
      </c>
      <c r="K9" s="77">
        <f>K7-K8</f>
        <v/>
      </c>
      <c r="L9" s="77">
        <f>L7-L8</f>
        <v/>
      </c>
      <c r="M9" s="77">
        <f>M7-M8</f>
        <v/>
      </c>
      <c r="N9" s="77">
        <f>N7-N8</f>
        <v/>
      </c>
      <c r="O9" s="77">
        <f>O7-O8</f>
        <v/>
      </c>
      <c r="P9" s="77">
        <f>P7-P8</f>
        <v/>
      </c>
      <c r="Q9" s="77">
        <f>Q7-Q8</f>
        <v/>
      </c>
      <c r="R9" s="77">
        <f>R7-R8</f>
        <v/>
      </c>
      <c r="S9" s="77">
        <f>S7-S8</f>
        <v/>
      </c>
      <c r="T9" s="77">
        <f>T7-T8</f>
        <v/>
      </c>
      <c r="U9" s="77">
        <f>U7-U8</f>
        <v/>
      </c>
      <c r="V9" s="77">
        <f>V7-V8</f>
        <v/>
      </c>
      <c r="W9" s="77">
        <f>W7-W8</f>
        <v/>
      </c>
      <c r="X9" s="77">
        <f>X7-X8</f>
        <v/>
      </c>
      <c r="Y9" s="77">
        <f>Y7-Y8</f>
        <v/>
      </c>
      <c r="Z9" s="77">
        <f>Z7-Z8</f>
        <v/>
      </c>
      <c r="AA9" s="77">
        <f>AA7-AA8</f>
        <v/>
      </c>
      <c r="AB9" s="77">
        <f>AB7-AB8</f>
        <v/>
      </c>
      <c r="AC9" s="77">
        <f>AC7-AC8</f>
        <v/>
      </c>
      <c r="AD9" s="77">
        <f>AD7-AD8</f>
        <v/>
      </c>
      <c r="AE9" s="77">
        <f>AE7-AE8</f>
        <v/>
      </c>
      <c r="AF9" s="77">
        <f>AF7-AF8</f>
        <v/>
      </c>
      <c r="AG9" s="77">
        <f>AG7-AG8</f>
        <v/>
      </c>
      <c r="AH9" s="77">
        <f>AH7-AH8</f>
        <v/>
      </c>
      <c r="AI9" s="77">
        <f>AI7-AI8</f>
        <v/>
      </c>
      <c r="AJ9" s="77">
        <f>AJ7-AJ8</f>
        <v/>
      </c>
      <c r="AK9" s="77">
        <f>AK7-AK8</f>
        <v/>
      </c>
      <c r="AL9" s="77">
        <f>AL7-AL8</f>
        <v/>
      </c>
      <c r="AM9" s="77">
        <f>AM7-AM8</f>
        <v/>
      </c>
      <c r="AN9" s="77">
        <f>AN7-AN8</f>
        <v/>
      </c>
      <c r="AO9" s="77">
        <f>AO7-AO8</f>
        <v/>
      </c>
      <c r="AP9" s="77">
        <f>AP7-AP8</f>
        <v/>
      </c>
      <c r="AQ9" s="77">
        <f>AQ7-AQ8</f>
        <v/>
      </c>
      <c r="AR9" s="77">
        <f>AR7-AR8</f>
        <v/>
      </c>
      <c r="AS9" s="77">
        <f>AS7-AS8</f>
        <v/>
      </c>
      <c r="AT9" s="77">
        <f>AT7-AT8</f>
        <v/>
      </c>
      <c r="AU9" s="77">
        <f>AU7-AU8</f>
        <v/>
      </c>
      <c r="AV9" s="77">
        <f>AV7-AV8</f>
        <v/>
      </c>
      <c r="AW9" s="77">
        <f>AW7-AW8</f>
        <v/>
      </c>
      <c r="AX9" s="77">
        <f>AX7-AX8</f>
        <v/>
      </c>
      <c r="AY9" s="77">
        <f>AY7-AY8</f>
        <v/>
      </c>
      <c r="AZ9" s="77">
        <f>AZ7-AZ8</f>
        <v/>
      </c>
      <c r="BA9" s="77">
        <f>BA7-BA8</f>
        <v/>
      </c>
      <c r="BB9" s="77">
        <f>BB7-BB8</f>
        <v/>
      </c>
      <c r="BC9" s="77">
        <f>BC7-BC8</f>
        <v/>
      </c>
      <c r="BD9" s="77">
        <f>BD7-BD8</f>
        <v/>
      </c>
      <c r="BE9" s="77">
        <f>BE7-BE8</f>
        <v/>
      </c>
      <c r="BF9" s="77">
        <f>BF7-BF8</f>
        <v/>
      </c>
      <c r="BG9" s="77">
        <f>BG7-BG8</f>
        <v/>
      </c>
      <c r="BH9" s="77">
        <f>BH7-BH8</f>
        <v/>
      </c>
      <c r="BI9" s="77">
        <f>BI7-BI8</f>
        <v/>
      </c>
      <c r="BJ9" s="77">
        <f>BJ7-BJ8</f>
        <v/>
      </c>
      <c r="BK9" s="77">
        <f>BK7-BK8</f>
        <v/>
      </c>
      <c r="BL9" s="77">
        <f>BL7-BL8</f>
        <v/>
      </c>
      <c r="BM9" s="77">
        <f>BM7-BM8</f>
        <v/>
      </c>
      <c r="BN9" s="77">
        <f>BN7-BN8</f>
        <v/>
      </c>
      <c r="BO9" s="77">
        <f>BO7-BO8</f>
        <v/>
      </c>
      <c r="BP9" s="77">
        <f>BP7-BP8</f>
        <v/>
      </c>
      <c r="BQ9" s="77">
        <f>BQ7-BQ8</f>
        <v/>
      </c>
      <c r="BR9" s="77">
        <f>BR7-BR8</f>
        <v/>
      </c>
      <c r="BS9" s="77">
        <f>BS7-BS8</f>
        <v/>
      </c>
      <c r="BT9" s="77">
        <f>BT7-BT8</f>
        <v/>
      </c>
      <c r="BU9" s="77">
        <f>BU7-BU8</f>
        <v/>
      </c>
      <c r="BV9" s="77">
        <f>BV7-BV8</f>
        <v/>
      </c>
      <c r="BW9" s="77">
        <f>BW7-BW8</f>
        <v/>
      </c>
      <c r="BX9" s="77">
        <f>BX7-BX8</f>
        <v/>
      </c>
      <c r="BY9" s="77">
        <f>BY7-BY8</f>
        <v/>
      </c>
      <c r="BZ9" s="77">
        <f>BZ7-BZ8</f>
        <v/>
      </c>
      <c r="CA9" s="77">
        <f>CA7-CA8</f>
        <v/>
      </c>
      <c r="CB9" s="77">
        <f>CB7-CB8</f>
        <v/>
      </c>
      <c r="CC9" s="77">
        <f>CC7-CC8</f>
        <v/>
      </c>
      <c r="CD9" s="77">
        <f>CD7-CD8</f>
        <v/>
      </c>
    </row>
    <row r="10">
      <c r="A10" t="inlineStr">
        <is>
          <t>Interest Expense ($)</t>
        </is>
      </c>
      <c r="C10" s="72">
        <f>Calc_Financing_Ops!C19</f>
        <v/>
      </c>
      <c r="D10" s="72">
        <f>Calc_Financing_Ops!D19</f>
        <v/>
      </c>
      <c r="E10" s="72">
        <f>Calc_Financing_Ops!E19</f>
        <v/>
      </c>
      <c r="F10" s="72">
        <f>Calc_Financing_Ops!F19</f>
        <v/>
      </c>
      <c r="G10" s="72">
        <f>Calc_Financing_Ops!G19</f>
        <v/>
      </c>
      <c r="H10" s="72">
        <f>Calc_Financing_Ops!H19</f>
        <v/>
      </c>
      <c r="I10" s="72">
        <f>Calc_Financing_Ops!I19</f>
        <v/>
      </c>
      <c r="J10" s="72">
        <f>Calc_Financing_Ops!J19</f>
        <v/>
      </c>
      <c r="K10" s="72">
        <f>Calc_Financing_Ops!K19</f>
        <v/>
      </c>
      <c r="L10" s="72">
        <f>Calc_Financing_Ops!L19</f>
        <v/>
      </c>
      <c r="M10" s="72">
        <f>Calc_Financing_Ops!M19</f>
        <v/>
      </c>
      <c r="N10" s="72">
        <f>Calc_Financing_Ops!N19</f>
        <v/>
      </c>
      <c r="O10" s="72">
        <f>Calc_Financing_Ops!O19</f>
        <v/>
      </c>
      <c r="P10" s="72">
        <f>Calc_Financing_Ops!P19</f>
        <v/>
      </c>
      <c r="Q10" s="72">
        <f>Calc_Financing_Ops!Q19</f>
        <v/>
      </c>
      <c r="R10" s="72">
        <f>Calc_Financing_Ops!R19</f>
        <v/>
      </c>
      <c r="S10" s="72">
        <f>Calc_Financing_Ops!S19</f>
        <v/>
      </c>
      <c r="T10" s="72">
        <f>Calc_Financing_Ops!T19</f>
        <v/>
      </c>
      <c r="U10" s="72">
        <f>Calc_Financing_Ops!U19</f>
        <v/>
      </c>
      <c r="V10" s="72">
        <f>Calc_Financing_Ops!V19</f>
        <v/>
      </c>
      <c r="W10" s="72">
        <f>Calc_Financing_Ops!W19</f>
        <v/>
      </c>
      <c r="X10" s="72">
        <f>Calc_Financing_Ops!X19</f>
        <v/>
      </c>
      <c r="Y10" s="72">
        <f>Calc_Financing_Ops!Y19</f>
        <v/>
      </c>
      <c r="Z10" s="72">
        <f>Calc_Financing_Ops!Z19</f>
        <v/>
      </c>
      <c r="AA10" s="72">
        <f>Calc_Financing_Ops!AA19</f>
        <v/>
      </c>
      <c r="AB10" s="72">
        <f>Calc_Financing_Ops!AB19</f>
        <v/>
      </c>
      <c r="AC10" s="72">
        <f>Calc_Financing_Ops!AC19</f>
        <v/>
      </c>
      <c r="AD10" s="72">
        <f>Calc_Financing_Ops!AD19</f>
        <v/>
      </c>
      <c r="AE10" s="72">
        <f>Calc_Financing_Ops!AE19</f>
        <v/>
      </c>
      <c r="AF10" s="72">
        <f>Calc_Financing_Ops!AF19</f>
        <v/>
      </c>
      <c r="AG10" s="72">
        <f>Calc_Financing_Ops!AG19</f>
        <v/>
      </c>
      <c r="AH10" s="72">
        <f>Calc_Financing_Ops!AH19</f>
        <v/>
      </c>
      <c r="AI10" s="72">
        <f>Calc_Financing_Ops!AI19</f>
        <v/>
      </c>
      <c r="AJ10" s="72">
        <f>Calc_Financing_Ops!AJ19</f>
        <v/>
      </c>
      <c r="AK10" s="72">
        <f>Calc_Financing_Ops!AK19</f>
        <v/>
      </c>
      <c r="AL10" s="72">
        <f>Calc_Financing_Ops!AL19</f>
        <v/>
      </c>
      <c r="AM10" s="72">
        <f>Calc_Financing_Ops!AM19</f>
        <v/>
      </c>
      <c r="AN10" s="72">
        <f>Calc_Financing_Ops!AN19</f>
        <v/>
      </c>
      <c r="AO10" s="72">
        <f>Calc_Financing_Ops!AO19</f>
        <v/>
      </c>
      <c r="AP10" s="72">
        <f>Calc_Financing_Ops!AP19</f>
        <v/>
      </c>
      <c r="AQ10" s="72">
        <f>Calc_Financing_Ops!AQ19</f>
        <v/>
      </c>
      <c r="AR10" s="72">
        <f>Calc_Financing_Ops!AR19</f>
        <v/>
      </c>
      <c r="AS10" s="72">
        <f>Calc_Financing_Ops!AS19</f>
        <v/>
      </c>
      <c r="AT10" s="72">
        <f>Calc_Financing_Ops!AT19</f>
        <v/>
      </c>
      <c r="AU10" s="72">
        <f>Calc_Financing_Ops!AU19</f>
        <v/>
      </c>
      <c r="AV10" s="72">
        <f>Calc_Financing_Ops!AV19</f>
        <v/>
      </c>
      <c r="AW10" s="72">
        <f>Calc_Financing_Ops!AW19</f>
        <v/>
      </c>
      <c r="AX10" s="72">
        <f>Calc_Financing_Ops!AX19</f>
        <v/>
      </c>
      <c r="AY10" s="72">
        <f>Calc_Financing_Ops!AY19</f>
        <v/>
      </c>
      <c r="AZ10" s="72">
        <f>Calc_Financing_Ops!AZ19</f>
        <v/>
      </c>
      <c r="BA10" s="72">
        <f>Calc_Financing_Ops!BA19</f>
        <v/>
      </c>
      <c r="BB10" s="72">
        <f>Calc_Financing_Ops!BB19</f>
        <v/>
      </c>
      <c r="BC10" s="72">
        <f>Calc_Financing_Ops!BC19</f>
        <v/>
      </c>
      <c r="BD10" s="72">
        <f>Calc_Financing_Ops!BD19</f>
        <v/>
      </c>
      <c r="BE10" s="72">
        <f>Calc_Financing_Ops!BE19</f>
        <v/>
      </c>
      <c r="BF10" s="72">
        <f>Calc_Financing_Ops!BF19</f>
        <v/>
      </c>
      <c r="BG10" s="72">
        <f>Calc_Financing_Ops!BG19</f>
        <v/>
      </c>
      <c r="BH10" s="72">
        <f>Calc_Financing_Ops!BH19</f>
        <v/>
      </c>
      <c r="BI10" s="72">
        <f>Calc_Financing_Ops!BI19</f>
        <v/>
      </c>
      <c r="BJ10" s="72">
        <f>Calc_Financing_Ops!BJ19</f>
        <v/>
      </c>
      <c r="BK10" s="72">
        <f>Calc_Financing_Ops!BK19</f>
        <v/>
      </c>
      <c r="BL10" s="72">
        <f>Calc_Financing_Ops!BL19</f>
        <v/>
      </c>
      <c r="BM10" s="72">
        <f>Calc_Financing_Ops!BM19</f>
        <v/>
      </c>
      <c r="BN10" s="72">
        <f>Calc_Financing_Ops!BN19</f>
        <v/>
      </c>
      <c r="BO10" s="72">
        <f>Calc_Financing_Ops!BO19</f>
        <v/>
      </c>
      <c r="BP10" s="72">
        <f>Calc_Financing_Ops!BP19</f>
        <v/>
      </c>
      <c r="BQ10" s="72">
        <f>Calc_Financing_Ops!BQ19</f>
        <v/>
      </c>
      <c r="BR10" s="72">
        <f>Calc_Financing_Ops!BR19</f>
        <v/>
      </c>
      <c r="BS10" s="72">
        <f>Calc_Financing_Ops!BS19</f>
        <v/>
      </c>
      <c r="BT10" s="72">
        <f>Calc_Financing_Ops!BT19</f>
        <v/>
      </c>
      <c r="BU10" s="72">
        <f>Calc_Financing_Ops!BU19</f>
        <v/>
      </c>
      <c r="BV10" s="72">
        <f>Calc_Financing_Ops!BV19</f>
        <v/>
      </c>
      <c r="BW10" s="72">
        <f>Calc_Financing_Ops!BW19</f>
        <v/>
      </c>
      <c r="BX10" s="72">
        <f>Calc_Financing_Ops!BX19</f>
        <v/>
      </c>
      <c r="BY10" s="72">
        <f>Calc_Financing_Ops!BY19</f>
        <v/>
      </c>
      <c r="BZ10" s="72">
        <f>Calc_Financing_Ops!BZ19</f>
        <v/>
      </c>
      <c r="CA10" s="72">
        <f>Calc_Financing_Ops!CA19</f>
        <v/>
      </c>
      <c r="CB10" s="72">
        <f>Calc_Financing_Ops!CB19</f>
        <v/>
      </c>
      <c r="CC10" s="72">
        <f>Calc_Financing_Ops!CC19</f>
        <v/>
      </c>
      <c r="CD10" s="72">
        <f>Calc_Financing_Ops!CD19</f>
        <v/>
      </c>
    </row>
    <row r="11">
      <c r="A11" t="inlineStr">
        <is>
          <t>EBT ($)</t>
        </is>
      </c>
      <c r="C11" s="77">
        <f>C9-C10</f>
        <v/>
      </c>
      <c r="D11" s="77">
        <f>D9-D10</f>
        <v/>
      </c>
      <c r="E11" s="77">
        <f>E9-E10</f>
        <v/>
      </c>
      <c r="F11" s="77">
        <f>F9-F10</f>
        <v/>
      </c>
      <c r="G11" s="77">
        <f>G9-G10</f>
        <v/>
      </c>
      <c r="H11" s="77">
        <f>H9-H10</f>
        <v/>
      </c>
      <c r="I11" s="77">
        <f>I9-I10</f>
        <v/>
      </c>
      <c r="J11" s="77">
        <f>J9-J10</f>
        <v/>
      </c>
      <c r="K11" s="77">
        <f>K9-K10</f>
        <v/>
      </c>
      <c r="L11" s="77">
        <f>L9-L10</f>
        <v/>
      </c>
      <c r="M11" s="77">
        <f>M9-M10</f>
        <v/>
      </c>
      <c r="N11" s="77">
        <f>N9-N10</f>
        <v/>
      </c>
      <c r="O11" s="77">
        <f>O9-O10</f>
        <v/>
      </c>
      <c r="P11" s="77">
        <f>P9-P10</f>
        <v/>
      </c>
      <c r="Q11" s="77">
        <f>Q9-Q10</f>
        <v/>
      </c>
      <c r="R11" s="77">
        <f>R9-R10</f>
        <v/>
      </c>
      <c r="S11" s="77">
        <f>S9-S10</f>
        <v/>
      </c>
      <c r="T11" s="77">
        <f>T9-T10</f>
        <v/>
      </c>
      <c r="U11" s="77">
        <f>U9-U10</f>
        <v/>
      </c>
      <c r="V11" s="77">
        <f>V9-V10</f>
        <v/>
      </c>
      <c r="W11" s="77">
        <f>W9-W10</f>
        <v/>
      </c>
      <c r="X11" s="77">
        <f>X9-X10</f>
        <v/>
      </c>
      <c r="Y11" s="77">
        <f>Y9-Y10</f>
        <v/>
      </c>
      <c r="Z11" s="77">
        <f>Z9-Z10</f>
        <v/>
      </c>
      <c r="AA11" s="77">
        <f>AA9-AA10</f>
        <v/>
      </c>
      <c r="AB11" s="77">
        <f>AB9-AB10</f>
        <v/>
      </c>
      <c r="AC11" s="77">
        <f>AC9-AC10</f>
        <v/>
      </c>
      <c r="AD11" s="77">
        <f>AD9-AD10</f>
        <v/>
      </c>
      <c r="AE11" s="77">
        <f>AE9-AE10</f>
        <v/>
      </c>
      <c r="AF11" s="77">
        <f>AF9-AF10</f>
        <v/>
      </c>
      <c r="AG11" s="77">
        <f>AG9-AG10</f>
        <v/>
      </c>
      <c r="AH11" s="77">
        <f>AH9-AH10</f>
        <v/>
      </c>
      <c r="AI11" s="77">
        <f>AI9-AI10</f>
        <v/>
      </c>
      <c r="AJ11" s="77">
        <f>AJ9-AJ10</f>
        <v/>
      </c>
      <c r="AK11" s="77">
        <f>AK9-AK10</f>
        <v/>
      </c>
      <c r="AL11" s="77">
        <f>AL9-AL10</f>
        <v/>
      </c>
      <c r="AM11" s="77">
        <f>AM9-AM10</f>
        <v/>
      </c>
      <c r="AN11" s="77">
        <f>AN9-AN10</f>
        <v/>
      </c>
      <c r="AO11" s="77">
        <f>AO9-AO10</f>
        <v/>
      </c>
      <c r="AP11" s="77">
        <f>AP9-AP10</f>
        <v/>
      </c>
      <c r="AQ11" s="77">
        <f>AQ9-AQ10</f>
        <v/>
      </c>
      <c r="AR11" s="77">
        <f>AR9-AR10</f>
        <v/>
      </c>
      <c r="AS11" s="77">
        <f>AS9-AS10</f>
        <v/>
      </c>
      <c r="AT11" s="77">
        <f>AT9-AT10</f>
        <v/>
      </c>
      <c r="AU11" s="77">
        <f>AU9-AU10</f>
        <v/>
      </c>
      <c r="AV11" s="77">
        <f>AV9-AV10</f>
        <v/>
      </c>
      <c r="AW11" s="77">
        <f>AW9-AW10</f>
        <v/>
      </c>
      <c r="AX11" s="77">
        <f>AX9-AX10</f>
        <v/>
      </c>
      <c r="AY11" s="77">
        <f>AY9-AY10</f>
        <v/>
      </c>
      <c r="AZ11" s="77">
        <f>AZ9-AZ10</f>
        <v/>
      </c>
      <c r="BA11" s="77">
        <f>BA9-BA10</f>
        <v/>
      </c>
      <c r="BB11" s="77">
        <f>BB9-BB10</f>
        <v/>
      </c>
      <c r="BC11" s="77">
        <f>BC9-BC10</f>
        <v/>
      </c>
      <c r="BD11" s="77">
        <f>BD9-BD10</f>
        <v/>
      </c>
      <c r="BE11" s="77">
        <f>BE9-BE10</f>
        <v/>
      </c>
      <c r="BF11" s="77">
        <f>BF9-BF10</f>
        <v/>
      </c>
      <c r="BG11" s="77">
        <f>BG9-BG10</f>
        <v/>
      </c>
      <c r="BH11" s="77">
        <f>BH9-BH10</f>
        <v/>
      </c>
      <c r="BI11" s="77">
        <f>BI9-BI10</f>
        <v/>
      </c>
      <c r="BJ11" s="77">
        <f>BJ9-BJ10</f>
        <v/>
      </c>
      <c r="BK11" s="77">
        <f>BK9-BK10</f>
        <v/>
      </c>
      <c r="BL11" s="77">
        <f>BL9-BL10</f>
        <v/>
      </c>
      <c r="BM11" s="77">
        <f>BM9-BM10</f>
        <v/>
      </c>
      <c r="BN11" s="77">
        <f>BN9-BN10</f>
        <v/>
      </c>
      <c r="BO11" s="77">
        <f>BO9-BO10</f>
        <v/>
      </c>
      <c r="BP11" s="77">
        <f>BP9-BP10</f>
        <v/>
      </c>
      <c r="BQ11" s="77">
        <f>BQ9-BQ10</f>
        <v/>
      </c>
      <c r="BR11" s="77">
        <f>BR9-BR10</f>
        <v/>
      </c>
      <c r="BS11" s="77">
        <f>BS9-BS10</f>
        <v/>
      </c>
      <c r="BT11" s="77">
        <f>BT9-BT10</f>
        <v/>
      </c>
      <c r="BU11" s="77">
        <f>BU9-BU10</f>
        <v/>
      </c>
      <c r="BV11" s="77">
        <f>BV9-BV10</f>
        <v/>
      </c>
      <c r="BW11" s="77">
        <f>BW9-BW10</f>
        <v/>
      </c>
      <c r="BX11" s="77">
        <f>BX9-BX10</f>
        <v/>
      </c>
      <c r="BY11" s="77">
        <f>BY9-BY10</f>
        <v/>
      </c>
      <c r="BZ11" s="77">
        <f>BZ9-BZ10</f>
        <v/>
      </c>
      <c r="CA11" s="77">
        <f>CA9-CA10</f>
        <v/>
      </c>
      <c r="CB11" s="77">
        <f>CB9-CB10</f>
        <v/>
      </c>
      <c r="CC11" s="77">
        <f>CC9-CC10</f>
        <v/>
      </c>
      <c r="CD11" s="77">
        <f>CD9-CD10</f>
        <v/>
      </c>
    </row>
    <row r="12">
      <c r="A12" t="inlineStr">
        <is>
          <t>Tax ($) — linked from Calc_Tax</t>
        </is>
      </c>
      <c r="C12" s="72">
        <f>Calc_Tax!C25</f>
        <v/>
      </c>
      <c r="D12" s="72">
        <f>Calc_Tax!D25</f>
        <v/>
      </c>
      <c r="E12" s="72">
        <f>Calc_Tax!E25</f>
        <v/>
      </c>
      <c r="F12" s="72">
        <f>Calc_Tax!F25</f>
        <v/>
      </c>
      <c r="G12" s="72">
        <f>Calc_Tax!G25</f>
        <v/>
      </c>
      <c r="H12" s="72">
        <f>Calc_Tax!H25</f>
        <v/>
      </c>
      <c r="I12" s="72">
        <f>Calc_Tax!I25</f>
        <v/>
      </c>
      <c r="J12" s="72">
        <f>Calc_Tax!J25</f>
        <v/>
      </c>
      <c r="K12" s="72">
        <f>Calc_Tax!K25</f>
        <v/>
      </c>
      <c r="L12" s="72">
        <f>Calc_Tax!L25</f>
        <v/>
      </c>
      <c r="M12" s="72">
        <f>Calc_Tax!M25</f>
        <v/>
      </c>
      <c r="N12" s="72">
        <f>Calc_Tax!N25</f>
        <v/>
      </c>
      <c r="O12" s="72">
        <f>Calc_Tax!O25</f>
        <v/>
      </c>
      <c r="P12" s="72">
        <f>Calc_Tax!P25</f>
        <v/>
      </c>
      <c r="Q12" s="72">
        <f>Calc_Tax!Q25</f>
        <v/>
      </c>
      <c r="R12" s="72">
        <f>Calc_Tax!R25</f>
        <v/>
      </c>
      <c r="S12" s="72">
        <f>Calc_Tax!S25</f>
        <v/>
      </c>
      <c r="T12" s="72">
        <f>Calc_Tax!T25</f>
        <v/>
      </c>
      <c r="U12" s="72">
        <f>Calc_Tax!U25</f>
        <v/>
      </c>
      <c r="V12" s="72">
        <f>Calc_Tax!V25</f>
        <v/>
      </c>
      <c r="W12" s="72">
        <f>Calc_Tax!W25</f>
        <v/>
      </c>
      <c r="X12" s="72">
        <f>Calc_Tax!X25</f>
        <v/>
      </c>
      <c r="Y12" s="72">
        <f>Calc_Tax!Y25</f>
        <v/>
      </c>
      <c r="Z12" s="72">
        <f>Calc_Tax!Z25</f>
        <v/>
      </c>
      <c r="AA12" s="72">
        <f>Calc_Tax!AA25</f>
        <v/>
      </c>
      <c r="AB12" s="72">
        <f>Calc_Tax!AB25</f>
        <v/>
      </c>
      <c r="AC12" s="72">
        <f>Calc_Tax!AC25</f>
        <v/>
      </c>
      <c r="AD12" s="72">
        <f>Calc_Tax!AD25</f>
        <v/>
      </c>
      <c r="AE12" s="72">
        <f>Calc_Tax!AE25</f>
        <v/>
      </c>
      <c r="AF12" s="72">
        <f>Calc_Tax!AF25</f>
        <v/>
      </c>
      <c r="AG12" s="72">
        <f>Calc_Tax!AG25</f>
        <v/>
      </c>
      <c r="AH12" s="72">
        <f>Calc_Tax!AH25</f>
        <v/>
      </c>
      <c r="AI12" s="72">
        <f>Calc_Tax!AI25</f>
        <v/>
      </c>
      <c r="AJ12" s="72">
        <f>Calc_Tax!AJ25</f>
        <v/>
      </c>
      <c r="AK12" s="72">
        <f>Calc_Tax!AK25</f>
        <v/>
      </c>
      <c r="AL12" s="72">
        <f>Calc_Tax!AL25</f>
        <v/>
      </c>
      <c r="AM12" s="72">
        <f>Calc_Tax!AM25</f>
        <v/>
      </c>
      <c r="AN12" s="72">
        <f>Calc_Tax!AN25</f>
        <v/>
      </c>
      <c r="AO12" s="72">
        <f>Calc_Tax!AO25</f>
        <v/>
      </c>
      <c r="AP12" s="72">
        <f>Calc_Tax!AP25</f>
        <v/>
      </c>
      <c r="AQ12" s="72">
        <f>Calc_Tax!AQ25</f>
        <v/>
      </c>
      <c r="AR12" s="72">
        <f>Calc_Tax!AR25</f>
        <v/>
      </c>
      <c r="AS12" s="72">
        <f>Calc_Tax!AS25</f>
        <v/>
      </c>
      <c r="AT12" s="72">
        <f>Calc_Tax!AT25</f>
        <v/>
      </c>
      <c r="AU12" s="72">
        <f>Calc_Tax!AU25</f>
        <v/>
      </c>
      <c r="AV12" s="72">
        <f>Calc_Tax!AV25</f>
        <v/>
      </c>
      <c r="AW12" s="72">
        <f>Calc_Tax!AW25</f>
        <v/>
      </c>
      <c r="AX12" s="72">
        <f>Calc_Tax!AX25</f>
        <v/>
      </c>
      <c r="AY12" s="72">
        <f>Calc_Tax!AY25</f>
        <v/>
      </c>
      <c r="AZ12" s="72">
        <f>Calc_Tax!AZ25</f>
        <v/>
      </c>
      <c r="BA12" s="72">
        <f>Calc_Tax!BA25</f>
        <v/>
      </c>
      <c r="BB12" s="72">
        <f>Calc_Tax!BB25</f>
        <v/>
      </c>
      <c r="BC12" s="72">
        <f>Calc_Tax!BC25</f>
        <v/>
      </c>
      <c r="BD12" s="72">
        <f>Calc_Tax!BD25</f>
        <v/>
      </c>
      <c r="BE12" s="72">
        <f>Calc_Tax!BE25</f>
        <v/>
      </c>
      <c r="BF12" s="72">
        <f>Calc_Tax!BF25</f>
        <v/>
      </c>
      <c r="BG12" s="72">
        <f>Calc_Tax!BG25</f>
        <v/>
      </c>
      <c r="BH12" s="72">
        <f>Calc_Tax!BH25</f>
        <v/>
      </c>
      <c r="BI12" s="72">
        <f>Calc_Tax!BI25</f>
        <v/>
      </c>
      <c r="BJ12" s="72">
        <f>Calc_Tax!BJ25</f>
        <v/>
      </c>
      <c r="BK12" s="72">
        <f>Calc_Tax!BK25</f>
        <v/>
      </c>
      <c r="BL12" s="72">
        <f>Calc_Tax!BL25</f>
        <v/>
      </c>
      <c r="BM12" s="72">
        <f>Calc_Tax!BM25</f>
        <v/>
      </c>
      <c r="BN12" s="72">
        <f>Calc_Tax!BN25</f>
        <v/>
      </c>
      <c r="BO12" s="72">
        <f>Calc_Tax!BO25</f>
        <v/>
      </c>
      <c r="BP12" s="72">
        <f>Calc_Tax!BP25</f>
        <v/>
      </c>
      <c r="BQ12" s="72">
        <f>Calc_Tax!BQ25</f>
        <v/>
      </c>
      <c r="BR12" s="72">
        <f>Calc_Tax!BR25</f>
        <v/>
      </c>
      <c r="BS12" s="72">
        <f>Calc_Tax!BS25</f>
        <v/>
      </c>
      <c r="BT12" s="72">
        <f>Calc_Tax!BT25</f>
        <v/>
      </c>
      <c r="BU12" s="72">
        <f>Calc_Tax!BU25</f>
        <v/>
      </c>
      <c r="BV12" s="72">
        <f>Calc_Tax!BV25</f>
        <v/>
      </c>
      <c r="BW12" s="72">
        <f>Calc_Tax!BW25</f>
        <v/>
      </c>
      <c r="BX12" s="72">
        <f>Calc_Tax!BX25</f>
        <v/>
      </c>
      <c r="BY12" s="72">
        <f>Calc_Tax!BY25</f>
        <v/>
      </c>
      <c r="BZ12" s="72">
        <f>Calc_Tax!BZ25</f>
        <v/>
      </c>
      <c r="CA12" s="72">
        <f>Calc_Tax!CA25</f>
        <v/>
      </c>
      <c r="CB12" s="72">
        <f>Calc_Tax!CB25</f>
        <v/>
      </c>
      <c r="CC12" s="72">
        <f>Calc_Tax!CC25</f>
        <v/>
      </c>
      <c r="CD12" s="72">
        <f>Calc_Tax!CD25</f>
        <v/>
      </c>
    </row>
    <row r="13">
      <c r="A13" t="inlineStr">
        <is>
          <t>DSRA LC Fee ($) — non-deductible; zero when the DSRA is cash-funded</t>
        </is>
      </c>
      <c r="C13" s="72">
        <f>Calc_Financing_Ops!C29</f>
        <v/>
      </c>
      <c r="D13" s="72">
        <f>Calc_Financing_Ops!D29</f>
        <v/>
      </c>
      <c r="E13" s="72">
        <f>Calc_Financing_Ops!E29</f>
        <v/>
      </c>
      <c r="F13" s="72">
        <f>Calc_Financing_Ops!F29</f>
        <v/>
      </c>
      <c r="G13" s="72">
        <f>Calc_Financing_Ops!G29</f>
        <v/>
      </c>
      <c r="H13" s="72">
        <f>Calc_Financing_Ops!H29</f>
        <v/>
      </c>
      <c r="I13" s="72">
        <f>Calc_Financing_Ops!I29</f>
        <v/>
      </c>
      <c r="J13" s="72">
        <f>Calc_Financing_Ops!J29</f>
        <v/>
      </c>
      <c r="K13" s="72">
        <f>Calc_Financing_Ops!K29</f>
        <v/>
      </c>
      <c r="L13" s="72">
        <f>Calc_Financing_Ops!L29</f>
        <v/>
      </c>
      <c r="M13" s="72">
        <f>Calc_Financing_Ops!M29</f>
        <v/>
      </c>
      <c r="N13" s="72">
        <f>Calc_Financing_Ops!N29</f>
        <v/>
      </c>
      <c r="O13" s="72">
        <f>Calc_Financing_Ops!O29</f>
        <v/>
      </c>
      <c r="P13" s="72">
        <f>Calc_Financing_Ops!P29</f>
        <v/>
      </c>
      <c r="Q13" s="72">
        <f>Calc_Financing_Ops!Q29</f>
        <v/>
      </c>
      <c r="R13" s="72">
        <f>Calc_Financing_Ops!R29</f>
        <v/>
      </c>
      <c r="S13" s="72">
        <f>Calc_Financing_Ops!S29</f>
        <v/>
      </c>
      <c r="T13" s="72">
        <f>Calc_Financing_Ops!T29</f>
        <v/>
      </c>
      <c r="U13" s="72">
        <f>Calc_Financing_Ops!U29</f>
        <v/>
      </c>
      <c r="V13" s="72">
        <f>Calc_Financing_Ops!V29</f>
        <v/>
      </c>
      <c r="W13" s="72">
        <f>Calc_Financing_Ops!W29</f>
        <v/>
      </c>
      <c r="X13" s="72">
        <f>Calc_Financing_Ops!X29</f>
        <v/>
      </c>
      <c r="Y13" s="72">
        <f>Calc_Financing_Ops!Y29</f>
        <v/>
      </c>
      <c r="Z13" s="72">
        <f>Calc_Financing_Ops!Z29</f>
        <v/>
      </c>
      <c r="AA13" s="72">
        <f>Calc_Financing_Ops!AA29</f>
        <v/>
      </c>
      <c r="AB13" s="72">
        <f>Calc_Financing_Ops!AB29</f>
        <v/>
      </c>
      <c r="AC13" s="72">
        <f>Calc_Financing_Ops!AC29</f>
        <v/>
      </c>
      <c r="AD13" s="72">
        <f>Calc_Financing_Ops!AD29</f>
        <v/>
      </c>
      <c r="AE13" s="72">
        <f>Calc_Financing_Ops!AE29</f>
        <v/>
      </c>
      <c r="AF13" s="72">
        <f>Calc_Financing_Ops!AF29</f>
        <v/>
      </c>
      <c r="AG13" s="72">
        <f>Calc_Financing_Ops!AG29</f>
        <v/>
      </c>
      <c r="AH13" s="72">
        <f>Calc_Financing_Ops!AH29</f>
        <v/>
      </c>
      <c r="AI13" s="72">
        <f>Calc_Financing_Ops!AI29</f>
        <v/>
      </c>
      <c r="AJ13" s="72">
        <f>Calc_Financing_Ops!AJ29</f>
        <v/>
      </c>
      <c r="AK13" s="72">
        <f>Calc_Financing_Ops!AK29</f>
        <v/>
      </c>
      <c r="AL13" s="72">
        <f>Calc_Financing_Ops!AL29</f>
        <v/>
      </c>
      <c r="AM13" s="72">
        <f>Calc_Financing_Ops!AM29</f>
        <v/>
      </c>
      <c r="AN13" s="72">
        <f>Calc_Financing_Ops!AN29</f>
        <v/>
      </c>
      <c r="AO13" s="72">
        <f>Calc_Financing_Ops!AO29</f>
        <v/>
      </c>
      <c r="AP13" s="72">
        <f>Calc_Financing_Ops!AP29</f>
        <v/>
      </c>
      <c r="AQ13" s="72">
        <f>Calc_Financing_Ops!AQ29</f>
        <v/>
      </c>
      <c r="AR13" s="72">
        <f>Calc_Financing_Ops!AR29</f>
        <v/>
      </c>
      <c r="AS13" s="72">
        <f>Calc_Financing_Ops!AS29</f>
        <v/>
      </c>
      <c r="AT13" s="72">
        <f>Calc_Financing_Ops!AT29</f>
        <v/>
      </c>
      <c r="AU13" s="72">
        <f>Calc_Financing_Ops!AU29</f>
        <v/>
      </c>
      <c r="AV13" s="72">
        <f>Calc_Financing_Ops!AV29</f>
        <v/>
      </c>
      <c r="AW13" s="72">
        <f>Calc_Financing_Ops!AW29</f>
        <v/>
      </c>
      <c r="AX13" s="72">
        <f>Calc_Financing_Ops!AX29</f>
        <v/>
      </c>
      <c r="AY13" s="72">
        <f>Calc_Financing_Ops!AY29</f>
        <v/>
      </c>
      <c r="AZ13" s="72">
        <f>Calc_Financing_Ops!AZ29</f>
        <v/>
      </c>
      <c r="BA13" s="72">
        <f>Calc_Financing_Ops!BA29</f>
        <v/>
      </c>
      <c r="BB13" s="72">
        <f>Calc_Financing_Ops!BB29</f>
        <v/>
      </c>
      <c r="BC13" s="72">
        <f>Calc_Financing_Ops!BC29</f>
        <v/>
      </c>
      <c r="BD13" s="72">
        <f>Calc_Financing_Ops!BD29</f>
        <v/>
      </c>
      <c r="BE13" s="72">
        <f>Calc_Financing_Ops!BE29</f>
        <v/>
      </c>
      <c r="BF13" s="72">
        <f>Calc_Financing_Ops!BF29</f>
        <v/>
      </c>
      <c r="BG13" s="72">
        <f>Calc_Financing_Ops!BG29</f>
        <v/>
      </c>
      <c r="BH13" s="72">
        <f>Calc_Financing_Ops!BH29</f>
        <v/>
      </c>
      <c r="BI13" s="72">
        <f>Calc_Financing_Ops!BI29</f>
        <v/>
      </c>
      <c r="BJ13" s="72">
        <f>Calc_Financing_Ops!BJ29</f>
        <v/>
      </c>
      <c r="BK13" s="72">
        <f>Calc_Financing_Ops!BK29</f>
        <v/>
      </c>
      <c r="BL13" s="72">
        <f>Calc_Financing_Ops!BL29</f>
        <v/>
      </c>
      <c r="BM13" s="72">
        <f>Calc_Financing_Ops!BM29</f>
        <v/>
      </c>
      <c r="BN13" s="72">
        <f>Calc_Financing_Ops!BN29</f>
        <v/>
      </c>
      <c r="BO13" s="72">
        <f>Calc_Financing_Ops!BO29</f>
        <v/>
      </c>
      <c r="BP13" s="72">
        <f>Calc_Financing_Ops!BP29</f>
        <v/>
      </c>
      <c r="BQ13" s="72">
        <f>Calc_Financing_Ops!BQ29</f>
        <v/>
      </c>
      <c r="BR13" s="72">
        <f>Calc_Financing_Ops!BR29</f>
        <v/>
      </c>
      <c r="BS13" s="72">
        <f>Calc_Financing_Ops!BS29</f>
        <v/>
      </c>
      <c r="BT13" s="72">
        <f>Calc_Financing_Ops!BT29</f>
        <v/>
      </c>
      <c r="BU13" s="72">
        <f>Calc_Financing_Ops!BU29</f>
        <v/>
      </c>
      <c r="BV13" s="72">
        <f>Calc_Financing_Ops!BV29</f>
        <v/>
      </c>
      <c r="BW13" s="72">
        <f>Calc_Financing_Ops!BW29</f>
        <v/>
      </c>
      <c r="BX13" s="72">
        <f>Calc_Financing_Ops!BX29</f>
        <v/>
      </c>
      <c r="BY13" s="72">
        <f>Calc_Financing_Ops!BY29</f>
        <v/>
      </c>
      <c r="BZ13" s="72">
        <f>Calc_Financing_Ops!BZ29</f>
        <v/>
      </c>
      <c r="CA13" s="72">
        <f>Calc_Financing_Ops!CA29</f>
        <v/>
      </c>
      <c r="CB13" s="72">
        <f>Calc_Financing_Ops!CB29</f>
        <v/>
      </c>
      <c r="CC13" s="72">
        <f>Calc_Financing_Ops!CC29</f>
        <v/>
      </c>
      <c r="CD13" s="72">
        <f>Calc_Financing_Ops!CD29</f>
        <v/>
      </c>
    </row>
    <row r="14">
      <c r="A14" t="inlineStr">
        <is>
          <t>Net Income ($)</t>
        </is>
      </c>
      <c r="C14" s="77">
        <f>C11-C12-C13</f>
        <v/>
      </c>
      <c r="D14" s="77">
        <f>D11-D12-D13</f>
        <v/>
      </c>
      <c r="E14" s="77">
        <f>E11-E12-E13</f>
        <v/>
      </c>
      <c r="F14" s="77">
        <f>F11-F12-F13</f>
        <v/>
      </c>
      <c r="G14" s="77">
        <f>G11-G12-G13</f>
        <v/>
      </c>
      <c r="H14" s="77">
        <f>H11-H12-H13</f>
        <v/>
      </c>
      <c r="I14" s="77">
        <f>I11-I12-I13</f>
        <v/>
      </c>
      <c r="J14" s="77">
        <f>J11-J12-J13</f>
        <v/>
      </c>
      <c r="K14" s="77">
        <f>K11-K12-K13</f>
        <v/>
      </c>
      <c r="L14" s="77">
        <f>L11-L12-L13</f>
        <v/>
      </c>
      <c r="M14" s="77">
        <f>M11-M12-M13</f>
        <v/>
      </c>
      <c r="N14" s="77">
        <f>N11-N12-N13</f>
        <v/>
      </c>
      <c r="O14" s="77">
        <f>O11-O12-O13</f>
        <v/>
      </c>
      <c r="P14" s="77">
        <f>P11-P12-P13</f>
        <v/>
      </c>
      <c r="Q14" s="77">
        <f>Q11-Q12-Q13</f>
        <v/>
      </c>
      <c r="R14" s="77">
        <f>R11-R12-R13</f>
        <v/>
      </c>
      <c r="S14" s="77">
        <f>S11-S12-S13</f>
        <v/>
      </c>
      <c r="T14" s="77">
        <f>T11-T12-T13</f>
        <v/>
      </c>
      <c r="U14" s="77">
        <f>U11-U12-U13</f>
        <v/>
      </c>
      <c r="V14" s="77">
        <f>V11-V12-V13</f>
        <v/>
      </c>
      <c r="W14" s="77">
        <f>W11-W12-W13</f>
        <v/>
      </c>
      <c r="X14" s="77">
        <f>X11-X12-X13</f>
        <v/>
      </c>
      <c r="Y14" s="77">
        <f>Y11-Y12-Y13</f>
        <v/>
      </c>
      <c r="Z14" s="77">
        <f>Z11-Z12-Z13</f>
        <v/>
      </c>
      <c r="AA14" s="77">
        <f>AA11-AA12-AA13</f>
        <v/>
      </c>
      <c r="AB14" s="77">
        <f>AB11-AB12-AB13</f>
        <v/>
      </c>
      <c r="AC14" s="77">
        <f>AC11-AC12-AC13</f>
        <v/>
      </c>
      <c r="AD14" s="77">
        <f>AD11-AD12-AD13</f>
        <v/>
      </c>
      <c r="AE14" s="77">
        <f>AE11-AE12-AE13</f>
        <v/>
      </c>
      <c r="AF14" s="77">
        <f>AF11-AF12-AF13</f>
        <v/>
      </c>
      <c r="AG14" s="77">
        <f>AG11-AG12-AG13</f>
        <v/>
      </c>
      <c r="AH14" s="77">
        <f>AH11-AH12-AH13</f>
        <v/>
      </c>
      <c r="AI14" s="77">
        <f>AI11-AI12-AI13</f>
        <v/>
      </c>
      <c r="AJ14" s="77">
        <f>AJ11-AJ12-AJ13</f>
        <v/>
      </c>
      <c r="AK14" s="77">
        <f>AK11-AK12-AK13</f>
        <v/>
      </c>
      <c r="AL14" s="77">
        <f>AL11-AL12-AL13</f>
        <v/>
      </c>
      <c r="AM14" s="77">
        <f>AM11-AM12-AM13</f>
        <v/>
      </c>
      <c r="AN14" s="77">
        <f>AN11-AN12-AN13</f>
        <v/>
      </c>
      <c r="AO14" s="77">
        <f>AO11-AO12-AO13</f>
        <v/>
      </c>
      <c r="AP14" s="77">
        <f>AP11-AP12-AP13</f>
        <v/>
      </c>
      <c r="AQ14" s="77">
        <f>AQ11-AQ12-AQ13</f>
        <v/>
      </c>
      <c r="AR14" s="77">
        <f>AR11-AR12-AR13</f>
        <v/>
      </c>
      <c r="AS14" s="77">
        <f>AS11-AS12-AS13</f>
        <v/>
      </c>
      <c r="AT14" s="77">
        <f>AT11-AT12-AT13</f>
        <v/>
      </c>
      <c r="AU14" s="77">
        <f>AU11-AU12-AU13</f>
        <v/>
      </c>
      <c r="AV14" s="77">
        <f>AV11-AV12-AV13</f>
        <v/>
      </c>
      <c r="AW14" s="77">
        <f>AW11-AW12-AW13</f>
        <v/>
      </c>
      <c r="AX14" s="77">
        <f>AX11-AX12-AX13</f>
        <v/>
      </c>
      <c r="AY14" s="77">
        <f>AY11-AY12-AY13</f>
        <v/>
      </c>
      <c r="AZ14" s="77">
        <f>AZ11-AZ12-AZ13</f>
        <v/>
      </c>
      <c r="BA14" s="77">
        <f>BA11-BA12-BA13</f>
        <v/>
      </c>
      <c r="BB14" s="77">
        <f>BB11-BB12-BB13</f>
        <v/>
      </c>
      <c r="BC14" s="77">
        <f>BC11-BC12-BC13</f>
        <v/>
      </c>
      <c r="BD14" s="77">
        <f>BD11-BD12-BD13</f>
        <v/>
      </c>
      <c r="BE14" s="77">
        <f>BE11-BE12-BE13</f>
        <v/>
      </c>
      <c r="BF14" s="77">
        <f>BF11-BF12-BF13</f>
        <v/>
      </c>
      <c r="BG14" s="77">
        <f>BG11-BG12-BG13</f>
        <v/>
      </c>
      <c r="BH14" s="77">
        <f>BH11-BH12-BH13</f>
        <v/>
      </c>
      <c r="BI14" s="77">
        <f>BI11-BI12-BI13</f>
        <v/>
      </c>
      <c r="BJ14" s="77">
        <f>BJ11-BJ12-BJ13</f>
        <v/>
      </c>
      <c r="BK14" s="77">
        <f>BK11-BK12-BK13</f>
        <v/>
      </c>
      <c r="BL14" s="77">
        <f>BL11-BL12-BL13</f>
        <v/>
      </c>
      <c r="BM14" s="77">
        <f>BM11-BM12-BM13</f>
        <v/>
      </c>
      <c r="BN14" s="77">
        <f>BN11-BN12-BN13</f>
        <v/>
      </c>
      <c r="BO14" s="77">
        <f>BO11-BO12-BO13</f>
        <v/>
      </c>
      <c r="BP14" s="77">
        <f>BP11-BP12-BP13</f>
        <v/>
      </c>
      <c r="BQ14" s="77">
        <f>BQ11-BQ12-BQ13</f>
        <v/>
      </c>
      <c r="BR14" s="77">
        <f>BR11-BR12-BR13</f>
        <v/>
      </c>
      <c r="BS14" s="77">
        <f>BS11-BS12-BS13</f>
        <v/>
      </c>
      <c r="BT14" s="77">
        <f>BT11-BT12-BT13</f>
        <v/>
      </c>
      <c r="BU14" s="77">
        <f>BU11-BU12-BU13</f>
        <v/>
      </c>
      <c r="BV14" s="77">
        <f>BV11-BV12-BV13</f>
        <v/>
      </c>
      <c r="BW14" s="77">
        <f>BW11-BW12-BW13</f>
        <v/>
      </c>
      <c r="BX14" s="77">
        <f>BX11-BX12-BX13</f>
        <v/>
      </c>
      <c r="BY14" s="77">
        <f>BY11-BY12-BY13</f>
        <v/>
      </c>
      <c r="BZ14" s="77">
        <f>BZ11-BZ12-BZ13</f>
        <v/>
      </c>
      <c r="CA14" s="77">
        <f>CA11-CA12-CA13</f>
        <v/>
      </c>
      <c r="CB14" s="77">
        <f>CB11-CB12-CB13</f>
        <v/>
      </c>
      <c r="CC14" s="77">
        <f>CC11-CC12-CC13</f>
        <v/>
      </c>
      <c r="CD14" s="77">
        <f>CD11-CD12-CD13</f>
        <v/>
      </c>
    </row>
    <row r="16">
      <c r="A16" t="inlineStr">
        <is>
          <t>Net Income ($)</t>
        </is>
      </c>
      <c r="C16" s="77">
        <f>C14</f>
        <v/>
      </c>
      <c r="D16" s="77">
        <f>D14</f>
        <v/>
      </c>
      <c r="E16" s="77">
        <f>E14</f>
        <v/>
      </c>
      <c r="F16" s="77">
        <f>F14</f>
        <v/>
      </c>
      <c r="G16" s="77">
        <f>G14</f>
        <v/>
      </c>
      <c r="H16" s="77">
        <f>H14</f>
        <v/>
      </c>
      <c r="I16" s="77">
        <f>I14</f>
        <v/>
      </c>
      <c r="J16" s="77">
        <f>J14</f>
        <v/>
      </c>
      <c r="K16" s="77">
        <f>K14</f>
        <v/>
      </c>
      <c r="L16" s="77">
        <f>L14</f>
        <v/>
      </c>
      <c r="M16" s="77">
        <f>M14</f>
        <v/>
      </c>
      <c r="N16" s="77">
        <f>N14</f>
        <v/>
      </c>
      <c r="O16" s="77">
        <f>O14</f>
        <v/>
      </c>
      <c r="P16" s="77">
        <f>P14</f>
        <v/>
      </c>
      <c r="Q16" s="77">
        <f>Q14</f>
        <v/>
      </c>
      <c r="R16" s="77">
        <f>R14</f>
        <v/>
      </c>
      <c r="S16" s="77">
        <f>S14</f>
        <v/>
      </c>
      <c r="T16" s="77">
        <f>T14</f>
        <v/>
      </c>
      <c r="U16" s="77">
        <f>U14</f>
        <v/>
      </c>
      <c r="V16" s="77">
        <f>V14</f>
        <v/>
      </c>
      <c r="W16" s="77">
        <f>W14</f>
        <v/>
      </c>
      <c r="X16" s="77">
        <f>X14</f>
        <v/>
      </c>
      <c r="Y16" s="77">
        <f>Y14</f>
        <v/>
      </c>
      <c r="Z16" s="77">
        <f>Z14</f>
        <v/>
      </c>
      <c r="AA16" s="77">
        <f>AA14</f>
        <v/>
      </c>
      <c r="AB16" s="77">
        <f>AB14</f>
        <v/>
      </c>
      <c r="AC16" s="77">
        <f>AC14</f>
        <v/>
      </c>
      <c r="AD16" s="77">
        <f>AD14</f>
        <v/>
      </c>
      <c r="AE16" s="77">
        <f>AE14</f>
        <v/>
      </c>
      <c r="AF16" s="77">
        <f>AF14</f>
        <v/>
      </c>
      <c r="AG16" s="77">
        <f>AG14</f>
        <v/>
      </c>
      <c r="AH16" s="77">
        <f>AH14</f>
        <v/>
      </c>
      <c r="AI16" s="77">
        <f>AI14</f>
        <v/>
      </c>
      <c r="AJ16" s="77">
        <f>AJ14</f>
        <v/>
      </c>
      <c r="AK16" s="77">
        <f>AK14</f>
        <v/>
      </c>
      <c r="AL16" s="77">
        <f>AL14</f>
        <v/>
      </c>
      <c r="AM16" s="77">
        <f>AM14</f>
        <v/>
      </c>
      <c r="AN16" s="77">
        <f>AN14</f>
        <v/>
      </c>
      <c r="AO16" s="77">
        <f>AO14</f>
        <v/>
      </c>
      <c r="AP16" s="77">
        <f>AP14</f>
        <v/>
      </c>
      <c r="AQ16" s="77">
        <f>AQ14</f>
        <v/>
      </c>
      <c r="AR16" s="77">
        <f>AR14</f>
        <v/>
      </c>
      <c r="AS16" s="77">
        <f>AS14</f>
        <v/>
      </c>
      <c r="AT16" s="77">
        <f>AT14</f>
        <v/>
      </c>
      <c r="AU16" s="77">
        <f>AU14</f>
        <v/>
      </c>
      <c r="AV16" s="77">
        <f>AV14</f>
        <v/>
      </c>
      <c r="AW16" s="77">
        <f>AW14</f>
        <v/>
      </c>
      <c r="AX16" s="77">
        <f>AX14</f>
        <v/>
      </c>
      <c r="AY16" s="77">
        <f>AY14</f>
        <v/>
      </c>
      <c r="AZ16" s="77">
        <f>AZ14</f>
        <v/>
      </c>
      <c r="BA16" s="77">
        <f>BA14</f>
        <v/>
      </c>
      <c r="BB16" s="77">
        <f>BB14</f>
        <v/>
      </c>
      <c r="BC16" s="77">
        <f>BC14</f>
        <v/>
      </c>
      <c r="BD16" s="77">
        <f>BD14</f>
        <v/>
      </c>
      <c r="BE16" s="77">
        <f>BE14</f>
        <v/>
      </c>
      <c r="BF16" s="77">
        <f>BF14</f>
        <v/>
      </c>
      <c r="BG16" s="77">
        <f>BG14</f>
        <v/>
      </c>
      <c r="BH16" s="77">
        <f>BH14</f>
        <v/>
      </c>
      <c r="BI16" s="77">
        <f>BI14</f>
        <v/>
      </c>
      <c r="BJ16" s="77">
        <f>BJ14</f>
        <v/>
      </c>
      <c r="BK16" s="77">
        <f>BK14</f>
        <v/>
      </c>
      <c r="BL16" s="77">
        <f>BL14</f>
        <v/>
      </c>
      <c r="BM16" s="77">
        <f>BM14</f>
        <v/>
      </c>
      <c r="BN16" s="77">
        <f>BN14</f>
        <v/>
      </c>
      <c r="BO16" s="77">
        <f>BO14</f>
        <v/>
      </c>
      <c r="BP16" s="77">
        <f>BP14</f>
        <v/>
      </c>
      <c r="BQ16" s="77">
        <f>BQ14</f>
        <v/>
      </c>
      <c r="BR16" s="77">
        <f>BR14</f>
        <v/>
      </c>
      <c r="BS16" s="77">
        <f>BS14</f>
        <v/>
      </c>
      <c r="BT16" s="77">
        <f>BT14</f>
        <v/>
      </c>
      <c r="BU16" s="77">
        <f>BU14</f>
        <v/>
      </c>
      <c r="BV16" s="77">
        <f>BV14</f>
        <v/>
      </c>
      <c r="BW16" s="77">
        <f>BW14</f>
        <v/>
      </c>
      <c r="BX16" s="77">
        <f>BX14</f>
        <v/>
      </c>
      <c r="BY16" s="77">
        <f>BY14</f>
        <v/>
      </c>
      <c r="BZ16" s="77">
        <f>BZ14</f>
        <v/>
      </c>
      <c r="CA16" s="77">
        <f>CA14</f>
        <v/>
      </c>
      <c r="CB16" s="77">
        <f>CB14</f>
        <v/>
      </c>
      <c r="CC16" s="77">
        <f>CC14</f>
        <v/>
      </c>
      <c r="CD16" s="77">
        <f>CD14</f>
        <v/>
      </c>
    </row>
    <row r="17">
      <c r="A17" t="inlineStr">
        <is>
          <t>Add back: Depreciation ($)</t>
        </is>
      </c>
      <c r="C17" s="77">
        <f>C8</f>
        <v/>
      </c>
      <c r="D17" s="77">
        <f>D8</f>
        <v/>
      </c>
      <c r="E17" s="77">
        <f>E8</f>
        <v/>
      </c>
      <c r="F17" s="77">
        <f>F8</f>
        <v/>
      </c>
      <c r="G17" s="77">
        <f>G8</f>
        <v/>
      </c>
      <c r="H17" s="77">
        <f>H8</f>
        <v/>
      </c>
      <c r="I17" s="77">
        <f>I8</f>
        <v/>
      </c>
      <c r="J17" s="77">
        <f>J8</f>
        <v/>
      </c>
      <c r="K17" s="77">
        <f>K8</f>
        <v/>
      </c>
      <c r="L17" s="77">
        <f>L8</f>
        <v/>
      </c>
      <c r="M17" s="77">
        <f>M8</f>
        <v/>
      </c>
      <c r="N17" s="77">
        <f>N8</f>
        <v/>
      </c>
      <c r="O17" s="77">
        <f>O8</f>
        <v/>
      </c>
      <c r="P17" s="77">
        <f>P8</f>
        <v/>
      </c>
      <c r="Q17" s="77">
        <f>Q8</f>
        <v/>
      </c>
      <c r="R17" s="77">
        <f>R8</f>
        <v/>
      </c>
      <c r="S17" s="77">
        <f>S8</f>
        <v/>
      </c>
      <c r="T17" s="77">
        <f>T8</f>
        <v/>
      </c>
      <c r="U17" s="77">
        <f>U8</f>
        <v/>
      </c>
      <c r="V17" s="77">
        <f>V8</f>
        <v/>
      </c>
      <c r="W17" s="77">
        <f>W8</f>
        <v/>
      </c>
      <c r="X17" s="77">
        <f>X8</f>
        <v/>
      </c>
      <c r="Y17" s="77">
        <f>Y8</f>
        <v/>
      </c>
      <c r="Z17" s="77">
        <f>Z8</f>
        <v/>
      </c>
      <c r="AA17" s="77">
        <f>AA8</f>
        <v/>
      </c>
      <c r="AB17" s="77">
        <f>AB8</f>
        <v/>
      </c>
      <c r="AC17" s="77">
        <f>AC8</f>
        <v/>
      </c>
      <c r="AD17" s="77">
        <f>AD8</f>
        <v/>
      </c>
      <c r="AE17" s="77">
        <f>AE8</f>
        <v/>
      </c>
      <c r="AF17" s="77">
        <f>AF8</f>
        <v/>
      </c>
      <c r="AG17" s="77">
        <f>AG8</f>
        <v/>
      </c>
      <c r="AH17" s="77">
        <f>AH8</f>
        <v/>
      </c>
      <c r="AI17" s="77">
        <f>AI8</f>
        <v/>
      </c>
      <c r="AJ17" s="77">
        <f>AJ8</f>
        <v/>
      </c>
      <c r="AK17" s="77">
        <f>AK8</f>
        <v/>
      </c>
      <c r="AL17" s="77">
        <f>AL8</f>
        <v/>
      </c>
      <c r="AM17" s="77">
        <f>AM8</f>
        <v/>
      </c>
      <c r="AN17" s="77">
        <f>AN8</f>
        <v/>
      </c>
      <c r="AO17" s="77">
        <f>AO8</f>
        <v/>
      </c>
      <c r="AP17" s="77">
        <f>AP8</f>
        <v/>
      </c>
      <c r="AQ17" s="77">
        <f>AQ8</f>
        <v/>
      </c>
      <c r="AR17" s="77">
        <f>AR8</f>
        <v/>
      </c>
      <c r="AS17" s="77">
        <f>AS8</f>
        <v/>
      </c>
      <c r="AT17" s="77">
        <f>AT8</f>
        <v/>
      </c>
      <c r="AU17" s="77">
        <f>AU8</f>
        <v/>
      </c>
      <c r="AV17" s="77">
        <f>AV8</f>
        <v/>
      </c>
      <c r="AW17" s="77">
        <f>AW8</f>
        <v/>
      </c>
      <c r="AX17" s="77">
        <f>AX8</f>
        <v/>
      </c>
      <c r="AY17" s="77">
        <f>AY8</f>
        <v/>
      </c>
      <c r="AZ17" s="77">
        <f>AZ8</f>
        <v/>
      </c>
      <c r="BA17" s="77">
        <f>BA8</f>
        <v/>
      </c>
      <c r="BB17" s="77">
        <f>BB8</f>
        <v/>
      </c>
      <c r="BC17" s="77">
        <f>BC8</f>
        <v/>
      </c>
      <c r="BD17" s="77">
        <f>BD8</f>
        <v/>
      </c>
      <c r="BE17" s="77">
        <f>BE8</f>
        <v/>
      </c>
      <c r="BF17" s="77">
        <f>BF8</f>
        <v/>
      </c>
      <c r="BG17" s="77">
        <f>BG8</f>
        <v/>
      </c>
      <c r="BH17" s="77">
        <f>BH8</f>
        <v/>
      </c>
      <c r="BI17" s="77">
        <f>BI8</f>
        <v/>
      </c>
      <c r="BJ17" s="77">
        <f>BJ8</f>
        <v/>
      </c>
      <c r="BK17" s="77">
        <f>BK8</f>
        <v/>
      </c>
      <c r="BL17" s="77">
        <f>BL8</f>
        <v/>
      </c>
      <c r="BM17" s="77">
        <f>BM8</f>
        <v/>
      </c>
      <c r="BN17" s="77">
        <f>BN8</f>
        <v/>
      </c>
      <c r="BO17" s="77">
        <f>BO8</f>
        <v/>
      </c>
      <c r="BP17" s="77">
        <f>BP8</f>
        <v/>
      </c>
      <c r="BQ17" s="77">
        <f>BQ8</f>
        <v/>
      </c>
      <c r="BR17" s="77">
        <f>BR8</f>
        <v/>
      </c>
      <c r="BS17" s="77">
        <f>BS8</f>
        <v/>
      </c>
      <c r="BT17" s="77">
        <f>BT8</f>
        <v/>
      </c>
      <c r="BU17" s="77">
        <f>BU8</f>
        <v/>
      </c>
      <c r="BV17" s="77">
        <f>BV8</f>
        <v/>
      </c>
      <c r="BW17" s="77">
        <f>BW8</f>
        <v/>
      </c>
      <c r="BX17" s="77">
        <f>BX8</f>
        <v/>
      </c>
      <c r="BY17" s="77">
        <f>BY8</f>
        <v/>
      </c>
      <c r="BZ17" s="77">
        <f>BZ8</f>
        <v/>
      </c>
      <c r="CA17" s="77">
        <f>CA8</f>
        <v/>
      </c>
      <c r="CB17" s="77">
        <f>CB8</f>
        <v/>
      </c>
      <c r="CC17" s="77">
        <f>CC8</f>
        <v/>
      </c>
      <c r="CD17" s="77">
        <f>CD8</f>
        <v/>
      </c>
    </row>
    <row r="18">
      <c r="A18" t="inlineStr">
        <is>
          <t>Cash Flow from Operations ($)</t>
        </is>
      </c>
      <c r="C18" s="77">
        <f>C16+C17</f>
        <v/>
      </c>
      <c r="D18" s="77">
        <f>D16+D17</f>
        <v/>
      </c>
      <c r="E18" s="77">
        <f>E16+E17</f>
        <v/>
      </c>
      <c r="F18" s="77">
        <f>F16+F17</f>
        <v/>
      </c>
      <c r="G18" s="77">
        <f>G16+G17</f>
        <v/>
      </c>
      <c r="H18" s="77">
        <f>H16+H17</f>
        <v/>
      </c>
      <c r="I18" s="77">
        <f>I16+I17</f>
        <v/>
      </c>
      <c r="J18" s="77">
        <f>J16+J17</f>
        <v/>
      </c>
      <c r="K18" s="77">
        <f>K16+K17</f>
        <v/>
      </c>
      <c r="L18" s="77">
        <f>L16+L17</f>
        <v/>
      </c>
      <c r="M18" s="77">
        <f>M16+M17</f>
        <v/>
      </c>
      <c r="N18" s="77">
        <f>N16+N17</f>
        <v/>
      </c>
      <c r="O18" s="77">
        <f>O16+O17</f>
        <v/>
      </c>
      <c r="P18" s="77">
        <f>P16+P17</f>
        <v/>
      </c>
      <c r="Q18" s="77">
        <f>Q16+Q17</f>
        <v/>
      </c>
      <c r="R18" s="77">
        <f>R16+R17</f>
        <v/>
      </c>
      <c r="S18" s="77">
        <f>S16+S17</f>
        <v/>
      </c>
      <c r="T18" s="77">
        <f>T16+T17</f>
        <v/>
      </c>
      <c r="U18" s="77">
        <f>U16+U17</f>
        <v/>
      </c>
      <c r="V18" s="77">
        <f>V16+V17</f>
        <v/>
      </c>
      <c r="W18" s="77">
        <f>W16+W17</f>
        <v/>
      </c>
      <c r="X18" s="77">
        <f>X16+X17</f>
        <v/>
      </c>
      <c r="Y18" s="77">
        <f>Y16+Y17</f>
        <v/>
      </c>
      <c r="Z18" s="77">
        <f>Z16+Z17</f>
        <v/>
      </c>
      <c r="AA18" s="77">
        <f>AA16+AA17</f>
        <v/>
      </c>
      <c r="AB18" s="77">
        <f>AB16+AB17</f>
        <v/>
      </c>
      <c r="AC18" s="77">
        <f>AC16+AC17</f>
        <v/>
      </c>
      <c r="AD18" s="77">
        <f>AD16+AD17</f>
        <v/>
      </c>
      <c r="AE18" s="77">
        <f>AE16+AE17</f>
        <v/>
      </c>
      <c r="AF18" s="77">
        <f>AF16+AF17</f>
        <v/>
      </c>
      <c r="AG18" s="77">
        <f>AG16+AG17</f>
        <v/>
      </c>
      <c r="AH18" s="77">
        <f>AH16+AH17</f>
        <v/>
      </c>
      <c r="AI18" s="77">
        <f>AI16+AI17</f>
        <v/>
      </c>
      <c r="AJ18" s="77">
        <f>AJ16+AJ17</f>
        <v/>
      </c>
      <c r="AK18" s="77">
        <f>AK16+AK17</f>
        <v/>
      </c>
      <c r="AL18" s="77">
        <f>AL16+AL17</f>
        <v/>
      </c>
      <c r="AM18" s="77">
        <f>AM16+AM17</f>
        <v/>
      </c>
      <c r="AN18" s="77">
        <f>AN16+AN17</f>
        <v/>
      </c>
      <c r="AO18" s="77">
        <f>AO16+AO17</f>
        <v/>
      </c>
      <c r="AP18" s="77">
        <f>AP16+AP17</f>
        <v/>
      </c>
      <c r="AQ18" s="77">
        <f>AQ16+AQ17</f>
        <v/>
      </c>
      <c r="AR18" s="77">
        <f>AR16+AR17</f>
        <v/>
      </c>
      <c r="AS18" s="77">
        <f>AS16+AS17</f>
        <v/>
      </c>
      <c r="AT18" s="77">
        <f>AT16+AT17</f>
        <v/>
      </c>
      <c r="AU18" s="77">
        <f>AU16+AU17</f>
        <v/>
      </c>
      <c r="AV18" s="77">
        <f>AV16+AV17</f>
        <v/>
      </c>
      <c r="AW18" s="77">
        <f>AW16+AW17</f>
        <v/>
      </c>
      <c r="AX18" s="77">
        <f>AX16+AX17</f>
        <v/>
      </c>
      <c r="AY18" s="77">
        <f>AY16+AY17</f>
        <v/>
      </c>
      <c r="AZ18" s="77">
        <f>AZ16+AZ17</f>
        <v/>
      </c>
      <c r="BA18" s="77">
        <f>BA16+BA17</f>
        <v/>
      </c>
      <c r="BB18" s="77">
        <f>BB16+BB17</f>
        <v/>
      </c>
      <c r="BC18" s="77">
        <f>BC16+BC17</f>
        <v/>
      </c>
      <c r="BD18" s="77">
        <f>BD16+BD17</f>
        <v/>
      </c>
      <c r="BE18" s="77">
        <f>BE16+BE17</f>
        <v/>
      </c>
      <c r="BF18" s="77">
        <f>BF16+BF17</f>
        <v/>
      </c>
      <c r="BG18" s="77">
        <f>BG16+BG17</f>
        <v/>
      </c>
      <c r="BH18" s="77">
        <f>BH16+BH17</f>
        <v/>
      </c>
      <c r="BI18" s="77">
        <f>BI16+BI17</f>
        <v/>
      </c>
      <c r="BJ18" s="77">
        <f>BJ16+BJ17</f>
        <v/>
      </c>
      <c r="BK18" s="77">
        <f>BK16+BK17</f>
        <v/>
      </c>
      <c r="BL18" s="77">
        <f>BL16+BL17</f>
        <v/>
      </c>
      <c r="BM18" s="77">
        <f>BM16+BM17</f>
        <v/>
      </c>
      <c r="BN18" s="77">
        <f>BN16+BN17</f>
        <v/>
      </c>
      <c r="BO18" s="77">
        <f>BO16+BO17</f>
        <v/>
      </c>
      <c r="BP18" s="77">
        <f>BP16+BP17</f>
        <v/>
      </c>
      <c r="BQ18" s="77">
        <f>BQ16+BQ17</f>
        <v/>
      </c>
      <c r="BR18" s="77">
        <f>BR16+BR17</f>
        <v/>
      </c>
      <c r="BS18" s="77">
        <f>BS16+BS17</f>
        <v/>
      </c>
      <c r="BT18" s="77">
        <f>BT16+BT17</f>
        <v/>
      </c>
      <c r="BU18" s="77">
        <f>BU16+BU17</f>
        <v/>
      </c>
      <c r="BV18" s="77">
        <f>BV16+BV17</f>
        <v/>
      </c>
      <c r="BW18" s="77">
        <f>BW16+BW17</f>
        <v/>
      </c>
      <c r="BX18" s="77">
        <f>BX16+BX17</f>
        <v/>
      </c>
      <c r="BY18" s="77">
        <f>BY16+BY17</f>
        <v/>
      </c>
      <c r="BZ18" s="77">
        <f>BZ16+BZ17</f>
        <v/>
      </c>
      <c r="CA18" s="77">
        <f>CA16+CA17</f>
        <v/>
      </c>
      <c r="CB18" s="77">
        <f>CB16+CB17</f>
        <v/>
      </c>
      <c r="CC18" s="77">
        <f>CC16+CC17</f>
        <v/>
      </c>
      <c r="CD18" s="77">
        <f>CD16+CD17</f>
        <v/>
      </c>
    </row>
    <row r="19">
      <c r="A19" t="inlineStr">
        <is>
          <t>Cash Flow from Investing ($) — maintenance capex</t>
        </is>
      </c>
      <c r="C19" s="77">
        <f>-Calc_CFADS!C11</f>
        <v/>
      </c>
      <c r="D19" s="77">
        <f>-Calc_CFADS!D11</f>
        <v/>
      </c>
      <c r="E19" s="77">
        <f>-Calc_CFADS!E11</f>
        <v/>
      </c>
      <c r="F19" s="77">
        <f>-Calc_CFADS!F11</f>
        <v/>
      </c>
      <c r="G19" s="77">
        <f>-Calc_CFADS!G11</f>
        <v/>
      </c>
      <c r="H19" s="77">
        <f>-Calc_CFADS!H11</f>
        <v/>
      </c>
      <c r="I19" s="77">
        <f>-Calc_CFADS!I11</f>
        <v/>
      </c>
      <c r="J19" s="77">
        <f>-Calc_CFADS!J11</f>
        <v/>
      </c>
      <c r="K19" s="77">
        <f>-Calc_CFADS!K11</f>
        <v/>
      </c>
      <c r="L19" s="77">
        <f>-Calc_CFADS!L11</f>
        <v/>
      </c>
      <c r="M19" s="77">
        <f>-Calc_CFADS!M11</f>
        <v/>
      </c>
      <c r="N19" s="77">
        <f>-Calc_CFADS!N11</f>
        <v/>
      </c>
      <c r="O19" s="77">
        <f>-Calc_CFADS!O11</f>
        <v/>
      </c>
      <c r="P19" s="77">
        <f>-Calc_CFADS!P11</f>
        <v/>
      </c>
      <c r="Q19" s="77">
        <f>-Calc_CFADS!Q11</f>
        <v/>
      </c>
      <c r="R19" s="77">
        <f>-Calc_CFADS!R11</f>
        <v/>
      </c>
      <c r="S19" s="77">
        <f>-Calc_CFADS!S11</f>
        <v/>
      </c>
      <c r="T19" s="77">
        <f>-Calc_CFADS!T11</f>
        <v/>
      </c>
      <c r="U19" s="77">
        <f>-Calc_CFADS!U11</f>
        <v/>
      </c>
      <c r="V19" s="77">
        <f>-Calc_CFADS!V11</f>
        <v/>
      </c>
      <c r="W19" s="77">
        <f>-Calc_CFADS!W11</f>
        <v/>
      </c>
      <c r="X19" s="77">
        <f>-Calc_CFADS!X11</f>
        <v/>
      </c>
      <c r="Y19" s="77">
        <f>-Calc_CFADS!Y11</f>
        <v/>
      </c>
      <c r="Z19" s="77">
        <f>-Calc_CFADS!Z11</f>
        <v/>
      </c>
      <c r="AA19" s="77">
        <f>-Calc_CFADS!AA11</f>
        <v/>
      </c>
      <c r="AB19" s="77">
        <f>-Calc_CFADS!AB11</f>
        <v/>
      </c>
      <c r="AC19" s="77">
        <f>-Calc_CFADS!AC11</f>
        <v/>
      </c>
      <c r="AD19" s="77">
        <f>-Calc_CFADS!AD11</f>
        <v/>
      </c>
      <c r="AE19" s="77">
        <f>-Calc_CFADS!AE11</f>
        <v/>
      </c>
      <c r="AF19" s="77">
        <f>-Calc_CFADS!AF11</f>
        <v/>
      </c>
      <c r="AG19" s="77">
        <f>-Calc_CFADS!AG11</f>
        <v/>
      </c>
      <c r="AH19" s="77">
        <f>-Calc_CFADS!AH11</f>
        <v/>
      </c>
      <c r="AI19" s="77">
        <f>-Calc_CFADS!AI11</f>
        <v/>
      </c>
      <c r="AJ19" s="77">
        <f>-Calc_CFADS!AJ11</f>
        <v/>
      </c>
      <c r="AK19" s="77">
        <f>-Calc_CFADS!AK11</f>
        <v/>
      </c>
      <c r="AL19" s="77">
        <f>-Calc_CFADS!AL11</f>
        <v/>
      </c>
      <c r="AM19" s="77">
        <f>-Calc_CFADS!AM11</f>
        <v/>
      </c>
      <c r="AN19" s="77">
        <f>-Calc_CFADS!AN11</f>
        <v/>
      </c>
      <c r="AO19" s="77">
        <f>-Calc_CFADS!AO11</f>
        <v/>
      </c>
      <c r="AP19" s="77">
        <f>-Calc_CFADS!AP11</f>
        <v/>
      </c>
      <c r="AQ19" s="77">
        <f>-Calc_CFADS!AQ11</f>
        <v/>
      </c>
      <c r="AR19" s="77">
        <f>-Calc_CFADS!AR11</f>
        <v/>
      </c>
      <c r="AS19" s="77">
        <f>-Calc_CFADS!AS11</f>
        <v/>
      </c>
      <c r="AT19" s="77">
        <f>-Calc_CFADS!AT11</f>
        <v/>
      </c>
      <c r="AU19" s="77">
        <f>-Calc_CFADS!AU11</f>
        <v/>
      </c>
      <c r="AV19" s="77">
        <f>-Calc_CFADS!AV11</f>
        <v/>
      </c>
      <c r="AW19" s="77">
        <f>-Calc_CFADS!AW11</f>
        <v/>
      </c>
      <c r="AX19" s="77">
        <f>-Calc_CFADS!AX11</f>
        <v/>
      </c>
      <c r="AY19" s="77">
        <f>-Calc_CFADS!AY11</f>
        <v/>
      </c>
      <c r="AZ19" s="77">
        <f>-Calc_CFADS!AZ11</f>
        <v/>
      </c>
      <c r="BA19" s="77">
        <f>-Calc_CFADS!BA11</f>
        <v/>
      </c>
      <c r="BB19" s="77">
        <f>-Calc_CFADS!BB11</f>
        <v/>
      </c>
      <c r="BC19" s="77">
        <f>-Calc_CFADS!BC11</f>
        <v/>
      </c>
      <c r="BD19" s="77">
        <f>-Calc_CFADS!BD11</f>
        <v/>
      </c>
      <c r="BE19" s="77">
        <f>-Calc_CFADS!BE11</f>
        <v/>
      </c>
      <c r="BF19" s="77">
        <f>-Calc_CFADS!BF11</f>
        <v/>
      </c>
      <c r="BG19" s="77">
        <f>-Calc_CFADS!BG11</f>
        <v/>
      </c>
      <c r="BH19" s="77">
        <f>-Calc_CFADS!BH11</f>
        <v/>
      </c>
      <c r="BI19" s="77">
        <f>-Calc_CFADS!BI11</f>
        <v/>
      </c>
      <c r="BJ19" s="77">
        <f>-Calc_CFADS!BJ11</f>
        <v/>
      </c>
      <c r="BK19" s="77">
        <f>-Calc_CFADS!BK11</f>
        <v/>
      </c>
      <c r="BL19" s="77">
        <f>-Calc_CFADS!BL11</f>
        <v/>
      </c>
      <c r="BM19" s="77">
        <f>-Calc_CFADS!BM11</f>
        <v/>
      </c>
      <c r="BN19" s="77">
        <f>-Calc_CFADS!BN11</f>
        <v/>
      </c>
      <c r="BO19" s="77">
        <f>-Calc_CFADS!BO11</f>
        <v/>
      </c>
      <c r="BP19" s="77">
        <f>-Calc_CFADS!BP11</f>
        <v/>
      </c>
      <c r="BQ19" s="77">
        <f>-Calc_CFADS!BQ11</f>
        <v/>
      </c>
      <c r="BR19" s="77">
        <f>-Calc_CFADS!BR11</f>
        <v/>
      </c>
      <c r="BS19" s="77">
        <f>-Calc_CFADS!BS11</f>
        <v/>
      </c>
      <c r="BT19" s="77">
        <f>-Calc_CFADS!BT11</f>
        <v/>
      </c>
      <c r="BU19" s="77">
        <f>-Calc_CFADS!BU11</f>
        <v/>
      </c>
      <c r="BV19" s="77">
        <f>-Calc_CFADS!BV11</f>
        <v/>
      </c>
      <c r="BW19" s="77">
        <f>-Calc_CFADS!BW11</f>
        <v/>
      </c>
      <c r="BX19" s="77">
        <f>-Calc_CFADS!BX11</f>
        <v/>
      </c>
      <c r="BY19" s="77">
        <f>-Calc_CFADS!BY11</f>
        <v/>
      </c>
      <c r="BZ19" s="77">
        <f>-Calc_CFADS!BZ11</f>
        <v/>
      </c>
      <c r="CA19" s="77">
        <f>-Calc_CFADS!CA11</f>
        <v/>
      </c>
      <c r="CB19" s="77">
        <f>-Calc_CFADS!CB11</f>
        <v/>
      </c>
      <c r="CC19" s="77">
        <f>-Calc_CFADS!CC11</f>
        <v/>
      </c>
      <c r="CD19" s="77">
        <f>-Calc_CFADS!CD11</f>
        <v/>
      </c>
    </row>
    <row r="20">
      <c r="A20" t="inlineStr">
        <is>
          <t>Debt Principal Repayment ($)</t>
        </is>
      </c>
      <c r="C20" s="72">
        <f>Calc_Financing_Ops!C22</f>
        <v/>
      </c>
      <c r="D20" s="72">
        <f>Calc_Financing_Ops!D22</f>
        <v/>
      </c>
      <c r="E20" s="72">
        <f>Calc_Financing_Ops!E22</f>
        <v/>
      </c>
      <c r="F20" s="72">
        <f>Calc_Financing_Ops!F22</f>
        <v/>
      </c>
      <c r="G20" s="72">
        <f>Calc_Financing_Ops!G22</f>
        <v/>
      </c>
      <c r="H20" s="72">
        <f>Calc_Financing_Ops!H22</f>
        <v/>
      </c>
      <c r="I20" s="72">
        <f>Calc_Financing_Ops!I22</f>
        <v/>
      </c>
      <c r="J20" s="72">
        <f>Calc_Financing_Ops!J22</f>
        <v/>
      </c>
      <c r="K20" s="72">
        <f>Calc_Financing_Ops!K22</f>
        <v/>
      </c>
      <c r="L20" s="72">
        <f>Calc_Financing_Ops!L22</f>
        <v/>
      </c>
      <c r="M20" s="72">
        <f>Calc_Financing_Ops!M22</f>
        <v/>
      </c>
      <c r="N20" s="72">
        <f>Calc_Financing_Ops!N22</f>
        <v/>
      </c>
      <c r="O20" s="72">
        <f>Calc_Financing_Ops!O22</f>
        <v/>
      </c>
      <c r="P20" s="72">
        <f>Calc_Financing_Ops!P22</f>
        <v/>
      </c>
      <c r="Q20" s="72">
        <f>Calc_Financing_Ops!Q22</f>
        <v/>
      </c>
      <c r="R20" s="72">
        <f>Calc_Financing_Ops!R22</f>
        <v/>
      </c>
      <c r="S20" s="72">
        <f>Calc_Financing_Ops!S22</f>
        <v/>
      </c>
      <c r="T20" s="72">
        <f>Calc_Financing_Ops!T22</f>
        <v/>
      </c>
      <c r="U20" s="72">
        <f>Calc_Financing_Ops!U22</f>
        <v/>
      </c>
      <c r="V20" s="72">
        <f>Calc_Financing_Ops!V22</f>
        <v/>
      </c>
      <c r="W20" s="72">
        <f>Calc_Financing_Ops!W22</f>
        <v/>
      </c>
      <c r="X20" s="72">
        <f>Calc_Financing_Ops!X22</f>
        <v/>
      </c>
      <c r="Y20" s="72">
        <f>Calc_Financing_Ops!Y22</f>
        <v/>
      </c>
      <c r="Z20" s="72">
        <f>Calc_Financing_Ops!Z22</f>
        <v/>
      </c>
      <c r="AA20" s="72">
        <f>Calc_Financing_Ops!AA22</f>
        <v/>
      </c>
      <c r="AB20" s="72">
        <f>Calc_Financing_Ops!AB22</f>
        <v/>
      </c>
      <c r="AC20" s="72">
        <f>Calc_Financing_Ops!AC22</f>
        <v/>
      </c>
      <c r="AD20" s="72">
        <f>Calc_Financing_Ops!AD22</f>
        <v/>
      </c>
      <c r="AE20" s="72">
        <f>Calc_Financing_Ops!AE22</f>
        <v/>
      </c>
      <c r="AF20" s="72">
        <f>Calc_Financing_Ops!AF22</f>
        <v/>
      </c>
      <c r="AG20" s="72">
        <f>Calc_Financing_Ops!AG22</f>
        <v/>
      </c>
      <c r="AH20" s="72">
        <f>Calc_Financing_Ops!AH22</f>
        <v/>
      </c>
      <c r="AI20" s="72">
        <f>Calc_Financing_Ops!AI22</f>
        <v/>
      </c>
      <c r="AJ20" s="72">
        <f>Calc_Financing_Ops!AJ22</f>
        <v/>
      </c>
      <c r="AK20" s="72">
        <f>Calc_Financing_Ops!AK22</f>
        <v/>
      </c>
      <c r="AL20" s="72">
        <f>Calc_Financing_Ops!AL22</f>
        <v/>
      </c>
      <c r="AM20" s="72">
        <f>Calc_Financing_Ops!AM22</f>
        <v/>
      </c>
      <c r="AN20" s="72">
        <f>Calc_Financing_Ops!AN22</f>
        <v/>
      </c>
      <c r="AO20" s="72">
        <f>Calc_Financing_Ops!AO22</f>
        <v/>
      </c>
      <c r="AP20" s="72">
        <f>Calc_Financing_Ops!AP22</f>
        <v/>
      </c>
      <c r="AQ20" s="72">
        <f>Calc_Financing_Ops!AQ22</f>
        <v/>
      </c>
      <c r="AR20" s="72">
        <f>Calc_Financing_Ops!AR22</f>
        <v/>
      </c>
      <c r="AS20" s="72">
        <f>Calc_Financing_Ops!AS22</f>
        <v/>
      </c>
      <c r="AT20" s="72">
        <f>Calc_Financing_Ops!AT22</f>
        <v/>
      </c>
      <c r="AU20" s="72">
        <f>Calc_Financing_Ops!AU22</f>
        <v/>
      </c>
      <c r="AV20" s="72">
        <f>Calc_Financing_Ops!AV22</f>
        <v/>
      </c>
      <c r="AW20" s="72">
        <f>Calc_Financing_Ops!AW22</f>
        <v/>
      </c>
      <c r="AX20" s="72">
        <f>Calc_Financing_Ops!AX22</f>
        <v/>
      </c>
      <c r="AY20" s="72">
        <f>Calc_Financing_Ops!AY22</f>
        <v/>
      </c>
      <c r="AZ20" s="72">
        <f>Calc_Financing_Ops!AZ22</f>
        <v/>
      </c>
      <c r="BA20" s="72">
        <f>Calc_Financing_Ops!BA22</f>
        <v/>
      </c>
      <c r="BB20" s="72">
        <f>Calc_Financing_Ops!BB22</f>
        <v/>
      </c>
      <c r="BC20" s="72">
        <f>Calc_Financing_Ops!BC22</f>
        <v/>
      </c>
      <c r="BD20" s="72">
        <f>Calc_Financing_Ops!BD22</f>
        <v/>
      </c>
      <c r="BE20" s="72">
        <f>Calc_Financing_Ops!BE22</f>
        <v/>
      </c>
      <c r="BF20" s="72">
        <f>Calc_Financing_Ops!BF22</f>
        <v/>
      </c>
      <c r="BG20" s="72">
        <f>Calc_Financing_Ops!BG22</f>
        <v/>
      </c>
      <c r="BH20" s="72">
        <f>Calc_Financing_Ops!BH22</f>
        <v/>
      </c>
      <c r="BI20" s="72">
        <f>Calc_Financing_Ops!BI22</f>
        <v/>
      </c>
      <c r="BJ20" s="72">
        <f>Calc_Financing_Ops!BJ22</f>
        <v/>
      </c>
      <c r="BK20" s="72">
        <f>Calc_Financing_Ops!BK22</f>
        <v/>
      </c>
      <c r="BL20" s="72">
        <f>Calc_Financing_Ops!BL22</f>
        <v/>
      </c>
      <c r="BM20" s="72">
        <f>Calc_Financing_Ops!BM22</f>
        <v/>
      </c>
      <c r="BN20" s="72">
        <f>Calc_Financing_Ops!BN22</f>
        <v/>
      </c>
      <c r="BO20" s="72">
        <f>Calc_Financing_Ops!BO22</f>
        <v/>
      </c>
      <c r="BP20" s="72">
        <f>Calc_Financing_Ops!BP22</f>
        <v/>
      </c>
      <c r="BQ20" s="72">
        <f>Calc_Financing_Ops!BQ22</f>
        <v/>
      </c>
      <c r="BR20" s="72">
        <f>Calc_Financing_Ops!BR22</f>
        <v/>
      </c>
      <c r="BS20" s="72">
        <f>Calc_Financing_Ops!BS22</f>
        <v/>
      </c>
      <c r="BT20" s="72">
        <f>Calc_Financing_Ops!BT22</f>
        <v/>
      </c>
      <c r="BU20" s="72">
        <f>Calc_Financing_Ops!BU22</f>
        <v/>
      </c>
      <c r="BV20" s="72">
        <f>Calc_Financing_Ops!BV22</f>
        <v/>
      </c>
      <c r="BW20" s="72">
        <f>Calc_Financing_Ops!BW22</f>
        <v/>
      </c>
      <c r="BX20" s="72">
        <f>Calc_Financing_Ops!BX22</f>
        <v/>
      </c>
      <c r="BY20" s="72">
        <f>Calc_Financing_Ops!BY22</f>
        <v/>
      </c>
      <c r="BZ20" s="72">
        <f>Calc_Financing_Ops!BZ22</f>
        <v/>
      </c>
      <c r="CA20" s="72">
        <f>Calc_Financing_Ops!CA22</f>
        <v/>
      </c>
      <c r="CB20" s="72">
        <f>Calc_Financing_Ops!CB22</f>
        <v/>
      </c>
      <c r="CC20" s="72">
        <f>Calc_Financing_Ops!CC22</f>
        <v/>
      </c>
      <c r="CD20" s="72">
        <f>Calc_Financing_Ops!CD22</f>
        <v/>
      </c>
    </row>
    <row r="21">
      <c r="A21" t="inlineStr">
        <is>
          <t>DSRA Funding/(Release) ($) — the LC fee sits in the P&amp;L above</t>
        </is>
      </c>
      <c r="C21" s="72">
        <f>Calc_Financing_Ops!C28</f>
        <v/>
      </c>
      <c r="D21" s="72">
        <f>Calc_Financing_Ops!D28</f>
        <v/>
      </c>
      <c r="E21" s="72">
        <f>Calc_Financing_Ops!E28</f>
        <v/>
      </c>
      <c r="F21" s="72">
        <f>Calc_Financing_Ops!F28</f>
        <v/>
      </c>
      <c r="G21" s="72">
        <f>Calc_Financing_Ops!G28</f>
        <v/>
      </c>
      <c r="H21" s="72">
        <f>Calc_Financing_Ops!H28</f>
        <v/>
      </c>
      <c r="I21" s="72">
        <f>Calc_Financing_Ops!I28</f>
        <v/>
      </c>
      <c r="J21" s="72">
        <f>Calc_Financing_Ops!J28</f>
        <v/>
      </c>
      <c r="K21" s="72">
        <f>Calc_Financing_Ops!K28</f>
        <v/>
      </c>
      <c r="L21" s="72">
        <f>Calc_Financing_Ops!L28</f>
        <v/>
      </c>
      <c r="M21" s="72">
        <f>Calc_Financing_Ops!M28</f>
        <v/>
      </c>
      <c r="N21" s="72">
        <f>Calc_Financing_Ops!N28</f>
        <v/>
      </c>
      <c r="O21" s="72">
        <f>Calc_Financing_Ops!O28</f>
        <v/>
      </c>
      <c r="P21" s="72">
        <f>Calc_Financing_Ops!P28</f>
        <v/>
      </c>
      <c r="Q21" s="72">
        <f>Calc_Financing_Ops!Q28</f>
        <v/>
      </c>
      <c r="R21" s="72">
        <f>Calc_Financing_Ops!R28</f>
        <v/>
      </c>
      <c r="S21" s="72">
        <f>Calc_Financing_Ops!S28</f>
        <v/>
      </c>
      <c r="T21" s="72">
        <f>Calc_Financing_Ops!T28</f>
        <v/>
      </c>
      <c r="U21" s="72">
        <f>Calc_Financing_Ops!U28</f>
        <v/>
      </c>
      <c r="V21" s="72">
        <f>Calc_Financing_Ops!V28</f>
        <v/>
      </c>
      <c r="W21" s="72">
        <f>Calc_Financing_Ops!W28</f>
        <v/>
      </c>
      <c r="X21" s="72">
        <f>Calc_Financing_Ops!X28</f>
        <v/>
      </c>
      <c r="Y21" s="72">
        <f>Calc_Financing_Ops!Y28</f>
        <v/>
      </c>
      <c r="Z21" s="72">
        <f>Calc_Financing_Ops!Z28</f>
        <v/>
      </c>
      <c r="AA21" s="72">
        <f>Calc_Financing_Ops!AA28</f>
        <v/>
      </c>
      <c r="AB21" s="72">
        <f>Calc_Financing_Ops!AB28</f>
        <v/>
      </c>
      <c r="AC21" s="72">
        <f>Calc_Financing_Ops!AC28</f>
        <v/>
      </c>
      <c r="AD21" s="72">
        <f>Calc_Financing_Ops!AD28</f>
        <v/>
      </c>
      <c r="AE21" s="72">
        <f>Calc_Financing_Ops!AE28</f>
        <v/>
      </c>
      <c r="AF21" s="72">
        <f>Calc_Financing_Ops!AF28</f>
        <v/>
      </c>
      <c r="AG21" s="72">
        <f>Calc_Financing_Ops!AG28</f>
        <v/>
      </c>
      <c r="AH21" s="72">
        <f>Calc_Financing_Ops!AH28</f>
        <v/>
      </c>
      <c r="AI21" s="72">
        <f>Calc_Financing_Ops!AI28</f>
        <v/>
      </c>
      <c r="AJ21" s="72">
        <f>Calc_Financing_Ops!AJ28</f>
        <v/>
      </c>
      <c r="AK21" s="72">
        <f>Calc_Financing_Ops!AK28</f>
        <v/>
      </c>
      <c r="AL21" s="72">
        <f>Calc_Financing_Ops!AL28</f>
        <v/>
      </c>
      <c r="AM21" s="72">
        <f>Calc_Financing_Ops!AM28</f>
        <v/>
      </c>
      <c r="AN21" s="72">
        <f>Calc_Financing_Ops!AN28</f>
        <v/>
      </c>
      <c r="AO21" s="72">
        <f>Calc_Financing_Ops!AO28</f>
        <v/>
      </c>
      <c r="AP21" s="72">
        <f>Calc_Financing_Ops!AP28</f>
        <v/>
      </c>
      <c r="AQ21" s="72">
        <f>Calc_Financing_Ops!AQ28</f>
        <v/>
      </c>
      <c r="AR21" s="72">
        <f>Calc_Financing_Ops!AR28</f>
        <v/>
      </c>
      <c r="AS21" s="72">
        <f>Calc_Financing_Ops!AS28</f>
        <v/>
      </c>
      <c r="AT21" s="72">
        <f>Calc_Financing_Ops!AT28</f>
        <v/>
      </c>
      <c r="AU21" s="72">
        <f>Calc_Financing_Ops!AU28</f>
        <v/>
      </c>
      <c r="AV21" s="72">
        <f>Calc_Financing_Ops!AV28</f>
        <v/>
      </c>
      <c r="AW21" s="72">
        <f>Calc_Financing_Ops!AW28</f>
        <v/>
      </c>
      <c r="AX21" s="72">
        <f>Calc_Financing_Ops!AX28</f>
        <v/>
      </c>
      <c r="AY21" s="72">
        <f>Calc_Financing_Ops!AY28</f>
        <v/>
      </c>
      <c r="AZ21" s="72">
        <f>Calc_Financing_Ops!AZ28</f>
        <v/>
      </c>
      <c r="BA21" s="72">
        <f>Calc_Financing_Ops!BA28</f>
        <v/>
      </c>
      <c r="BB21" s="72">
        <f>Calc_Financing_Ops!BB28</f>
        <v/>
      </c>
      <c r="BC21" s="72">
        <f>Calc_Financing_Ops!BC28</f>
        <v/>
      </c>
      <c r="BD21" s="72">
        <f>Calc_Financing_Ops!BD28</f>
        <v/>
      </c>
      <c r="BE21" s="72">
        <f>Calc_Financing_Ops!BE28</f>
        <v/>
      </c>
      <c r="BF21" s="72">
        <f>Calc_Financing_Ops!BF28</f>
        <v/>
      </c>
      <c r="BG21" s="72">
        <f>Calc_Financing_Ops!BG28</f>
        <v/>
      </c>
      <c r="BH21" s="72">
        <f>Calc_Financing_Ops!BH28</f>
        <v/>
      </c>
      <c r="BI21" s="72">
        <f>Calc_Financing_Ops!BI28</f>
        <v/>
      </c>
      <c r="BJ21" s="72">
        <f>Calc_Financing_Ops!BJ28</f>
        <v/>
      </c>
      <c r="BK21" s="72">
        <f>Calc_Financing_Ops!BK28</f>
        <v/>
      </c>
      <c r="BL21" s="72">
        <f>Calc_Financing_Ops!BL28</f>
        <v/>
      </c>
      <c r="BM21" s="72">
        <f>Calc_Financing_Ops!BM28</f>
        <v/>
      </c>
      <c r="BN21" s="72">
        <f>Calc_Financing_Ops!BN28</f>
        <v/>
      </c>
      <c r="BO21" s="72">
        <f>Calc_Financing_Ops!BO28</f>
        <v/>
      </c>
      <c r="BP21" s="72">
        <f>Calc_Financing_Ops!BP28</f>
        <v/>
      </c>
      <c r="BQ21" s="72">
        <f>Calc_Financing_Ops!BQ28</f>
        <v/>
      </c>
      <c r="BR21" s="72">
        <f>Calc_Financing_Ops!BR28</f>
        <v/>
      </c>
      <c r="BS21" s="72">
        <f>Calc_Financing_Ops!BS28</f>
        <v/>
      </c>
      <c r="BT21" s="72">
        <f>Calc_Financing_Ops!BT28</f>
        <v/>
      </c>
      <c r="BU21" s="72">
        <f>Calc_Financing_Ops!BU28</f>
        <v/>
      </c>
      <c r="BV21" s="72">
        <f>Calc_Financing_Ops!BV28</f>
        <v/>
      </c>
      <c r="BW21" s="72">
        <f>Calc_Financing_Ops!BW28</f>
        <v/>
      </c>
      <c r="BX21" s="72">
        <f>Calc_Financing_Ops!BX28</f>
        <v/>
      </c>
      <c r="BY21" s="72">
        <f>Calc_Financing_Ops!BY28</f>
        <v/>
      </c>
      <c r="BZ21" s="72">
        <f>Calc_Financing_Ops!BZ28</f>
        <v/>
      </c>
      <c r="CA21" s="72">
        <f>Calc_Financing_Ops!CA28</f>
        <v/>
      </c>
      <c r="CB21" s="72">
        <f>Calc_Financing_Ops!CB28</f>
        <v/>
      </c>
      <c r="CC21" s="72">
        <f>Calc_Financing_Ops!CC28</f>
        <v/>
      </c>
      <c r="CD21" s="72">
        <f>Calc_Financing_Ops!CD28</f>
        <v/>
      </c>
    </row>
    <row r="22">
      <c r="A22" t="inlineStr">
        <is>
          <t>MRA Funding/(Release) ($)</t>
        </is>
      </c>
      <c r="C22" s="72">
        <f>Calc_CFADS!C14</f>
        <v/>
      </c>
      <c r="D22" s="72">
        <f>Calc_CFADS!D14</f>
        <v/>
      </c>
      <c r="E22" s="72">
        <f>Calc_CFADS!E14</f>
        <v/>
      </c>
      <c r="F22" s="72">
        <f>Calc_CFADS!F14</f>
        <v/>
      </c>
      <c r="G22" s="72">
        <f>Calc_CFADS!G14</f>
        <v/>
      </c>
      <c r="H22" s="72">
        <f>Calc_CFADS!H14</f>
        <v/>
      </c>
      <c r="I22" s="72">
        <f>Calc_CFADS!I14</f>
        <v/>
      </c>
      <c r="J22" s="72">
        <f>Calc_CFADS!J14</f>
        <v/>
      </c>
      <c r="K22" s="72">
        <f>Calc_CFADS!K14</f>
        <v/>
      </c>
      <c r="L22" s="72">
        <f>Calc_CFADS!L14</f>
        <v/>
      </c>
      <c r="M22" s="72">
        <f>Calc_CFADS!M14</f>
        <v/>
      </c>
      <c r="N22" s="72">
        <f>Calc_CFADS!N14</f>
        <v/>
      </c>
      <c r="O22" s="72">
        <f>Calc_CFADS!O14</f>
        <v/>
      </c>
      <c r="P22" s="72">
        <f>Calc_CFADS!P14</f>
        <v/>
      </c>
      <c r="Q22" s="72">
        <f>Calc_CFADS!Q14</f>
        <v/>
      </c>
      <c r="R22" s="72">
        <f>Calc_CFADS!R14</f>
        <v/>
      </c>
      <c r="S22" s="72">
        <f>Calc_CFADS!S14</f>
        <v/>
      </c>
      <c r="T22" s="72">
        <f>Calc_CFADS!T14</f>
        <v/>
      </c>
      <c r="U22" s="72">
        <f>Calc_CFADS!U14</f>
        <v/>
      </c>
      <c r="V22" s="72">
        <f>Calc_CFADS!V14</f>
        <v/>
      </c>
      <c r="W22" s="72">
        <f>Calc_CFADS!W14</f>
        <v/>
      </c>
      <c r="X22" s="72">
        <f>Calc_CFADS!X14</f>
        <v/>
      </c>
      <c r="Y22" s="72">
        <f>Calc_CFADS!Y14</f>
        <v/>
      </c>
      <c r="Z22" s="72">
        <f>Calc_CFADS!Z14</f>
        <v/>
      </c>
      <c r="AA22" s="72">
        <f>Calc_CFADS!AA14</f>
        <v/>
      </c>
      <c r="AB22" s="72">
        <f>Calc_CFADS!AB14</f>
        <v/>
      </c>
      <c r="AC22" s="72">
        <f>Calc_CFADS!AC14</f>
        <v/>
      </c>
      <c r="AD22" s="72">
        <f>Calc_CFADS!AD14</f>
        <v/>
      </c>
      <c r="AE22" s="72">
        <f>Calc_CFADS!AE14</f>
        <v/>
      </c>
      <c r="AF22" s="72">
        <f>Calc_CFADS!AF14</f>
        <v/>
      </c>
      <c r="AG22" s="72">
        <f>Calc_CFADS!AG14</f>
        <v/>
      </c>
      <c r="AH22" s="72">
        <f>Calc_CFADS!AH14</f>
        <v/>
      </c>
      <c r="AI22" s="72">
        <f>Calc_CFADS!AI14</f>
        <v/>
      </c>
      <c r="AJ22" s="72">
        <f>Calc_CFADS!AJ14</f>
        <v/>
      </c>
      <c r="AK22" s="72">
        <f>Calc_CFADS!AK14</f>
        <v/>
      </c>
      <c r="AL22" s="72">
        <f>Calc_CFADS!AL14</f>
        <v/>
      </c>
      <c r="AM22" s="72">
        <f>Calc_CFADS!AM14</f>
        <v/>
      </c>
      <c r="AN22" s="72">
        <f>Calc_CFADS!AN14</f>
        <v/>
      </c>
      <c r="AO22" s="72">
        <f>Calc_CFADS!AO14</f>
        <v/>
      </c>
      <c r="AP22" s="72">
        <f>Calc_CFADS!AP14</f>
        <v/>
      </c>
      <c r="AQ22" s="72">
        <f>Calc_CFADS!AQ14</f>
        <v/>
      </c>
      <c r="AR22" s="72">
        <f>Calc_CFADS!AR14</f>
        <v/>
      </c>
      <c r="AS22" s="72">
        <f>Calc_CFADS!AS14</f>
        <v/>
      </c>
      <c r="AT22" s="72">
        <f>Calc_CFADS!AT14</f>
        <v/>
      </c>
      <c r="AU22" s="72">
        <f>Calc_CFADS!AU14</f>
        <v/>
      </c>
      <c r="AV22" s="72">
        <f>Calc_CFADS!AV14</f>
        <v/>
      </c>
      <c r="AW22" s="72">
        <f>Calc_CFADS!AW14</f>
        <v/>
      </c>
      <c r="AX22" s="72">
        <f>Calc_CFADS!AX14</f>
        <v/>
      </c>
      <c r="AY22" s="72">
        <f>Calc_CFADS!AY14</f>
        <v/>
      </c>
      <c r="AZ22" s="72">
        <f>Calc_CFADS!AZ14</f>
        <v/>
      </c>
      <c r="BA22" s="72">
        <f>Calc_CFADS!BA14</f>
        <v/>
      </c>
      <c r="BB22" s="72">
        <f>Calc_CFADS!BB14</f>
        <v/>
      </c>
      <c r="BC22" s="72">
        <f>Calc_CFADS!BC14</f>
        <v/>
      </c>
      <c r="BD22" s="72">
        <f>Calc_CFADS!BD14</f>
        <v/>
      </c>
      <c r="BE22" s="72">
        <f>Calc_CFADS!BE14</f>
        <v/>
      </c>
      <c r="BF22" s="72">
        <f>Calc_CFADS!BF14</f>
        <v/>
      </c>
      <c r="BG22" s="72">
        <f>Calc_CFADS!BG14</f>
        <v/>
      </c>
      <c r="BH22" s="72">
        <f>Calc_CFADS!BH14</f>
        <v/>
      </c>
      <c r="BI22" s="72">
        <f>Calc_CFADS!BI14</f>
        <v/>
      </c>
      <c r="BJ22" s="72">
        <f>Calc_CFADS!BJ14</f>
        <v/>
      </c>
      <c r="BK22" s="72">
        <f>Calc_CFADS!BK14</f>
        <v/>
      </c>
      <c r="BL22" s="72">
        <f>Calc_CFADS!BL14</f>
        <v/>
      </c>
      <c r="BM22" s="72">
        <f>Calc_CFADS!BM14</f>
        <v/>
      </c>
      <c r="BN22" s="72">
        <f>Calc_CFADS!BN14</f>
        <v/>
      </c>
      <c r="BO22" s="72">
        <f>Calc_CFADS!BO14</f>
        <v/>
      </c>
      <c r="BP22" s="72">
        <f>Calc_CFADS!BP14</f>
        <v/>
      </c>
      <c r="BQ22" s="72">
        <f>Calc_CFADS!BQ14</f>
        <v/>
      </c>
      <c r="BR22" s="72">
        <f>Calc_CFADS!BR14</f>
        <v/>
      </c>
      <c r="BS22" s="72">
        <f>Calc_CFADS!BS14</f>
        <v/>
      </c>
      <c r="BT22" s="72">
        <f>Calc_CFADS!BT14</f>
        <v/>
      </c>
      <c r="BU22" s="72">
        <f>Calc_CFADS!BU14</f>
        <v/>
      </c>
      <c r="BV22" s="72">
        <f>Calc_CFADS!BV14</f>
        <v/>
      </c>
      <c r="BW22" s="72">
        <f>Calc_CFADS!BW14</f>
        <v/>
      </c>
      <c r="BX22" s="72">
        <f>Calc_CFADS!BX14</f>
        <v/>
      </c>
      <c r="BY22" s="72">
        <f>Calc_CFADS!BY14</f>
        <v/>
      </c>
      <c r="BZ22" s="72">
        <f>Calc_CFADS!BZ14</f>
        <v/>
      </c>
      <c r="CA22" s="72">
        <f>Calc_CFADS!CA14</f>
        <v/>
      </c>
      <c r="CB22" s="72">
        <f>Calc_CFADS!CB14</f>
        <v/>
      </c>
      <c r="CC22" s="72">
        <f>Calc_CFADS!CC14</f>
        <v/>
      </c>
      <c r="CD22" s="72">
        <f>Calc_CFADS!CD14</f>
        <v/>
      </c>
    </row>
    <row r="23">
      <c r="A23" t="inlineStr">
        <is>
          <t>Distributions to Equity ($)</t>
        </is>
      </c>
      <c r="C23" s="72">
        <f>Calc_CFADS!C22</f>
        <v/>
      </c>
      <c r="D23" s="72">
        <f>Calc_CFADS!D22</f>
        <v/>
      </c>
      <c r="E23" s="72">
        <f>Calc_CFADS!E22</f>
        <v/>
      </c>
      <c r="F23" s="72">
        <f>Calc_CFADS!F22</f>
        <v/>
      </c>
      <c r="G23" s="72">
        <f>Calc_CFADS!G22</f>
        <v/>
      </c>
      <c r="H23" s="72">
        <f>Calc_CFADS!H22</f>
        <v/>
      </c>
      <c r="I23" s="72">
        <f>Calc_CFADS!I22</f>
        <v/>
      </c>
      <c r="J23" s="72">
        <f>Calc_CFADS!J22</f>
        <v/>
      </c>
      <c r="K23" s="72">
        <f>Calc_CFADS!K22</f>
        <v/>
      </c>
      <c r="L23" s="72">
        <f>Calc_CFADS!L22</f>
        <v/>
      </c>
      <c r="M23" s="72">
        <f>Calc_CFADS!M22</f>
        <v/>
      </c>
      <c r="N23" s="72">
        <f>Calc_CFADS!N22</f>
        <v/>
      </c>
      <c r="O23" s="72">
        <f>Calc_CFADS!O22</f>
        <v/>
      </c>
      <c r="P23" s="72">
        <f>Calc_CFADS!P22</f>
        <v/>
      </c>
      <c r="Q23" s="72">
        <f>Calc_CFADS!Q22</f>
        <v/>
      </c>
      <c r="R23" s="72">
        <f>Calc_CFADS!R22</f>
        <v/>
      </c>
      <c r="S23" s="72">
        <f>Calc_CFADS!S22</f>
        <v/>
      </c>
      <c r="T23" s="72">
        <f>Calc_CFADS!T22</f>
        <v/>
      </c>
      <c r="U23" s="72">
        <f>Calc_CFADS!U22</f>
        <v/>
      </c>
      <c r="V23" s="72">
        <f>Calc_CFADS!V22</f>
        <v/>
      </c>
      <c r="W23" s="72">
        <f>Calc_CFADS!W22</f>
        <v/>
      </c>
      <c r="X23" s="72">
        <f>Calc_CFADS!X22</f>
        <v/>
      </c>
      <c r="Y23" s="72">
        <f>Calc_CFADS!Y22</f>
        <v/>
      </c>
      <c r="Z23" s="72">
        <f>Calc_CFADS!Z22</f>
        <v/>
      </c>
      <c r="AA23" s="72">
        <f>Calc_CFADS!AA22</f>
        <v/>
      </c>
      <c r="AB23" s="72">
        <f>Calc_CFADS!AB22</f>
        <v/>
      </c>
      <c r="AC23" s="72">
        <f>Calc_CFADS!AC22</f>
        <v/>
      </c>
      <c r="AD23" s="72">
        <f>Calc_CFADS!AD22</f>
        <v/>
      </c>
      <c r="AE23" s="72">
        <f>Calc_CFADS!AE22</f>
        <v/>
      </c>
      <c r="AF23" s="72">
        <f>Calc_CFADS!AF22</f>
        <v/>
      </c>
      <c r="AG23" s="72">
        <f>Calc_CFADS!AG22</f>
        <v/>
      </c>
      <c r="AH23" s="72">
        <f>Calc_CFADS!AH22</f>
        <v/>
      </c>
      <c r="AI23" s="72">
        <f>Calc_CFADS!AI22</f>
        <v/>
      </c>
      <c r="AJ23" s="72">
        <f>Calc_CFADS!AJ22</f>
        <v/>
      </c>
      <c r="AK23" s="72">
        <f>Calc_CFADS!AK22</f>
        <v/>
      </c>
      <c r="AL23" s="72">
        <f>Calc_CFADS!AL22</f>
        <v/>
      </c>
      <c r="AM23" s="72">
        <f>Calc_CFADS!AM22</f>
        <v/>
      </c>
      <c r="AN23" s="72">
        <f>Calc_CFADS!AN22</f>
        <v/>
      </c>
      <c r="AO23" s="72">
        <f>Calc_CFADS!AO22</f>
        <v/>
      </c>
      <c r="AP23" s="72">
        <f>Calc_CFADS!AP22</f>
        <v/>
      </c>
      <c r="AQ23" s="72">
        <f>Calc_CFADS!AQ22</f>
        <v/>
      </c>
      <c r="AR23" s="72">
        <f>Calc_CFADS!AR22</f>
        <v/>
      </c>
      <c r="AS23" s="72">
        <f>Calc_CFADS!AS22</f>
        <v/>
      </c>
      <c r="AT23" s="72">
        <f>Calc_CFADS!AT22</f>
        <v/>
      </c>
      <c r="AU23" s="72">
        <f>Calc_CFADS!AU22</f>
        <v/>
      </c>
      <c r="AV23" s="72">
        <f>Calc_CFADS!AV22</f>
        <v/>
      </c>
      <c r="AW23" s="72">
        <f>Calc_CFADS!AW22</f>
        <v/>
      </c>
      <c r="AX23" s="72">
        <f>Calc_CFADS!AX22</f>
        <v/>
      </c>
      <c r="AY23" s="72">
        <f>Calc_CFADS!AY22</f>
        <v/>
      </c>
      <c r="AZ23" s="72">
        <f>Calc_CFADS!AZ22</f>
        <v/>
      </c>
      <c r="BA23" s="72">
        <f>Calc_CFADS!BA22</f>
        <v/>
      </c>
      <c r="BB23" s="72">
        <f>Calc_CFADS!BB22</f>
        <v/>
      </c>
      <c r="BC23" s="72">
        <f>Calc_CFADS!BC22</f>
        <v/>
      </c>
      <c r="BD23" s="72">
        <f>Calc_CFADS!BD22</f>
        <v/>
      </c>
      <c r="BE23" s="72">
        <f>Calc_CFADS!BE22</f>
        <v/>
      </c>
      <c r="BF23" s="72">
        <f>Calc_CFADS!BF22</f>
        <v/>
      </c>
      <c r="BG23" s="72">
        <f>Calc_CFADS!BG22</f>
        <v/>
      </c>
      <c r="BH23" s="72">
        <f>Calc_CFADS!BH22</f>
        <v/>
      </c>
      <c r="BI23" s="72">
        <f>Calc_CFADS!BI22</f>
        <v/>
      </c>
      <c r="BJ23" s="72">
        <f>Calc_CFADS!BJ22</f>
        <v/>
      </c>
      <c r="BK23" s="72">
        <f>Calc_CFADS!BK22</f>
        <v/>
      </c>
      <c r="BL23" s="72">
        <f>Calc_CFADS!BL22</f>
        <v/>
      </c>
      <c r="BM23" s="72">
        <f>Calc_CFADS!BM22</f>
        <v/>
      </c>
      <c r="BN23" s="72">
        <f>Calc_CFADS!BN22</f>
        <v/>
      </c>
      <c r="BO23" s="72">
        <f>Calc_CFADS!BO22</f>
        <v/>
      </c>
      <c r="BP23" s="72">
        <f>Calc_CFADS!BP22</f>
        <v/>
      </c>
      <c r="BQ23" s="72">
        <f>Calc_CFADS!BQ22</f>
        <v/>
      </c>
      <c r="BR23" s="72">
        <f>Calc_CFADS!BR22</f>
        <v/>
      </c>
      <c r="BS23" s="72">
        <f>Calc_CFADS!BS22</f>
        <v/>
      </c>
      <c r="BT23" s="72">
        <f>Calc_CFADS!BT22</f>
        <v/>
      </c>
      <c r="BU23" s="72">
        <f>Calc_CFADS!BU22</f>
        <v/>
      </c>
      <c r="BV23" s="72">
        <f>Calc_CFADS!BV22</f>
        <v/>
      </c>
      <c r="BW23" s="72">
        <f>Calc_CFADS!BW22</f>
        <v/>
      </c>
      <c r="BX23" s="72">
        <f>Calc_CFADS!BX22</f>
        <v/>
      </c>
      <c r="BY23" s="72">
        <f>Calc_CFADS!BY22</f>
        <v/>
      </c>
      <c r="BZ23" s="72">
        <f>Calc_CFADS!BZ22</f>
        <v/>
      </c>
      <c r="CA23" s="72">
        <f>Calc_CFADS!CA22</f>
        <v/>
      </c>
      <c r="CB23" s="72">
        <f>Calc_CFADS!CB22</f>
        <v/>
      </c>
      <c r="CC23" s="72">
        <f>Calc_CFADS!CC22</f>
        <v/>
      </c>
      <c r="CD23" s="72">
        <f>Calc_CFADS!CD22</f>
        <v/>
      </c>
    </row>
    <row r="24">
      <c r="A24" t="inlineStr">
        <is>
          <t>Equity Injections ($) — shortfalls the buffer could not cover</t>
        </is>
      </c>
      <c r="C24" s="72">
        <f>Calc_CFADS!C23</f>
        <v/>
      </c>
      <c r="D24" s="72">
        <f>Calc_CFADS!D23</f>
        <v/>
      </c>
      <c r="E24" s="72">
        <f>Calc_CFADS!E23</f>
        <v/>
      </c>
      <c r="F24" s="72">
        <f>Calc_CFADS!F23</f>
        <v/>
      </c>
      <c r="G24" s="72">
        <f>Calc_CFADS!G23</f>
        <v/>
      </c>
      <c r="H24" s="72">
        <f>Calc_CFADS!H23</f>
        <v/>
      </c>
      <c r="I24" s="72">
        <f>Calc_CFADS!I23</f>
        <v/>
      </c>
      <c r="J24" s="72">
        <f>Calc_CFADS!J23</f>
        <v/>
      </c>
      <c r="K24" s="72">
        <f>Calc_CFADS!K23</f>
        <v/>
      </c>
      <c r="L24" s="72">
        <f>Calc_CFADS!L23</f>
        <v/>
      </c>
      <c r="M24" s="72">
        <f>Calc_CFADS!M23</f>
        <v/>
      </c>
      <c r="N24" s="72">
        <f>Calc_CFADS!N23</f>
        <v/>
      </c>
      <c r="O24" s="72">
        <f>Calc_CFADS!O23</f>
        <v/>
      </c>
      <c r="P24" s="72">
        <f>Calc_CFADS!P23</f>
        <v/>
      </c>
      <c r="Q24" s="72">
        <f>Calc_CFADS!Q23</f>
        <v/>
      </c>
      <c r="R24" s="72">
        <f>Calc_CFADS!R23</f>
        <v/>
      </c>
      <c r="S24" s="72">
        <f>Calc_CFADS!S23</f>
        <v/>
      </c>
      <c r="T24" s="72">
        <f>Calc_CFADS!T23</f>
        <v/>
      </c>
      <c r="U24" s="72">
        <f>Calc_CFADS!U23</f>
        <v/>
      </c>
      <c r="V24" s="72">
        <f>Calc_CFADS!V23</f>
        <v/>
      </c>
      <c r="W24" s="72">
        <f>Calc_CFADS!W23</f>
        <v/>
      </c>
      <c r="X24" s="72">
        <f>Calc_CFADS!X23</f>
        <v/>
      </c>
      <c r="Y24" s="72">
        <f>Calc_CFADS!Y23</f>
        <v/>
      </c>
      <c r="Z24" s="72">
        <f>Calc_CFADS!Z23</f>
        <v/>
      </c>
      <c r="AA24" s="72">
        <f>Calc_CFADS!AA23</f>
        <v/>
      </c>
      <c r="AB24" s="72">
        <f>Calc_CFADS!AB23</f>
        <v/>
      </c>
      <c r="AC24" s="72">
        <f>Calc_CFADS!AC23</f>
        <v/>
      </c>
      <c r="AD24" s="72">
        <f>Calc_CFADS!AD23</f>
        <v/>
      </c>
      <c r="AE24" s="72">
        <f>Calc_CFADS!AE23</f>
        <v/>
      </c>
      <c r="AF24" s="72">
        <f>Calc_CFADS!AF23</f>
        <v/>
      </c>
      <c r="AG24" s="72">
        <f>Calc_CFADS!AG23</f>
        <v/>
      </c>
      <c r="AH24" s="72">
        <f>Calc_CFADS!AH23</f>
        <v/>
      </c>
      <c r="AI24" s="72">
        <f>Calc_CFADS!AI23</f>
        <v/>
      </c>
      <c r="AJ24" s="72">
        <f>Calc_CFADS!AJ23</f>
        <v/>
      </c>
      <c r="AK24" s="72">
        <f>Calc_CFADS!AK23</f>
        <v/>
      </c>
      <c r="AL24" s="72">
        <f>Calc_CFADS!AL23</f>
        <v/>
      </c>
      <c r="AM24" s="72">
        <f>Calc_CFADS!AM23</f>
        <v/>
      </c>
      <c r="AN24" s="72">
        <f>Calc_CFADS!AN23</f>
        <v/>
      </c>
      <c r="AO24" s="72">
        <f>Calc_CFADS!AO23</f>
        <v/>
      </c>
      <c r="AP24" s="72">
        <f>Calc_CFADS!AP23</f>
        <v/>
      </c>
      <c r="AQ24" s="72">
        <f>Calc_CFADS!AQ23</f>
        <v/>
      </c>
      <c r="AR24" s="72">
        <f>Calc_CFADS!AR23</f>
        <v/>
      </c>
      <c r="AS24" s="72">
        <f>Calc_CFADS!AS23</f>
        <v/>
      </c>
      <c r="AT24" s="72">
        <f>Calc_CFADS!AT23</f>
        <v/>
      </c>
      <c r="AU24" s="72">
        <f>Calc_CFADS!AU23</f>
        <v/>
      </c>
      <c r="AV24" s="72">
        <f>Calc_CFADS!AV23</f>
        <v/>
      </c>
      <c r="AW24" s="72">
        <f>Calc_CFADS!AW23</f>
        <v/>
      </c>
      <c r="AX24" s="72">
        <f>Calc_CFADS!AX23</f>
        <v/>
      </c>
      <c r="AY24" s="72">
        <f>Calc_CFADS!AY23</f>
        <v/>
      </c>
      <c r="AZ24" s="72">
        <f>Calc_CFADS!AZ23</f>
        <v/>
      </c>
      <c r="BA24" s="72">
        <f>Calc_CFADS!BA23</f>
        <v/>
      </c>
      <c r="BB24" s="72">
        <f>Calc_CFADS!BB23</f>
        <v/>
      </c>
      <c r="BC24" s="72">
        <f>Calc_CFADS!BC23</f>
        <v/>
      </c>
      <c r="BD24" s="72">
        <f>Calc_CFADS!BD23</f>
        <v/>
      </c>
      <c r="BE24" s="72">
        <f>Calc_CFADS!BE23</f>
        <v/>
      </c>
      <c r="BF24" s="72">
        <f>Calc_CFADS!BF23</f>
        <v/>
      </c>
      <c r="BG24" s="72">
        <f>Calc_CFADS!BG23</f>
        <v/>
      </c>
      <c r="BH24" s="72">
        <f>Calc_CFADS!BH23</f>
        <v/>
      </c>
      <c r="BI24" s="72">
        <f>Calc_CFADS!BI23</f>
        <v/>
      </c>
      <c r="BJ24" s="72">
        <f>Calc_CFADS!BJ23</f>
        <v/>
      </c>
      <c r="BK24" s="72">
        <f>Calc_CFADS!BK23</f>
        <v/>
      </c>
      <c r="BL24" s="72">
        <f>Calc_CFADS!BL23</f>
        <v/>
      </c>
      <c r="BM24" s="72">
        <f>Calc_CFADS!BM23</f>
        <v/>
      </c>
      <c r="BN24" s="72">
        <f>Calc_CFADS!BN23</f>
        <v/>
      </c>
      <c r="BO24" s="72">
        <f>Calc_CFADS!BO23</f>
        <v/>
      </c>
      <c r="BP24" s="72">
        <f>Calc_CFADS!BP23</f>
        <v/>
      </c>
      <c r="BQ24" s="72">
        <f>Calc_CFADS!BQ23</f>
        <v/>
      </c>
      <c r="BR24" s="72">
        <f>Calc_CFADS!BR23</f>
        <v/>
      </c>
      <c r="BS24" s="72">
        <f>Calc_CFADS!BS23</f>
        <v/>
      </c>
      <c r="BT24" s="72">
        <f>Calc_CFADS!BT23</f>
        <v/>
      </c>
      <c r="BU24" s="72">
        <f>Calc_CFADS!BU23</f>
        <v/>
      </c>
      <c r="BV24" s="72">
        <f>Calc_CFADS!BV23</f>
        <v/>
      </c>
      <c r="BW24" s="72">
        <f>Calc_CFADS!BW23</f>
        <v/>
      </c>
      <c r="BX24" s="72">
        <f>Calc_CFADS!BX23</f>
        <v/>
      </c>
      <c r="BY24" s="72">
        <f>Calc_CFADS!BY23</f>
        <v/>
      </c>
      <c r="BZ24" s="72">
        <f>Calc_CFADS!BZ23</f>
        <v/>
      </c>
      <c r="CA24" s="72">
        <f>Calc_CFADS!CA23</f>
        <v/>
      </c>
      <c r="CB24" s="72">
        <f>Calc_CFADS!CB23</f>
        <v/>
      </c>
      <c r="CC24" s="72">
        <f>Calc_CFADS!CC23</f>
        <v/>
      </c>
      <c r="CD24" s="72">
        <f>Calc_CFADS!CD23</f>
        <v/>
      </c>
    </row>
    <row r="25">
      <c r="A25" t="inlineStr">
        <is>
          <t>Cash Flow from Financing ($)</t>
        </is>
      </c>
      <c r="C25" s="77">
        <f>-C20-C21-C22-C23+C24</f>
        <v/>
      </c>
      <c r="D25" s="77">
        <f>-D20-D21-D22-D23+D24</f>
        <v/>
      </c>
      <c r="E25" s="77">
        <f>-E20-E21-E22-E23+E24</f>
        <v/>
      </c>
      <c r="F25" s="77">
        <f>-F20-F21-F22-F23+F24</f>
        <v/>
      </c>
      <c r="G25" s="77">
        <f>-G20-G21-G22-G23+G24</f>
        <v/>
      </c>
      <c r="H25" s="77">
        <f>-H20-H21-H22-H23+H24</f>
        <v/>
      </c>
      <c r="I25" s="77">
        <f>-I20-I21-I22-I23+I24</f>
        <v/>
      </c>
      <c r="J25" s="77">
        <f>-J20-J21-J22-J23+J24</f>
        <v/>
      </c>
      <c r="K25" s="77">
        <f>-K20-K21-K22-K23+K24</f>
        <v/>
      </c>
      <c r="L25" s="77">
        <f>-L20-L21-L22-L23+L24</f>
        <v/>
      </c>
      <c r="M25" s="77">
        <f>-M20-M21-M22-M23+M24</f>
        <v/>
      </c>
      <c r="N25" s="77">
        <f>-N20-N21-N22-N23+N24</f>
        <v/>
      </c>
      <c r="O25" s="77">
        <f>-O20-O21-O22-O23+O24</f>
        <v/>
      </c>
      <c r="P25" s="77">
        <f>-P20-P21-P22-P23+P24</f>
        <v/>
      </c>
      <c r="Q25" s="77">
        <f>-Q20-Q21-Q22-Q23+Q24</f>
        <v/>
      </c>
      <c r="R25" s="77">
        <f>-R20-R21-R22-R23+R24</f>
        <v/>
      </c>
      <c r="S25" s="77">
        <f>-S20-S21-S22-S23+S24</f>
        <v/>
      </c>
      <c r="T25" s="77">
        <f>-T20-T21-T22-T23+T24</f>
        <v/>
      </c>
      <c r="U25" s="77">
        <f>-U20-U21-U22-U23+U24</f>
        <v/>
      </c>
      <c r="V25" s="77">
        <f>-V20-V21-V22-V23+V24</f>
        <v/>
      </c>
      <c r="W25" s="77">
        <f>-W20-W21-W22-W23+W24</f>
        <v/>
      </c>
      <c r="X25" s="77">
        <f>-X20-X21-X22-X23+X24</f>
        <v/>
      </c>
      <c r="Y25" s="77">
        <f>-Y20-Y21-Y22-Y23+Y24</f>
        <v/>
      </c>
      <c r="Z25" s="77">
        <f>-Z20-Z21-Z22-Z23+Z24</f>
        <v/>
      </c>
      <c r="AA25" s="77">
        <f>-AA20-AA21-AA22-AA23+AA24</f>
        <v/>
      </c>
      <c r="AB25" s="77">
        <f>-AB20-AB21-AB22-AB23+AB24</f>
        <v/>
      </c>
      <c r="AC25" s="77">
        <f>-AC20-AC21-AC22-AC23+AC24</f>
        <v/>
      </c>
      <c r="AD25" s="77">
        <f>-AD20-AD21-AD22-AD23+AD24</f>
        <v/>
      </c>
      <c r="AE25" s="77">
        <f>-AE20-AE21-AE22-AE23+AE24</f>
        <v/>
      </c>
      <c r="AF25" s="77">
        <f>-AF20-AF21-AF22-AF23+AF24</f>
        <v/>
      </c>
      <c r="AG25" s="77">
        <f>-AG20-AG21-AG22-AG23+AG24</f>
        <v/>
      </c>
      <c r="AH25" s="77">
        <f>-AH20-AH21-AH22-AH23+AH24</f>
        <v/>
      </c>
      <c r="AI25" s="77">
        <f>-AI20-AI21-AI22-AI23+AI24</f>
        <v/>
      </c>
      <c r="AJ25" s="77">
        <f>-AJ20-AJ21-AJ22-AJ23+AJ24</f>
        <v/>
      </c>
      <c r="AK25" s="77">
        <f>-AK20-AK21-AK22-AK23+AK24</f>
        <v/>
      </c>
      <c r="AL25" s="77">
        <f>-AL20-AL21-AL22-AL23+AL24</f>
        <v/>
      </c>
      <c r="AM25" s="77">
        <f>-AM20-AM21-AM22-AM23+AM24</f>
        <v/>
      </c>
      <c r="AN25" s="77">
        <f>-AN20-AN21-AN22-AN23+AN24</f>
        <v/>
      </c>
      <c r="AO25" s="77">
        <f>-AO20-AO21-AO22-AO23+AO24</f>
        <v/>
      </c>
      <c r="AP25" s="77">
        <f>-AP20-AP21-AP22-AP23+AP24</f>
        <v/>
      </c>
      <c r="AQ25" s="77">
        <f>-AQ20-AQ21-AQ22-AQ23+AQ24</f>
        <v/>
      </c>
      <c r="AR25" s="77">
        <f>-AR20-AR21-AR22-AR23+AR24</f>
        <v/>
      </c>
      <c r="AS25" s="77">
        <f>-AS20-AS21-AS22-AS23+AS24</f>
        <v/>
      </c>
      <c r="AT25" s="77">
        <f>-AT20-AT21-AT22-AT23+AT24</f>
        <v/>
      </c>
      <c r="AU25" s="77">
        <f>-AU20-AU21-AU22-AU23+AU24</f>
        <v/>
      </c>
      <c r="AV25" s="77">
        <f>-AV20-AV21-AV22-AV23+AV24</f>
        <v/>
      </c>
      <c r="AW25" s="77">
        <f>-AW20-AW21-AW22-AW23+AW24</f>
        <v/>
      </c>
      <c r="AX25" s="77">
        <f>-AX20-AX21-AX22-AX23+AX24</f>
        <v/>
      </c>
      <c r="AY25" s="77">
        <f>-AY20-AY21-AY22-AY23+AY24</f>
        <v/>
      </c>
      <c r="AZ25" s="77">
        <f>-AZ20-AZ21-AZ22-AZ23+AZ24</f>
        <v/>
      </c>
      <c r="BA25" s="77">
        <f>-BA20-BA21-BA22-BA23+BA24</f>
        <v/>
      </c>
      <c r="BB25" s="77">
        <f>-BB20-BB21-BB22-BB23+BB24</f>
        <v/>
      </c>
      <c r="BC25" s="77">
        <f>-BC20-BC21-BC22-BC23+BC24</f>
        <v/>
      </c>
      <c r="BD25" s="77">
        <f>-BD20-BD21-BD22-BD23+BD24</f>
        <v/>
      </c>
      <c r="BE25" s="77">
        <f>-BE20-BE21-BE22-BE23+BE24</f>
        <v/>
      </c>
      <c r="BF25" s="77">
        <f>-BF20-BF21-BF22-BF23+BF24</f>
        <v/>
      </c>
      <c r="BG25" s="77">
        <f>-BG20-BG21-BG22-BG23+BG24</f>
        <v/>
      </c>
      <c r="BH25" s="77">
        <f>-BH20-BH21-BH22-BH23+BH24</f>
        <v/>
      </c>
      <c r="BI25" s="77">
        <f>-BI20-BI21-BI22-BI23+BI24</f>
        <v/>
      </c>
      <c r="BJ25" s="77">
        <f>-BJ20-BJ21-BJ22-BJ23+BJ24</f>
        <v/>
      </c>
      <c r="BK25" s="77">
        <f>-BK20-BK21-BK22-BK23+BK24</f>
        <v/>
      </c>
      <c r="BL25" s="77">
        <f>-BL20-BL21-BL22-BL23+BL24</f>
        <v/>
      </c>
      <c r="BM25" s="77">
        <f>-BM20-BM21-BM22-BM23+BM24</f>
        <v/>
      </c>
      <c r="BN25" s="77">
        <f>-BN20-BN21-BN22-BN23+BN24</f>
        <v/>
      </c>
      <c r="BO25" s="77">
        <f>-BO20-BO21-BO22-BO23+BO24</f>
        <v/>
      </c>
      <c r="BP25" s="77">
        <f>-BP20-BP21-BP22-BP23+BP24</f>
        <v/>
      </c>
      <c r="BQ25" s="77">
        <f>-BQ20-BQ21-BQ22-BQ23+BQ24</f>
        <v/>
      </c>
      <c r="BR25" s="77">
        <f>-BR20-BR21-BR22-BR23+BR24</f>
        <v/>
      </c>
      <c r="BS25" s="77">
        <f>-BS20-BS21-BS22-BS23+BS24</f>
        <v/>
      </c>
      <c r="BT25" s="77">
        <f>-BT20-BT21-BT22-BT23+BT24</f>
        <v/>
      </c>
      <c r="BU25" s="77">
        <f>-BU20-BU21-BU22-BU23+BU24</f>
        <v/>
      </c>
      <c r="BV25" s="77">
        <f>-BV20-BV21-BV22-BV23+BV24</f>
        <v/>
      </c>
      <c r="BW25" s="77">
        <f>-BW20-BW21-BW22-BW23+BW24</f>
        <v/>
      </c>
      <c r="BX25" s="77">
        <f>-BX20-BX21-BX22-BX23+BX24</f>
        <v/>
      </c>
      <c r="BY25" s="77">
        <f>-BY20-BY21-BY22-BY23+BY24</f>
        <v/>
      </c>
      <c r="BZ25" s="77">
        <f>-BZ20-BZ21-BZ22-BZ23+BZ24</f>
        <v/>
      </c>
      <c r="CA25" s="77">
        <f>-CA20-CA21-CA22-CA23+CA24</f>
        <v/>
      </c>
      <c r="CB25" s="77">
        <f>-CB20-CB21-CB22-CB23+CB24</f>
        <v/>
      </c>
      <c r="CC25" s="77">
        <f>-CC20-CC21-CC22-CC23+CC24</f>
        <v/>
      </c>
      <c r="CD25" s="77">
        <f>-CD20-CD21-CD22-CD23+CD24</f>
        <v/>
      </c>
    </row>
    <row r="26">
      <c r="A26" t="inlineStr">
        <is>
          <t>Net Change in Cash ($)</t>
        </is>
      </c>
      <c r="C26" s="77">
        <f>C18+C19+C25</f>
        <v/>
      </c>
      <c r="D26" s="77">
        <f>D18+D19+D25</f>
        <v/>
      </c>
      <c r="E26" s="77">
        <f>E18+E19+E25</f>
        <v/>
      </c>
      <c r="F26" s="77">
        <f>F18+F19+F25</f>
        <v/>
      </c>
      <c r="G26" s="77">
        <f>G18+G19+G25</f>
        <v/>
      </c>
      <c r="H26" s="77">
        <f>H18+H19+H25</f>
        <v/>
      </c>
      <c r="I26" s="77">
        <f>I18+I19+I25</f>
        <v/>
      </c>
      <c r="J26" s="77">
        <f>J18+J19+J25</f>
        <v/>
      </c>
      <c r="K26" s="77">
        <f>K18+K19+K25</f>
        <v/>
      </c>
      <c r="L26" s="77">
        <f>L18+L19+L25</f>
        <v/>
      </c>
      <c r="M26" s="77">
        <f>M18+M19+M25</f>
        <v/>
      </c>
      <c r="N26" s="77">
        <f>N18+N19+N25</f>
        <v/>
      </c>
      <c r="O26" s="77">
        <f>O18+O19+O25</f>
        <v/>
      </c>
      <c r="P26" s="77">
        <f>P18+P19+P25</f>
        <v/>
      </c>
      <c r="Q26" s="77">
        <f>Q18+Q19+Q25</f>
        <v/>
      </c>
      <c r="R26" s="77">
        <f>R18+R19+R25</f>
        <v/>
      </c>
      <c r="S26" s="77">
        <f>S18+S19+S25</f>
        <v/>
      </c>
      <c r="T26" s="77">
        <f>T18+T19+T25</f>
        <v/>
      </c>
      <c r="U26" s="77">
        <f>U18+U19+U25</f>
        <v/>
      </c>
      <c r="V26" s="77">
        <f>V18+V19+V25</f>
        <v/>
      </c>
      <c r="W26" s="77">
        <f>W18+W19+W25</f>
        <v/>
      </c>
      <c r="X26" s="77">
        <f>X18+X19+X25</f>
        <v/>
      </c>
      <c r="Y26" s="77">
        <f>Y18+Y19+Y25</f>
        <v/>
      </c>
      <c r="Z26" s="77">
        <f>Z18+Z19+Z25</f>
        <v/>
      </c>
      <c r="AA26" s="77">
        <f>AA18+AA19+AA25</f>
        <v/>
      </c>
      <c r="AB26" s="77">
        <f>AB18+AB19+AB25</f>
        <v/>
      </c>
      <c r="AC26" s="77">
        <f>AC18+AC19+AC25</f>
        <v/>
      </c>
      <c r="AD26" s="77">
        <f>AD18+AD19+AD25</f>
        <v/>
      </c>
      <c r="AE26" s="77">
        <f>AE18+AE19+AE25</f>
        <v/>
      </c>
      <c r="AF26" s="77">
        <f>AF18+AF19+AF25</f>
        <v/>
      </c>
      <c r="AG26" s="77">
        <f>AG18+AG19+AG25</f>
        <v/>
      </c>
      <c r="AH26" s="77">
        <f>AH18+AH19+AH25</f>
        <v/>
      </c>
      <c r="AI26" s="77">
        <f>AI18+AI19+AI25</f>
        <v/>
      </c>
      <c r="AJ26" s="77">
        <f>AJ18+AJ19+AJ25</f>
        <v/>
      </c>
      <c r="AK26" s="77">
        <f>AK18+AK19+AK25</f>
        <v/>
      </c>
      <c r="AL26" s="77">
        <f>AL18+AL19+AL25</f>
        <v/>
      </c>
      <c r="AM26" s="77">
        <f>AM18+AM19+AM25</f>
        <v/>
      </c>
      <c r="AN26" s="77">
        <f>AN18+AN19+AN25</f>
        <v/>
      </c>
      <c r="AO26" s="77">
        <f>AO18+AO19+AO25</f>
        <v/>
      </c>
      <c r="AP26" s="77">
        <f>AP18+AP19+AP25</f>
        <v/>
      </c>
      <c r="AQ26" s="77">
        <f>AQ18+AQ19+AQ25</f>
        <v/>
      </c>
      <c r="AR26" s="77">
        <f>AR18+AR19+AR25</f>
        <v/>
      </c>
      <c r="AS26" s="77">
        <f>AS18+AS19+AS25</f>
        <v/>
      </c>
      <c r="AT26" s="77">
        <f>AT18+AT19+AT25</f>
        <v/>
      </c>
      <c r="AU26" s="77">
        <f>AU18+AU19+AU25</f>
        <v/>
      </c>
      <c r="AV26" s="77">
        <f>AV18+AV19+AV25</f>
        <v/>
      </c>
      <c r="AW26" s="77">
        <f>AW18+AW19+AW25</f>
        <v/>
      </c>
      <c r="AX26" s="77">
        <f>AX18+AX19+AX25</f>
        <v/>
      </c>
      <c r="AY26" s="77">
        <f>AY18+AY19+AY25</f>
        <v/>
      </c>
      <c r="AZ26" s="77">
        <f>AZ18+AZ19+AZ25</f>
        <v/>
      </c>
      <c r="BA26" s="77">
        <f>BA18+BA19+BA25</f>
        <v/>
      </c>
      <c r="BB26" s="77">
        <f>BB18+BB19+BB25</f>
        <v/>
      </c>
      <c r="BC26" s="77">
        <f>BC18+BC19+BC25</f>
        <v/>
      </c>
      <c r="BD26" s="77">
        <f>BD18+BD19+BD25</f>
        <v/>
      </c>
      <c r="BE26" s="77">
        <f>BE18+BE19+BE25</f>
        <v/>
      </c>
      <c r="BF26" s="77">
        <f>BF18+BF19+BF25</f>
        <v/>
      </c>
      <c r="BG26" s="77">
        <f>BG18+BG19+BG25</f>
        <v/>
      </c>
      <c r="BH26" s="77">
        <f>BH18+BH19+BH25</f>
        <v/>
      </c>
      <c r="BI26" s="77">
        <f>BI18+BI19+BI25</f>
        <v/>
      </c>
      <c r="BJ26" s="77">
        <f>BJ18+BJ19+BJ25</f>
        <v/>
      </c>
      <c r="BK26" s="77">
        <f>BK18+BK19+BK25</f>
        <v/>
      </c>
      <c r="BL26" s="77">
        <f>BL18+BL19+BL25</f>
        <v/>
      </c>
      <c r="BM26" s="77">
        <f>BM18+BM19+BM25</f>
        <v/>
      </c>
      <c r="BN26" s="77">
        <f>BN18+BN19+BN25</f>
        <v/>
      </c>
      <c r="BO26" s="77">
        <f>BO18+BO19+BO25</f>
        <v/>
      </c>
      <c r="BP26" s="77">
        <f>BP18+BP19+BP25</f>
        <v/>
      </c>
      <c r="BQ26" s="77">
        <f>BQ18+BQ19+BQ25</f>
        <v/>
      </c>
      <c r="BR26" s="77">
        <f>BR18+BR19+BR25</f>
        <v/>
      </c>
      <c r="BS26" s="77">
        <f>BS18+BS19+BS25</f>
        <v/>
      </c>
      <c r="BT26" s="77">
        <f>BT18+BT19+BT25</f>
        <v/>
      </c>
      <c r="BU26" s="77">
        <f>BU18+BU19+BU25</f>
        <v/>
      </c>
      <c r="BV26" s="77">
        <f>BV18+BV19+BV25</f>
        <v/>
      </c>
      <c r="BW26" s="77">
        <f>BW18+BW19+BW25</f>
        <v/>
      </c>
      <c r="BX26" s="77">
        <f>BX18+BX19+BX25</f>
        <v/>
      </c>
      <c r="BY26" s="77">
        <f>BY18+BY19+BY25</f>
        <v/>
      </c>
      <c r="BZ26" s="77">
        <f>BZ18+BZ19+BZ25</f>
        <v/>
      </c>
      <c r="CA26" s="77">
        <f>CA18+CA19+CA25</f>
        <v/>
      </c>
      <c r="CB26" s="77">
        <f>CB18+CB19+CB25</f>
        <v/>
      </c>
      <c r="CC26" s="77">
        <f>CC18+CC19+CC25</f>
        <v/>
      </c>
      <c r="CD26" s="77">
        <f>CD18+CD19+CD25</f>
        <v/>
      </c>
    </row>
    <row r="27">
      <c r="A27" t="inlineStr">
        <is>
          <t>Opening Cash ($)</t>
        </is>
      </c>
      <c r="C27" s="77">
        <f>Calc_Financing_Cons!$B$13</f>
        <v/>
      </c>
      <c r="D27" s="77">
        <f>C28</f>
        <v/>
      </c>
      <c r="E27" s="77">
        <f>D28</f>
        <v/>
      </c>
      <c r="F27" s="77">
        <f>E28</f>
        <v/>
      </c>
      <c r="G27" s="77">
        <f>F28</f>
        <v/>
      </c>
      <c r="H27" s="77">
        <f>G28</f>
        <v/>
      </c>
      <c r="I27" s="77">
        <f>H28</f>
        <v/>
      </c>
      <c r="J27" s="77">
        <f>I28</f>
        <v/>
      </c>
      <c r="K27" s="77">
        <f>J28</f>
        <v/>
      </c>
      <c r="L27" s="77">
        <f>K28</f>
        <v/>
      </c>
      <c r="M27" s="77">
        <f>L28</f>
        <v/>
      </c>
      <c r="N27" s="77">
        <f>M28</f>
        <v/>
      </c>
      <c r="O27" s="77">
        <f>N28</f>
        <v/>
      </c>
      <c r="P27" s="77">
        <f>O28</f>
        <v/>
      </c>
      <c r="Q27" s="77">
        <f>P28</f>
        <v/>
      </c>
      <c r="R27" s="77">
        <f>Q28</f>
        <v/>
      </c>
      <c r="S27" s="77">
        <f>R28</f>
        <v/>
      </c>
      <c r="T27" s="77">
        <f>S28</f>
        <v/>
      </c>
      <c r="U27" s="77">
        <f>T28</f>
        <v/>
      </c>
      <c r="V27" s="77">
        <f>U28</f>
        <v/>
      </c>
      <c r="W27" s="77">
        <f>V28</f>
        <v/>
      </c>
      <c r="X27" s="77">
        <f>W28</f>
        <v/>
      </c>
      <c r="Y27" s="77">
        <f>X28</f>
        <v/>
      </c>
      <c r="Z27" s="77">
        <f>Y28</f>
        <v/>
      </c>
      <c r="AA27" s="77">
        <f>Z28</f>
        <v/>
      </c>
      <c r="AB27" s="77">
        <f>AA28</f>
        <v/>
      </c>
      <c r="AC27" s="77">
        <f>AB28</f>
        <v/>
      </c>
      <c r="AD27" s="77">
        <f>AC28</f>
        <v/>
      </c>
      <c r="AE27" s="77">
        <f>AD28</f>
        <v/>
      </c>
      <c r="AF27" s="77">
        <f>AE28</f>
        <v/>
      </c>
      <c r="AG27" s="77">
        <f>AF28</f>
        <v/>
      </c>
      <c r="AH27" s="77">
        <f>AG28</f>
        <v/>
      </c>
      <c r="AI27" s="77">
        <f>AH28</f>
        <v/>
      </c>
      <c r="AJ27" s="77">
        <f>AI28</f>
        <v/>
      </c>
      <c r="AK27" s="77">
        <f>AJ28</f>
        <v/>
      </c>
      <c r="AL27" s="77">
        <f>AK28</f>
        <v/>
      </c>
      <c r="AM27" s="77">
        <f>AL28</f>
        <v/>
      </c>
      <c r="AN27" s="77">
        <f>AM28</f>
        <v/>
      </c>
      <c r="AO27" s="77">
        <f>AN28</f>
        <v/>
      </c>
      <c r="AP27" s="77">
        <f>AO28</f>
        <v/>
      </c>
      <c r="AQ27" s="77">
        <f>AP28</f>
        <v/>
      </c>
      <c r="AR27" s="77">
        <f>AQ28</f>
        <v/>
      </c>
      <c r="AS27" s="77">
        <f>AR28</f>
        <v/>
      </c>
      <c r="AT27" s="77">
        <f>AS28</f>
        <v/>
      </c>
      <c r="AU27" s="77">
        <f>AT28</f>
        <v/>
      </c>
      <c r="AV27" s="77">
        <f>AU28</f>
        <v/>
      </c>
      <c r="AW27" s="77">
        <f>AV28</f>
        <v/>
      </c>
      <c r="AX27" s="77">
        <f>AW28</f>
        <v/>
      </c>
      <c r="AY27" s="77">
        <f>AX28</f>
        <v/>
      </c>
      <c r="AZ27" s="77">
        <f>AY28</f>
        <v/>
      </c>
      <c r="BA27" s="77">
        <f>AZ28</f>
        <v/>
      </c>
      <c r="BB27" s="77">
        <f>BA28</f>
        <v/>
      </c>
      <c r="BC27" s="77">
        <f>BB28</f>
        <v/>
      </c>
      <c r="BD27" s="77">
        <f>BC28</f>
        <v/>
      </c>
      <c r="BE27" s="77">
        <f>BD28</f>
        <v/>
      </c>
      <c r="BF27" s="77">
        <f>BE28</f>
        <v/>
      </c>
      <c r="BG27" s="77">
        <f>BF28</f>
        <v/>
      </c>
      <c r="BH27" s="77">
        <f>BG28</f>
        <v/>
      </c>
      <c r="BI27" s="77">
        <f>BH28</f>
        <v/>
      </c>
      <c r="BJ27" s="77">
        <f>BI28</f>
        <v/>
      </c>
      <c r="BK27" s="77">
        <f>BJ28</f>
        <v/>
      </c>
      <c r="BL27" s="77">
        <f>BK28</f>
        <v/>
      </c>
      <c r="BM27" s="77">
        <f>BL28</f>
        <v/>
      </c>
      <c r="BN27" s="77">
        <f>BM28</f>
        <v/>
      </c>
      <c r="BO27" s="77">
        <f>BN28</f>
        <v/>
      </c>
      <c r="BP27" s="77">
        <f>BO28</f>
        <v/>
      </c>
      <c r="BQ27" s="77">
        <f>BP28</f>
        <v/>
      </c>
      <c r="BR27" s="77">
        <f>BQ28</f>
        <v/>
      </c>
      <c r="BS27" s="77">
        <f>BR28</f>
        <v/>
      </c>
      <c r="BT27" s="77">
        <f>BS28</f>
        <v/>
      </c>
      <c r="BU27" s="77">
        <f>BT28</f>
        <v/>
      </c>
      <c r="BV27" s="77">
        <f>BU28</f>
        <v/>
      </c>
      <c r="BW27" s="77">
        <f>BV28</f>
        <v/>
      </c>
      <c r="BX27" s="77">
        <f>BW28</f>
        <v/>
      </c>
      <c r="BY27" s="77">
        <f>BX28</f>
        <v/>
      </c>
      <c r="BZ27" s="77">
        <f>BY28</f>
        <v/>
      </c>
      <c r="CA27" s="77">
        <f>BZ28</f>
        <v/>
      </c>
      <c r="CB27" s="77">
        <f>CA28</f>
        <v/>
      </c>
      <c r="CC27" s="77">
        <f>CB28</f>
        <v/>
      </c>
      <c r="CD27" s="77">
        <f>CC28</f>
        <v/>
      </c>
    </row>
    <row r="28">
      <c r="A28" t="inlineStr">
        <is>
          <t>Closing Cash ($)</t>
        </is>
      </c>
      <c r="C28" s="77">
        <f>C27+C26</f>
        <v/>
      </c>
      <c r="D28" s="77">
        <f>D27+D26</f>
        <v/>
      </c>
      <c r="E28" s="77">
        <f>E27+E26</f>
        <v/>
      </c>
      <c r="F28" s="77">
        <f>F27+F26</f>
        <v/>
      </c>
      <c r="G28" s="77">
        <f>G27+G26</f>
        <v/>
      </c>
      <c r="H28" s="77">
        <f>H27+H26</f>
        <v/>
      </c>
      <c r="I28" s="77">
        <f>I27+I26</f>
        <v/>
      </c>
      <c r="J28" s="77">
        <f>J27+J26</f>
        <v/>
      </c>
      <c r="K28" s="77">
        <f>K27+K26</f>
        <v/>
      </c>
      <c r="L28" s="77">
        <f>L27+L26</f>
        <v/>
      </c>
      <c r="M28" s="77">
        <f>M27+M26</f>
        <v/>
      </c>
      <c r="N28" s="77">
        <f>N27+N26</f>
        <v/>
      </c>
      <c r="O28" s="77">
        <f>O27+O26</f>
        <v/>
      </c>
      <c r="P28" s="77">
        <f>P27+P26</f>
        <v/>
      </c>
      <c r="Q28" s="77">
        <f>Q27+Q26</f>
        <v/>
      </c>
      <c r="R28" s="77">
        <f>R27+R26</f>
        <v/>
      </c>
      <c r="S28" s="77">
        <f>S27+S26</f>
        <v/>
      </c>
      <c r="T28" s="77">
        <f>T27+T26</f>
        <v/>
      </c>
      <c r="U28" s="77">
        <f>U27+U26</f>
        <v/>
      </c>
      <c r="V28" s="77">
        <f>V27+V26</f>
        <v/>
      </c>
      <c r="W28" s="77">
        <f>W27+W26</f>
        <v/>
      </c>
      <c r="X28" s="77">
        <f>X27+X26</f>
        <v/>
      </c>
      <c r="Y28" s="77">
        <f>Y27+Y26</f>
        <v/>
      </c>
      <c r="Z28" s="77">
        <f>Z27+Z26</f>
        <v/>
      </c>
      <c r="AA28" s="77">
        <f>AA27+AA26</f>
        <v/>
      </c>
      <c r="AB28" s="77">
        <f>AB27+AB26</f>
        <v/>
      </c>
      <c r="AC28" s="77">
        <f>AC27+AC26</f>
        <v/>
      </c>
      <c r="AD28" s="77">
        <f>AD27+AD26</f>
        <v/>
      </c>
      <c r="AE28" s="77">
        <f>AE27+AE26</f>
        <v/>
      </c>
      <c r="AF28" s="77">
        <f>AF27+AF26</f>
        <v/>
      </c>
      <c r="AG28" s="77">
        <f>AG27+AG26</f>
        <v/>
      </c>
      <c r="AH28" s="77">
        <f>AH27+AH26</f>
        <v/>
      </c>
      <c r="AI28" s="77">
        <f>AI27+AI26</f>
        <v/>
      </c>
      <c r="AJ28" s="77">
        <f>AJ27+AJ26</f>
        <v/>
      </c>
      <c r="AK28" s="77">
        <f>AK27+AK26</f>
        <v/>
      </c>
      <c r="AL28" s="77">
        <f>AL27+AL26</f>
        <v/>
      </c>
      <c r="AM28" s="77">
        <f>AM27+AM26</f>
        <v/>
      </c>
      <c r="AN28" s="77">
        <f>AN27+AN26</f>
        <v/>
      </c>
      <c r="AO28" s="77">
        <f>AO27+AO26</f>
        <v/>
      </c>
      <c r="AP28" s="77">
        <f>AP27+AP26</f>
        <v/>
      </c>
      <c r="AQ28" s="77">
        <f>AQ27+AQ26</f>
        <v/>
      </c>
      <c r="AR28" s="77">
        <f>AR27+AR26</f>
        <v/>
      </c>
      <c r="AS28" s="77">
        <f>AS27+AS26</f>
        <v/>
      </c>
      <c r="AT28" s="77">
        <f>AT27+AT26</f>
        <v/>
      </c>
      <c r="AU28" s="77">
        <f>AU27+AU26</f>
        <v/>
      </c>
      <c r="AV28" s="77">
        <f>AV27+AV26</f>
        <v/>
      </c>
      <c r="AW28" s="77">
        <f>AW27+AW26</f>
        <v/>
      </c>
      <c r="AX28" s="77">
        <f>AX27+AX26</f>
        <v/>
      </c>
      <c r="AY28" s="77">
        <f>AY27+AY26</f>
        <v/>
      </c>
      <c r="AZ28" s="77">
        <f>AZ27+AZ26</f>
        <v/>
      </c>
      <c r="BA28" s="77">
        <f>BA27+BA26</f>
        <v/>
      </c>
      <c r="BB28" s="77">
        <f>BB27+BB26</f>
        <v/>
      </c>
      <c r="BC28" s="77">
        <f>BC27+BC26</f>
        <v/>
      </c>
      <c r="BD28" s="77">
        <f>BD27+BD26</f>
        <v/>
      </c>
      <c r="BE28" s="77">
        <f>BE27+BE26</f>
        <v/>
      </c>
      <c r="BF28" s="77">
        <f>BF27+BF26</f>
        <v/>
      </c>
      <c r="BG28" s="77">
        <f>BG27+BG26</f>
        <v/>
      </c>
      <c r="BH28" s="77">
        <f>BH27+BH26</f>
        <v/>
      </c>
      <c r="BI28" s="77">
        <f>BI27+BI26</f>
        <v/>
      </c>
      <c r="BJ28" s="77">
        <f>BJ27+BJ26</f>
        <v/>
      </c>
      <c r="BK28" s="77">
        <f>BK27+BK26</f>
        <v/>
      </c>
      <c r="BL28" s="77">
        <f>BL27+BL26</f>
        <v/>
      </c>
      <c r="BM28" s="77">
        <f>BM27+BM26</f>
        <v/>
      </c>
      <c r="BN28" s="77">
        <f>BN27+BN26</f>
        <v/>
      </c>
      <c r="BO28" s="77">
        <f>BO27+BO26</f>
        <v/>
      </c>
      <c r="BP28" s="77">
        <f>BP27+BP26</f>
        <v/>
      </c>
      <c r="BQ28" s="77">
        <f>BQ27+BQ26</f>
        <v/>
      </c>
      <c r="BR28" s="77">
        <f>BR27+BR26</f>
        <v/>
      </c>
      <c r="BS28" s="77">
        <f>BS27+BS26</f>
        <v/>
      </c>
      <c r="BT28" s="77">
        <f>BT27+BT26</f>
        <v/>
      </c>
      <c r="BU28" s="77">
        <f>BU27+BU26</f>
        <v/>
      </c>
      <c r="BV28" s="77">
        <f>BV27+BV26</f>
        <v/>
      </c>
      <c r="BW28" s="77">
        <f>BW27+BW26</f>
        <v/>
      </c>
      <c r="BX28" s="77">
        <f>BX27+BX26</f>
        <v/>
      </c>
      <c r="BY28" s="77">
        <f>BY27+BY26</f>
        <v/>
      </c>
      <c r="BZ28" s="77">
        <f>BZ27+BZ26</f>
        <v/>
      </c>
      <c r="CA28" s="77">
        <f>CA27+CA26</f>
        <v/>
      </c>
      <c r="CB28" s="77">
        <f>CB27+CB26</f>
        <v/>
      </c>
      <c r="CC28" s="77">
        <f>CC27+CC26</f>
        <v/>
      </c>
      <c r="CD28" s="77">
        <f>CD27+CD26</f>
        <v/>
      </c>
    </row>
    <row r="30">
      <c r="A30" t="inlineStr">
        <is>
          <t>Cash ($) — unrestricted operating buffer</t>
        </is>
      </c>
      <c r="C30" s="77">
        <f>C28</f>
        <v/>
      </c>
      <c r="D30" s="77">
        <f>D28</f>
        <v/>
      </c>
      <c r="E30" s="77">
        <f>E28</f>
        <v/>
      </c>
      <c r="F30" s="77">
        <f>F28</f>
        <v/>
      </c>
      <c r="G30" s="77">
        <f>G28</f>
        <v/>
      </c>
      <c r="H30" s="77">
        <f>H28</f>
        <v/>
      </c>
      <c r="I30" s="77">
        <f>I28</f>
        <v/>
      </c>
      <c r="J30" s="77">
        <f>J28</f>
        <v/>
      </c>
      <c r="K30" s="77">
        <f>K28</f>
        <v/>
      </c>
      <c r="L30" s="77">
        <f>L28</f>
        <v/>
      </c>
      <c r="M30" s="77">
        <f>M28</f>
        <v/>
      </c>
      <c r="N30" s="77">
        <f>N28</f>
        <v/>
      </c>
      <c r="O30" s="77">
        <f>O28</f>
        <v/>
      </c>
      <c r="P30" s="77">
        <f>P28</f>
        <v/>
      </c>
      <c r="Q30" s="77">
        <f>Q28</f>
        <v/>
      </c>
      <c r="R30" s="77">
        <f>R28</f>
        <v/>
      </c>
      <c r="S30" s="77">
        <f>S28</f>
        <v/>
      </c>
      <c r="T30" s="77">
        <f>T28</f>
        <v/>
      </c>
      <c r="U30" s="77">
        <f>U28</f>
        <v/>
      </c>
      <c r="V30" s="77">
        <f>V28</f>
        <v/>
      </c>
      <c r="W30" s="77">
        <f>W28</f>
        <v/>
      </c>
      <c r="X30" s="77">
        <f>X28</f>
        <v/>
      </c>
      <c r="Y30" s="77">
        <f>Y28</f>
        <v/>
      </c>
      <c r="Z30" s="77">
        <f>Z28</f>
        <v/>
      </c>
      <c r="AA30" s="77">
        <f>AA28</f>
        <v/>
      </c>
      <c r="AB30" s="77">
        <f>AB28</f>
        <v/>
      </c>
      <c r="AC30" s="77">
        <f>AC28</f>
        <v/>
      </c>
      <c r="AD30" s="77">
        <f>AD28</f>
        <v/>
      </c>
      <c r="AE30" s="77">
        <f>AE28</f>
        <v/>
      </c>
      <c r="AF30" s="77">
        <f>AF28</f>
        <v/>
      </c>
      <c r="AG30" s="77">
        <f>AG28</f>
        <v/>
      </c>
      <c r="AH30" s="77">
        <f>AH28</f>
        <v/>
      </c>
      <c r="AI30" s="77">
        <f>AI28</f>
        <v/>
      </c>
      <c r="AJ30" s="77">
        <f>AJ28</f>
        <v/>
      </c>
      <c r="AK30" s="77">
        <f>AK28</f>
        <v/>
      </c>
      <c r="AL30" s="77">
        <f>AL28</f>
        <v/>
      </c>
      <c r="AM30" s="77">
        <f>AM28</f>
        <v/>
      </c>
      <c r="AN30" s="77">
        <f>AN28</f>
        <v/>
      </c>
      <c r="AO30" s="77">
        <f>AO28</f>
        <v/>
      </c>
      <c r="AP30" s="77">
        <f>AP28</f>
        <v/>
      </c>
      <c r="AQ30" s="77">
        <f>AQ28</f>
        <v/>
      </c>
      <c r="AR30" s="77">
        <f>AR28</f>
        <v/>
      </c>
      <c r="AS30" s="77">
        <f>AS28</f>
        <v/>
      </c>
      <c r="AT30" s="77">
        <f>AT28</f>
        <v/>
      </c>
      <c r="AU30" s="77">
        <f>AU28</f>
        <v/>
      </c>
      <c r="AV30" s="77">
        <f>AV28</f>
        <v/>
      </c>
      <c r="AW30" s="77">
        <f>AW28</f>
        <v/>
      </c>
      <c r="AX30" s="77">
        <f>AX28</f>
        <v/>
      </c>
      <c r="AY30" s="77">
        <f>AY28</f>
        <v/>
      </c>
      <c r="AZ30" s="77">
        <f>AZ28</f>
        <v/>
      </c>
      <c r="BA30" s="77">
        <f>BA28</f>
        <v/>
      </c>
      <c r="BB30" s="77">
        <f>BB28</f>
        <v/>
      </c>
      <c r="BC30" s="77">
        <f>BC28</f>
        <v/>
      </c>
      <c r="BD30" s="77">
        <f>BD28</f>
        <v/>
      </c>
      <c r="BE30" s="77">
        <f>BE28</f>
        <v/>
      </c>
      <c r="BF30" s="77">
        <f>BF28</f>
        <v/>
      </c>
      <c r="BG30" s="77">
        <f>BG28</f>
        <v/>
      </c>
      <c r="BH30" s="77">
        <f>BH28</f>
        <v/>
      </c>
      <c r="BI30" s="77">
        <f>BI28</f>
        <v/>
      </c>
      <c r="BJ30" s="77">
        <f>BJ28</f>
        <v/>
      </c>
      <c r="BK30" s="77">
        <f>BK28</f>
        <v/>
      </c>
      <c r="BL30" s="77">
        <f>BL28</f>
        <v/>
      </c>
      <c r="BM30" s="77">
        <f>BM28</f>
        <v/>
      </c>
      <c r="BN30" s="77">
        <f>BN28</f>
        <v/>
      </c>
      <c r="BO30" s="77">
        <f>BO28</f>
        <v/>
      </c>
      <c r="BP30" s="77">
        <f>BP28</f>
        <v/>
      </c>
      <c r="BQ30" s="77">
        <f>BQ28</f>
        <v/>
      </c>
      <c r="BR30" s="77">
        <f>BR28</f>
        <v/>
      </c>
      <c r="BS30" s="77">
        <f>BS28</f>
        <v/>
      </c>
      <c r="BT30" s="77">
        <f>BT28</f>
        <v/>
      </c>
      <c r="BU30" s="77">
        <f>BU28</f>
        <v/>
      </c>
      <c r="BV30" s="77">
        <f>BV28</f>
        <v/>
      </c>
      <c r="BW30" s="77">
        <f>BW28</f>
        <v/>
      </c>
      <c r="BX30" s="77">
        <f>BX28</f>
        <v/>
      </c>
      <c r="BY30" s="77">
        <f>BY28</f>
        <v/>
      </c>
      <c r="BZ30" s="77">
        <f>BZ28</f>
        <v/>
      </c>
      <c r="CA30" s="77">
        <f>CA28</f>
        <v/>
      </c>
      <c r="CB30" s="77">
        <f>CB28</f>
        <v/>
      </c>
      <c r="CC30" s="77">
        <f>CC28</f>
        <v/>
      </c>
      <c r="CD30" s="77">
        <f>CD28</f>
        <v/>
      </c>
    </row>
    <row r="31">
      <c r="A31" t="inlineStr">
        <is>
          <t>DSRA Balance ($) — restricted cash</t>
        </is>
      </c>
      <c r="C31" s="72">
        <f>Calc_Financing_Ops!C27</f>
        <v/>
      </c>
      <c r="D31" s="72">
        <f>Calc_Financing_Ops!D27</f>
        <v/>
      </c>
      <c r="E31" s="72">
        <f>Calc_Financing_Ops!E27</f>
        <v/>
      </c>
      <c r="F31" s="72">
        <f>Calc_Financing_Ops!F27</f>
        <v/>
      </c>
      <c r="G31" s="72">
        <f>Calc_Financing_Ops!G27</f>
        <v/>
      </c>
      <c r="H31" s="72">
        <f>Calc_Financing_Ops!H27</f>
        <v/>
      </c>
      <c r="I31" s="72">
        <f>Calc_Financing_Ops!I27</f>
        <v/>
      </c>
      <c r="J31" s="72">
        <f>Calc_Financing_Ops!J27</f>
        <v/>
      </c>
      <c r="K31" s="72">
        <f>Calc_Financing_Ops!K27</f>
        <v/>
      </c>
      <c r="L31" s="72">
        <f>Calc_Financing_Ops!L27</f>
        <v/>
      </c>
      <c r="M31" s="72">
        <f>Calc_Financing_Ops!M27</f>
        <v/>
      </c>
      <c r="N31" s="72">
        <f>Calc_Financing_Ops!N27</f>
        <v/>
      </c>
      <c r="O31" s="72">
        <f>Calc_Financing_Ops!O27</f>
        <v/>
      </c>
      <c r="P31" s="72">
        <f>Calc_Financing_Ops!P27</f>
        <v/>
      </c>
      <c r="Q31" s="72">
        <f>Calc_Financing_Ops!Q27</f>
        <v/>
      </c>
      <c r="R31" s="72">
        <f>Calc_Financing_Ops!R27</f>
        <v/>
      </c>
      <c r="S31" s="72">
        <f>Calc_Financing_Ops!S27</f>
        <v/>
      </c>
      <c r="T31" s="72">
        <f>Calc_Financing_Ops!T27</f>
        <v/>
      </c>
      <c r="U31" s="72">
        <f>Calc_Financing_Ops!U27</f>
        <v/>
      </c>
      <c r="V31" s="72">
        <f>Calc_Financing_Ops!V27</f>
        <v/>
      </c>
      <c r="W31" s="72">
        <f>Calc_Financing_Ops!W27</f>
        <v/>
      </c>
      <c r="X31" s="72">
        <f>Calc_Financing_Ops!X27</f>
        <v/>
      </c>
      <c r="Y31" s="72">
        <f>Calc_Financing_Ops!Y27</f>
        <v/>
      </c>
      <c r="Z31" s="72">
        <f>Calc_Financing_Ops!Z27</f>
        <v/>
      </c>
      <c r="AA31" s="72">
        <f>Calc_Financing_Ops!AA27</f>
        <v/>
      </c>
      <c r="AB31" s="72">
        <f>Calc_Financing_Ops!AB27</f>
        <v/>
      </c>
      <c r="AC31" s="72">
        <f>Calc_Financing_Ops!AC27</f>
        <v/>
      </c>
      <c r="AD31" s="72">
        <f>Calc_Financing_Ops!AD27</f>
        <v/>
      </c>
      <c r="AE31" s="72">
        <f>Calc_Financing_Ops!AE27</f>
        <v/>
      </c>
      <c r="AF31" s="72">
        <f>Calc_Financing_Ops!AF27</f>
        <v/>
      </c>
      <c r="AG31" s="72">
        <f>Calc_Financing_Ops!AG27</f>
        <v/>
      </c>
      <c r="AH31" s="72">
        <f>Calc_Financing_Ops!AH27</f>
        <v/>
      </c>
      <c r="AI31" s="72">
        <f>Calc_Financing_Ops!AI27</f>
        <v/>
      </c>
      <c r="AJ31" s="72">
        <f>Calc_Financing_Ops!AJ27</f>
        <v/>
      </c>
      <c r="AK31" s="72">
        <f>Calc_Financing_Ops!AK27</f>
        <v/>
      </c>
      <c r="AL31" s="72">
        <f>Calc_Financing_Ops!AL27</f>
        <v/>
      </c>
      <c r="AM31" s="72">
        <f>Calc_Financing_Ops!AM27</f>
        <v/>
      </c>
      <c r="AN31" s="72">
        <f>Calc_Financing_Ops!AN27</f>
        <v/>
      </c>
      <c r="AO31" s="72">
        <f>Calc_Financing_Ops!AO27</f>
        <v/>
      </c>
      <c r="AP31" s="72">
        <f>Calc_Financing_Ops!AP27</f>
        <v/>
      </c>
      <c r="AQ31" s="72">
        <f>Calc_Financing_Ops!AQ27</f>
        <v/>
      </c>
      <c r="AR31" s="72">
        <f>Calc_Financing_Ops!AR27</f>
        <v/>
      </c>
      <c r="AS31" s="72">
        <f>Calc_Financing_Ops!AS27</f>
        <v/>
      </c>
      <c r="AT31" s="72">
        <f>Calc_Financing_Ops!AT27</f>
        <v/>
      </c>
      <c r="AU31" s="72">
        <f>Calc_Financing_Ops!AU27</f>
        <v/>
      </c>
      <c r="AV31" s="72">
        <f>Calc_Financing_Ops!AV27</f>
        <v/>
      </c>
      <c r="AW31" s="72">
        <f>Calc_Financing_Ops!AW27</f>
        <v/>
      </c>
      <c r="AX31" s="72">
        <f>Calc_Financing_Ops!AX27</f>
        <v/>
      </c>
      <c r="AY31" s="72">
        <f>Calc_Financing_Ops!AY27</f>
        <v/>
      </c>
      <c r="AZ31" s="72">
        <f>Calc_Financing_Ops!AZ27</f>
        <v/>
      </c>
      <c r="BA31" s="72">
        <f>Calc_Financing_Ops!BA27</f>
        <v/>
      </c>
      <c r="BB31" s="72">
        <f>Calc_Financing_Ops!BB27</f>
        <v/>
      </c>
      <c r="BC31" s="72">
        <f>Calc_Financing_Ops!BC27</f>
        <v/>
      </c>
      <c r="BD31" s="72">
        <f>Calc_Financing_Ops!BD27</f>
        <v/>
      </c>
      <c r="BE31" s="72">
        <f>Calc_Financing_Ops!BE27</f>
        <v/>
      </c>
      <c r="BF31" s="72">
        <f>Calc_Financing_Ops!BF27</f>
        <v/>
      </c>
      <c r="BG31" s="72">
        <f>Calc_Financing_Ops!BG27</f>
        <v/>
      </c>
      <c r="BH31" s="72">
        <f>Calc_Financing_Ops!BH27</f>
        <v/>
      </c>
      <c r="BI31" s="72">
        <f>Calc_Financing_Ops!BI27</f>
        <v/>
      </c>
      <c r="BJ31" s="72">
        <f>Calc_Financing_Ops!BJ27</f>
        <v/>
      </c>
      <c r="BK31" s="72">
        <f>Calc_Financing_Ops!BK27</f>
        <v/>
      </c>
      <c r="BL31" s="72">
        <f>Calc_Financing_Ops!BL27</f>
        <v/>
      </c>
      <c r="BM31" s="72">
        <f>Calc_Financing_Ops!BM27</f>
        <v/>
      </c>
      <c r="BN31" s="72">
        <f>Calc_Financing_Ops!BN27</f>
        <v/>
      </c>
      <c r="BO31" s="72">
        <f>Calc_Financing_Ops!BO27</f>
        <v/>
      </c>
      <c r="BP31" s="72">
        <f>Calc_Financing_Ops!BP27</f>
        <v/>
      </c>
      <c r="BQ31" s="72">
        <f>Calc_Financing_Ops!BQ27</f>
        <v/>
      </c>
      <c r="BR31" s="72">
        <f>Calc_Financing_Ops!BR27</f>
        <v/>
      </c>
      <c r="BS31" s="72">
        <f>Calc_Financing_Ops!BS27</f>
        <v/>
      </c>
      <c r="BT31" s="72">
        <f>Calc_Financing_Ops!BT27</f>
        <v/>
      </c>
      <c r="BU31" s="72">
        <f>Calc_Financing_Ops!BU27</f>
        <v/>
      </c>
      <c r="BV31" s="72">
        <f>Calc_Financing_Ops!BV27</f>
        <v/>
      </c>
      <c r="BW31" s="72">
        <f>Calc_Financing_Ops!BW27</f>
        <v/>
      </c>
      <c r="BX31" s="72">
        <f>Calc_Financing_Ops!BX27</f>
        <v/>
      </c>
      <c r="BY31" s="72">
        <f>Calc_Financing_Ops!BY27</f>
        <v/>
      </c>
      <c r="BZ31" s="72">
        <f>Calc_Financing_Ops!BZ27</f>
        <v/>
      </c>
      <c r="CA31" s="72">
        <f>Calc_Financing_Ops!CA27</f>
        <v/>
      </c>
      <c r="CB31" s="72">
        <f>Calc_Financing_Ops!CB27</f>
        <v/>
      </c>
      <c r="CC31" s="72">
        <f>Calc_Financing_Ops!CC27</f>
        <v/>
      </c>
      <c r="CD31" s="72">
        <f>Calc_Financing_Ops!CD27</f>
        <v/>
      </c>
    </row>
    <row r="32">
      <c r="A32" t="inlineStr">
        <is>
          <t>MRA Balance ($) — restricted cash</t>
        </is>
      </c>
      <c r="C32" s="72">
        <f>Calc_CFADS!C13</f>
        <v/>
      </c>
      <c r="D32" s="72">
        <f>Calc_CFADS!D13</f>
        <v/>
      </c>
      <c r="E32" s="72">
        <f>Calc_CFADS!E13</f>
        <v/>
      </c>
      <c r="F32" s="72">
        <f>Calc_CFADS!F13</f>
        <v/>
      </c>
      <c r="G32" s="72">
        <f>Calc_CFADS!G13</f>
        <v/>
      </c>
      <c r="H32" s="72">
        <f>Calc_CFADS!H13</f>
        <v/>
      </c>
      <c r="I32" s="72">
        <f>Calc_CFADS!I13</f>
        <v/>
      </c>
      <c r="J32" s="72">
        <f>Calc_CFADS!J13</f>
        <v/>
      </c>
      <c r="K32" s="72">
        <f>Calc_CFADS!K13</f>
        <v/>
      </c>
      <c r="L32" s="72">
        <f>Calc_CFADS!L13</f>
        <v/>
      </c>
      <c r="M32" s="72">
        <f>Calc_CFADS!M13</f>
        <v/>
      </c>
      <c r="N32" s="72">
        <f>Calc_CFADS!N13</f>
        <v/>
      </c>
      <c r="O32" s="72">
        <f>Calc_CFADS!O13</f>
        <v/>
      </c>
      <c r="P32" s="72">
        <f>Calc_CFADS!P13</f>
        <v/>
      </c>
      <c r="Q32" s="72">
        <f>Calc_CFADS!Q13</f>
        <v/>
      </c>
      <c r="R32" s="72">
        <f>Calc_CFADS!R13</f>
        <v/>
      </c>
      <c r="S32" s="72">
        <f>Calc_CFADS!S13</f>
        <v/>
      </c>
      <c r="T32" s="72">
        <f>Calc_CFADS!T13</f>
        <v/>
      </c>
      <c r="U32" s="72">
        <f>Calc_CFADS!U13</f>
        <v/>
      </c>
      <c r="V32" s="72">
        <f>Calc_CFADS!V13</f>
        <v/>
      </c>
      <c r="W32" s="72">
        <f>Calc_CFADS!W13</f>
        <v/>
      </c>
      <c r="X32" s="72">
        <f>Calc_CFADS!X13</f>
        <v/>
      </c>
      <c r="Y32" s="72">
        <f>Calc_CFADS!Y13</f>
        <v/>
      </c>
      <c r="Z32" s="72">
        <f>Calc_CFADS!Z13</f>
        <v/>
      </c>
      <c r="AA32" s="72">
        <f>Calc_CFADS!AA13</f>
        <v/>
      </c>
      <c r="AB32" s="72">
        <f>Calc_CFADS!AB13</f>
        <v/>
      </c>
      <c r="AC32" s="72">
        <f>Calc_CFADS!AC13</f>
        <v/>
      </c>
      <c r="AD32" s="72">
        <f>Calc_CFADS!AD13</f>
        <v/>
      </c>
      <c r="AE32" s="72">
        <f>Calc_CFADS!AE13</f>
        <v/>
      </c>
      <c r="AF32" s="72">
        <f>Calc_CFADS!AF13</f>
        <v/>
      </c>
      <c r="AG32" s="72">
        <f>Calc_CFADS!AG13</f>
        <v/>
      </c>
      <c r="AH32" s="72">
        <f>Calc_CFADS!AH13</f>
        <v/>
      </c>
      <c r="AI32" s="72">
        <f>Calc_CFADS!AI13</f>
        <v/>
      </c>
      <c r="AJ32" s="72">
        <f>Calc_CFADS!AJ13</f>
        <v/>
      </c>
      <c r="AK32" s="72">
        <f>Calc_CFADS!AK13</f>
        <v/>
      </c>
      <c r="AL32" s="72">
        <f>Calc_CFADS!AL13</f>
        <v/>
      </c>
      <c r="AM32" s="72">
        <f>Calc_CFADS!AM13</f>
        <v/>
      </c>
      <c r="AN32" s="72">
        <f>Calc_CFADS!AN13</f>
        <v/>
      </c>
      <c r="AO32" s="72">
        <f>Calc_CFADS!AO13</f>
        <v/>
      </c>
      <c r="AP32" s="72">
        <f>Calc_CFADS!AP13</f>
        <v/>
      </c>
      <c r="AQ32" s="72">
        <f>Calc_CFADS!AQ13</f>
        <v/>
      </c>
      <c r="AR32" s="72">
        <f>Calc_CFADS!AR13</f>
        <v/>
      </c>
      <c r="AS32" s="72">
        <f>Calc_CFADS!AS13</f>
        <v/>
      </c>
      <c r="AT32" s="72">
        <f>Calc_CFADS!AT13</f>
        <v/>
      </c>
      <c r="AU32" s="72">
        <f>Calc_CFADS!AU13</f>
        <v/>
      </c>
      <c r="AV32" s="72">
        <f>Calc_CFADS!AV13</f>
        <v/>
      </c>
      <c r="AW32" s="72">
        <f>Calc_CFADS!AW13</f>
        <v/>
      </c>
      <c r="AX32" s="72">
        <f>Calc_CFADS!AX13</f>
        <v/>
      </c>
      <c r="AY32" s="72">
        <f>Calc_CFADS!AY13</f>
        <v/>
      </c>
      <c r="AZ32" s="72">
        <f>Calc_CFADS!AZ13</f>
        <v/>
      </c>
      <c r="BA32" s="72">
        <f>Calc_CFADS!BA13</f>
        <v/>
      </c>
      <c r="BB32" s="72">
        <f>Calc_CFADS!BB13</f>
        <v/>
      </c>
      <c r="BC32" s="72">
        <f>Calc_CFADS!BC13</f>
        <v/>
      </c>
      <c r="BD32" s="72">
        <f>Calc_CFADS!BD13</f>
        <v/>
      </c>
      <c r="BE32" s="72">
        <f>Calc_CFADS!BE13</f>
        <v/>
      </c>
      <c r="BF32" s="72">
        <f>Calc_CFADS!BF13</f>
        <v/>
      </c>
      <c r="BG32" s="72">
        <f>Calc_CFADS!BG13</f>
        <v/>
      </c>
      <c r="BH32" s="72">
        <f>Calc_CFADS!BH13</f>
        <v/>
      </c>
      <c r="BI32" s="72">
        <f>Calc_CFADS!BI13</f>
        <v/>
      </c>
      <c r="BJ32" s="72">
        <f>Calc_CFADS!BJ13</f>
        <v/>
      </c>
      <c r="BK32" s="72">
        <f>Calc_CFADS!BK13</f>
        <v/>
      </c>
      <c r="BL32" s="72">
        <f>Calc_CFADS!BL13</f>
        <v/>
      </c>
      <c r="BM32" s="72">
        <f>Calc_CFADS!BM13</f>
        <v/>
      </c>
      <c r="BN32" s="72">
        <f>Calc_CFADS!BN13</f>
        <v/>
      </c>
      <c r="BO32" s="72">
        <f>Calc_CFADS!BO13</f>
        <v/>
      </c>
      <c r="BP32" s="72">
        <f>Calc_CFADS!BP13</f>
        <v/>
      </c>
      <c r="BQ32" s="72">
        <f>Calc_CFADS!BQ13</f>
        <v/>
      </c>
      <c r="BR32" s="72">
        <f>Calc_CFADS!BR13</f>
        <v/>
      </c>
      <c r="BS32" s="72">
        <f>Calc_CFADS!BS13</f>
        <v/>
      </c>
      <c r="BT32" s="72">
        <f>Calc_CFADS!BT13</f>
        <v/>
      </c>
      <c r="BU32" s="72">
        <f>Calc_CFADS!BU13</f>
        <v/>
      </c>
      <c r="BV32" s="72">
        <f>Calc_CFADS!BV13</f>
        <v/>
      </c>
      <c r="BW32" s="72">
        <f>Calc_CFADS!BW13</f>
        <v/>
      </c>
      <c r="BX32" s="72">
        <f>Calc_CFADS!BX13</f>
        <v/>
      </c>
      <c r="BY32" s="72">
        <f>Calc_CFADS!BY13</f>
        <v/>
      </c>
      <c r="BZ32" s="72">
        <f>Calc_CFADS!BZ13</f>
        <v/>
      </c>
      <c r="CA32" s="72">
        <f>Calc_CFADS!CA13</f>
        <v/>
      </c>
      <c r="CB32" s="72">
        <f>Calc_CFADS!CB13</f>
        <v/>
      </c>
      <c r="CC32" s="72">
        <f>Calc_CFADS!CC13</f>
        <v/>
      </c>
      <c r="CD32" s="72">
        <f>Calc_CFADS!CD13</f>
        <v/>
      </c>
    </row>
    <row r="33">
      <c r="A33" t="inlineStr">
        <is>
          <t>PP&amp;E, Net ($)</t>
        </is>
      </c>
      <c r="C33" s="77">
        <f>Calc_Capex!$Z$17-C19-C8</f>
        <v/>
      </c>
      <c r="D33" s="77">
        <f>C33-D19-D8</f>
        <v/>
      </c>
      <c r="E33" s="77">
        <f>D33-E19-E8</f>
        <v/>
      </c>
      <c r="F33" s="77">
        <f>E33-F19-F8</f>
        <v/>
      </c>
      <c r="G33" s="77">
        <f>F33-G19-G8</f>
        <v/>
      </c>
      <c r="H33" s="77">
        <f>G33-H19-H8</f>
        <v/>
      </c>
      <c r="I33" s="77">
        <f>H33-I19-I8</f>
        <v/>
      </c>
      <c r="J33" s="77">
        <f>I33-J19-J8</f>
        <v/>
      </c>
      <c r="K33" s="77">
        <f>J33-K19-K8</f>
        <v/>
      </c>
      <c r="L33" s="77">
        <f>K33-L19-L8</f>
        <v/>
      </c>
      <c r="M33" s="77">
        <f>L33-M19-M8</f>
        <v/>
      </c>
      <c r="N33" s="77">
        <f>M33-N19-N8</f>
        <v/>
      </c>
      <c r="O33" s="77">
        <f>N33-O19-O8</f>
        <v/>
      </c>
      <c r="P33" s="77">
        <f>O33-P19-P8</f>
        <v/>
      </c>
      <c r="Q33" s="77">
        <f>P33-Q19-Q8</f>
        <v/>
      </c>
      <c r="R33" s="77">
        <f>Q33-R19-R8</f>
        <v/>
      </c>
      <c r="S33" s="77">
        <f>R33-S19-S8</f>
        <v/>
      </c>
      <c r="T33" s="77">
        <f>S33-T19-T8</f>
        <v/>
      </c>
      <c r="U33" s="77">
        <f>T33-U19-U8</f>
        <v/>
      </c>
      <c r="V33" s="77">
        <f>U33-V19-V8</f>
        <v/>
      </c>
      <c r="W33" s="77">
        <f>V33-W19-W8</f>
        <v/>
      </c>
      <c r="X33" s="77">
        <f>W33-X19-X8</f>
        <v/>
      </c>
      <c r="Y33" s="77">
        <f>X33-Y19-Y8</f>
        <v/>
      </c>
      <c r="Z33" s="77">
        <f>Y33-Z19-Z8</f>
        <v/>
      </c>
      <c r="AA33" s="77">
        <f>Z33-AA19-AA8</f>
        <v/>
      </c>
      <c r="AB33" s="77">
        <f>AA33-AB19-AB8</f>
        <v/>
      </c>
      <c r="AC33" s="77">
        <f>AB33-AC19-AC8</f>
        <v/>
      </c>
      <c r="AD33" s="77">
        <f>AC33-AD19-AD8</f>
        <v/>
      </c>
      <c r="AE33" s="77">
        <f>AD33-AE19-AE8</f>
        <v/>
      </c>
      <c r="AF33" s="77">
        <f>AE33-AF19-AF8</f>
        <v/>
      </c>
      <c r="AG33" s="77">
        <f>AF33-AG19-AG8</f>
        <v/>
      </c>
      <c r="AH33" s="77">
        <f>AG33-AH19-AH8</f>
        <v/>
      </c>
      <c r="AI33" s="77">
        <f>AH33-AI19-AI8</f>
        <v/>
      </c>
      <c r="AJ33" s="77">
        <f>AI33-AJ19-AJ8</f>
        <v/>
      </c>
      <c r="AK33" s="77">
        <f>AJ33-AK19-AK8</f>
        <v/>
      </c>
      <c r="AL33" s="77">
        <f>AK33-AL19-AL8</f>
        <v/>
      </c>
      <c r="AM33" s="77">
        <f>AL33-AM19-AM8</f>
        <v/>
      </c>
      <c r="AN33" s="77">
        <f>AM33-AN19-AN8</f>
        <v/>
      </c>
      <c r="AO33" s="77">
        <f>AN33-AO19-AO8</f>
        <v/>
      </c>
      <c r="AP33" s="77">
        <f>AO33-AP19-AP8</f>
        <v/>
      </c>
      <c r="AQ33" s="77">
        <f>AP33-AQ19-AQ8</f>
        <v/>
      </c>
      <c r="AR33" s="77">
        <f>AQ33-AR19-AR8</f>
        <v/>
      </c>
      <c r="AS33" s="77">
        <f>AR33-AS19-AS8</f>
        <v/>
      </c>
      <c r="AT33" s="77">
        <f>AS33-AT19-AT8</f>
        <v/>
      </c>
      <c r="AU33" s="77">
        <f>AT33-AU19-AU8</f>
        <v/>
      </c>
      <c r="AV33" s="77">
        <f>AU33-AV19-AV8</f>
        <v/>
      </c>
      <c r="AW33" s="77">
        <f>AV33-AW19-AW8</f>
        <v/>
      </c>
      <c r="AX33" s="77">
        <f>AW33-AX19-AX8</f>
        <v/>
      </c>
      <c r="AY33" s="77">
        <f>AX33-AY19-AY8</f>
        <v/>
      </c>
      <c r="AZ33" s="77">
        <f>AY33-AZ19-AZ8</f>
        <v/>
      </c>
      <c r="BA33" s="77">
        <f>AZ33-BA19-BA8</f>
        <v/>
      </c>
      <c r="BB33" s="77">
        <f>BA33-BB19-BB8</f>
        <v/>
      </c>
      <c r="BC33" s="77">
        <f>BB33-BC19-BC8</f>
        <v/>
      </c>
      <c r="BD33" s="77">
        <f>BC33-BD19-BD8</f>
        <v/>
      </c>
      <c r="BE33" s="77">
        <f>BD33-BE19-BE8</f>
        <v/>
      </c>
      <c r="BF33" s="77">
        <f>BE33-BF19-BF8</f>
        <v/>
      </c>
      <c r="BG33" s="77">
        <f>BF33-BG19-BG8</f>
        <v/>
      </c>
      <c r="BH33" s="77">
        <f>BG33-BH19-BH8</f>
        <v/>
      </c>
      <c r="BI33" s="77">
        <f>BH33-BI19-BI8</f>
        <v/>
      </c>
      <c r="BJ33" s="77">
        <f>BI33-BJ19-BJ8</f>
        <v/>
      </c>
      <c r="BK33" s="77">
        <f>BJ33-BK19-BK8</f>
        <v/>
      </c>
      <c r="BL33" s="77">
        <f>BK33-BL19-BL8</f>
        <v/>
      </c>
      <c r="BM33" s="77">
        <f>BL33-BM19-BM8</f>
        <v/>
      </c>
      <c r="BN33" s="77">
        <f>BM33-BN19-BN8</f>
        <v/>
      </c>
      <c r="BO33" s="77">
        <f>BN33-BO19-BO8</f>
        <v/>
      </c>
      <c r="BP33" s="77">
        <f>BO33-BP19-BP8</f>
        <v/>
      </c>
      <c r="BQ33" s="77">
        <f>BP33-BQ19-BQ8</f>
        <v/>
      </c>
      <c r="BR33" s="77">
        <f>BQ33-BR19-BR8</f>
        <v/>
      </c>
      <c r="BS33" s="77">
        <f>BR33-BS19-BS8</f>
        <v/>
      </c>
      <c r="BT33" s="77">
        <f>BS33-BT19-BT8</f>
        <v/>
      </c>
      <c r="BU33" s="77">
        <f>BT33-BU19-BU8</f>
        <v/>
      </c>
      <c r="BV33" s="77">
        <f>BU33-BV19-BV8</f>
        <v/>
      </c>
      <c r="BW33" s="77">
        <f>BV33-BW19-BW8</f>
        <v/>
      </c>
      <c r="BX33" s="77">
        <f>BW33-BX19-BX8</f>
        <v/>
      </c>
      <c r="BY33" s="77">
        <f>BX33-BY19-BY8</f>
        <v/>
      </c>
      <c r="BZ33" s="77">
        <f>BY33-BZ19-BZ8</f>
        <v/>
      </c>
      <c r="CA33" s="77">
        <f>BZ33-CA19-CA8</f>
        <v/>
      </c>
      <c r="CB33" s="77">
        <f>CA33-CB19-CB8</f>
        <v/>
      </c>
      <c r="CC33" s="77">
        <f>CB33-CC19-CC8</f>
        <v/>
      </c>
      <c r="CD33" s="77">
        <f>CC33-CD19-CD8</f>
        <v/>
      </c>
    </row>
    <row r="34">
      <c r="A34" t="inlineStr">
        <is>
          <t>Total Assets ($)</t>
        </is>
      </c>
      <c r="C34" s="77">
        <f>C30+C31+C32+C33</f>
        <v/>
      </c>
      <c r="D34" s="77">
        <f>D30+D31+D32+D33</f>
        <v/>
      </c>
      <c r="E34" s="77">
        <f>E30+E31+E32+E33</f>
        <v/>
      </c>
      <c r="F34" s="77">
        <f>F30+F31+F32+F33</f>
        <v/>
      </c>
      <c r="G34" s="77">
        <f>G30+G31+G32+G33</f>
        <v/>
      </c>
      <c r="H34" s="77">
        <f>H30+H31+H32+H33</f>
        <v/>
      </c>
      <c r="I34" s="77">
        <f>I30+I31+I32+I33</f>
        <v/>
      </c>
      <c r="J34" s="77">
        <f>J30+J31+J32+J33</f>
        <v/>
      </c>
      <c r="K34" s="77">
        <f>K30+K31+K32+K33</f>
        <v/>
      </c>
      <c r="L34" s="77">
        <f>L30+L31+L32+L33</f>
        <v/>
      </c>
      <c r="M34" s="77">
        <f>M30+M31+M32+M33</f>
        <v/>
      </c>
      <c r="N34" s="77">
        <f>N30+N31+N32+N33</f>
        <v/>
      </c>
      <c r="O34" s="77">
        <f>O30+O31+O32+O33</f>
        <v/>
      </c>
      <c r="P34" s="77">
        <f>P30+P31+P32+P33</f>
        <v/>
      </c>
      <c r="Q34" s="77">
        <f>Q30+Q31+Q32+Q33</f>
        <v/>
      </c>
      <c r="R34" s="77">
        <f>R30+R31+R32+R33</f>
        <v/>
      </c>
      <c r="S34" s="77">
        <f>S30+S31+S32+S33</f>
        <v/>
      </c>
      <c r="T34" s="77">
        <f>T30+T31+T32+T33</f>
        <v/>
      </c>
      <c r="U34" s="77">
        <f>U30+U31+U32+U33</f>
        <v/>
      </c>
      <c r="V34" s="77">
        <f>V30+V31+V32+V33</f>
        <v/>
      </c>
      <c r="W34" s="77">
        <f>W30+W31+W32+W33</f>
        <v/>
      </c>
      <c r="X34" s="77">
        <f>X30+X31+X32+X33</f>
        <v/>
      </c>
      <c r="Y34" s="77">
        <f>Y30+Y31+Y32+Y33</f>
        <v/>
      </c>
      <c r="Z34" s="77">
        <f>Z30+Z31+Z32+Z33</f>
        <v/>
      </c>
      <c r="AA34" s="77">
        <f>AA30+AA31+AA32+AA33</f>
        <v/>
      </c>
      <c r="AB34" s="77">
        <f>AB30+AB31+AB32+AB33</f>
        <v/>
      </c>
      <c r="AC34" s="77">
        <f>AC30+AC31+AC32+AC33</f>
        <v/>
      </c>
      <c r="AD34" s="77">
        <f>AD30+AD31+AD32+AD33</f>
        <v/>
      </c>
      <c r="AE34" s="77">
        <f>AE30+AE31+AE32+AE33</f>
        <v/>
      </c>
      <c r="AF34" s="77">
        <f>AF30+AF31+AF32+AF33</f>
        <v/>
      </c>
      <c r="AG34" s="77">
        <f>AG30+AG31+AG32+AG33</f>
        <v/>
      </c>
      <c r="AH34" s="77">
        <f>AH30+AH31+AH32+AH33</f>
        <v/>
      </c>
      <c r="AI34" s="77">
        <f>AI30+AI31+AI32+AI33</f>
        <v/>
      </c>
      <c r="AJ34" s="77">
        <f>AJ30+AJ31+AJ32+AJ33</f>
        <v/>
      </c>
      <c r="AK34" s="77">
        <f>AK30+AK31+AK32+AK33</f>
        <v/>
      </c>
      <c r="AL34" s="77">
        <f>AL30+AL31+AL32+AL33</f>
        <v/>
      </c>
      <c r="AM34" s="77">
        <f>AM30+AM31+AM32+AM33</f>
        <v/>
      </c>
      <c r="AN34" s="77">
        <f>AN30+AN31+AN32+AN33</f>
        <v/>
      </c>
      <c r="AO34" s="77">
        <f>AO30+AO31+AO32+AO33</f>
        <v/>
      </c>
      <c r="AP34" s="77">
        <f>AP30+AP31+AP32+AP33</f>
        <v/>
      </c>
      <c r="AQ34" s="77">
        <f>AQ30+AQ31+AQ32+AQ33</f>
        <v/>
      </c>
      <c r="AR34" s="77">
        <f>AR30+AR31+AR32+AR33</f>
        <v/>
      </c>
      <c r="AS34" s="77">
        <f>AS30+AS31+AS32+AS33</f>
        <v/>
      </c>
      <c r="AT34" s="77">
        <f>AT30+AT31+AT32+AT33</f>
        <v/>
      </c>
      <c r="AU34" s="77">
        <f>AU30+AU31+AU32+AU33</f>
        <v/>
      </c>
      <c r="AV34" s="77">
        <f>AV30+AV31+AV32+AV33</f>
        <v/>
      </c>
      <c r="AW34" s="77">
        <f>AW30+AW31+AW32+AW33</f>
        <v/>
      </c>
      <c r="AX34" s="77">
        <f>AX30+AX31+AX32+AX33</f>
        <v/>
      </c>
      <c r="AY34" s="77">
        <f>AY30+AY31+AY32+AY33</f>
        <v/>
      </c>
      <c r="AZ34" s="77">
        <f>AZ30+AZ31+AZ32+AZ33</f>
        <v/>
      </c>
      <c r="BA34" s="77">
        <f>BA30+BA31+BA32+BA33</f>
        <v/>
      </c>
      <c r="BB34" s="77">
        <f>BB30+BB31+BB32+BB33</f>
        <v/>
      </c>
      <c r="BC34" s="77">
        <f>BC30+BC31+BC32+BC33</f>
        <v/>
      </c>
      <c r="BD34" s="77">
        <f>BD30+BD31+BD32+BD33</f>
        <v/>
      </c>
      <c r="BE34" s="77">
        <f>BE30+BE31+BE32+BE33</f>
        <v/>
      </c>
      <c r="BF34" s="77">
        <f>BF30+BF31+BF32+BF33</f>
        <v/>
      </c>
      <c r="BG34" s="77">
        <f>BG30+BG31+BG32+BG33</f>
        <v/>
      </c>
      <c r="BH34" s="77">
        <f>BH30+BH31+BH32+BH33</f>
        <v/>
      </c>
      <c r="BI34" s="77">
        <f>BI30+BI31+BI32+BI33</f>
        <v/>
      </c>
      <c r="BJ34" s="77">
        <f>BJ30+BJ31+BJ32+BJ33</f>
        <v/>
      </c>
      <c r="BK34" s="77">
        <f>BK30+BK31+BK32+BK33</f>
        <v/>
      </c>
      <c r="BL34" s="77">
        <f>BL30+BL31+BL32+BL33</f>
        <v/>
      </c>
      <c r="BM34" s="77">
        <f>BM30+BM31+BM32+BM33</f>
        <v/>
      </c>
      <c r="BN34" s="77">
        <f>BN30+BN31+BN32+BN33</f>
        <v/>
      </c>
      <c r="BO34" s="77">
        <f>BO30+BO31+BO32+BO33</f>
        <v/>
      </c>
      <c r="BP34" s="77">
        <f>BP30+BP31+BP32+BP33</f>
        <v/>
      </c>
      <c r="BQ34" s="77">
        <f>BQ30+BQ31+BQ32+BQ33</f>
        <v/>
      </c>
      <c r="BR34" s="77">
        <f>BR30+BR31+BR32+BR33</f>
        <v/>
      </c>
      <c r="BS34" s="77">
        <f>BS30+BS31+BS32+BS33</f>
        <v/>
      </c>
      <c r="BT34" s="77">
        <f>BT30+BT31+BT32+BT33</f>
        <v/>
      </c>
      <c r="BU34" s="77">
        <f>BU30+BU31+BU32+BU33</f>
        <v/>
      </c>
      <c r="BV34" s="77">
        <f>BV30+BV31+BV32+BV33</f>
        <v/>
      </c>
      <c r="BW34" s="77">
        <f>BW30+BW31+BW32+BW33</f>
        <v/>
      </c>
      <c r="BX34" s="77">
        <f>BX30+BX31+BX32+BX33</f>
        <v/>
      </c>
      <c r="BY34" s="77">
        <f>BY30+BY31+BY32+BY33</f>
        <v/>
      </c>
      <c r="BZ34" s="77">
        <f>BZ30+BZ31+BZ32+BZ33</f>
        <v/>
      </c>
      <c r="CA34" s="77">
        <f>CA30+CA31+CA32+CA33</f>
        <v/>
      </c>
      <c r="CB34" s="77">
        <f>CB30+CB31+CB32+CB33</f>
        <v/>
      </c>
      <c r="CC34" s="77">
        <f>CC30+CC31+CC32+CC33</f>
        <v/>
      </c>
      <c r="CD34" s="77">
        <f>CD30+CD31+CD32+CD33</f>
        <v/>
      </c>
    </row>
    <row r="35">
      <c r="A35" t="inlineStr">
        <is>
          <t>Debt ($)</t>
        </is>
      </c>
      <c r="C35" s="72">
        <f>Calc_Financing_Ops!C23</f>
        <v/>
      </c>
      <c r="D35" s="72">
        <f>Calc_Financing_Ops!D23</f>
        <v/>
      </c>
      <c r="E35" s="72">
        <f>Calc_Financing_Ops!E23</f>
        <v/>
      </c>
      <c r="F35" s="72">
        <f>Calc_Financing_Ops!F23</f>
        <v/>
      </c>
      <c r="G35" s="72">
        <f>Calc_Financing_Ops!G23</f>
        <v/>
      </c>
      <c r="H35" s="72">
        <f>Calc_Financing_Ops!H23</f>
        <v/>
      </c>
      <c r="I35" s="72">
        <f>Calc_Financing_Ops!I23</f>
        <v/>
      </c>
      <c r="J35" s="72">
        <f>Calc_Financing_Ops!J23</f>
        <v/>
      </c>
      <c r="K35" s="72">
        <f>Calc_Financing_Ops!K23</f>
        <v/>
      </c>
      <c r="L35" s="72">
        <f>Calc_Financing_Ops!L23</f>
        <v/>
      </c>
      <c r="M35" s="72">
        <f>Calc_Financing_Ops!M23</f>
        <v/>
      </c>
      <c r="N35" s="72">
        <f>Calc_Financing_Ops!N23</f>
        <v/>
      </c>
      <c r="O35" s="72">
        <f>Calc_Financing_Ops!O23</f>
        <v/>
      </c>
      <c r="P35" s="72">
        <f>Calc_Financing_Ops!P23</f>
        <v/>
      </c>
      <c r="Q35" s="72">
        <f>Calc_Financing_Ops!Q23</f>
        <v/>
      </c>
      <c r="R35" s="72">
        <f>Calc_Financing_Ops!R23</f>
        <v/>
      </c>
      <c r="S35" s="72">
        <f>Calc_Financing_Ops!S23</f>
        <v/>
      </c>
      <c r="T35" s="72">
        <f>Calc_Financing_Ops!T23</f>
        <v/>
      </c>
      <c r="U35" s="72">
        <f>Calc_Financing_Ops!U23</f>
        <v/>
      </c>
      <c r="V35" s="72">
        <f>Calc_Financing_Ops!V23</f>
        <v/>
      </c>
      <c r="W35" s="72">
        <f>Calc_Financing_Ops!W23</f>
        <v/>
      </c>
      <c r="X35" s="72">
        <f>Calc_Financing_Ops!X23</f>
        <v/>
      </c>
      <c r="Y35" s="72">
        <f>Calc_Financing_Ops!Y23</f>
        <v/>
      </c>
      <c r="Z35" s="72">
        <f>Calc_Financing_Ops!Z23</f>
        <v/>
      </c>
      <c r="AA35" s="72">
        <f>Calc_Financing_Ops!AA23</f>
        <v/>
      </c>
      <c r="AB35" s="72">
        <f>Calc_Financing_Ops!AB23</f>
        <v/>
      </c>
      <c r="AC35" s="72">
        <f>Calc_Financing_Ops!AC23</f>
        <v/>
      </c>
      <c r="AD35" s="72">
        <f>Calc_Financing_Ops!AD23</f>
        <v/>
      </c>
      <c r="AE35" s="72">
        <f>Calc_Financing_Ops!AE23</f>
        <v/>
      </c>
      <c r="AF35" s="72">
        <f>Calc_Financing_Ops!AF23</f>
        <v/>
      </c>
      <c r="AG35" s="72">
        <f>Calc_Financing_Ops!AG23</f>
        <v/>
      </c>
      <c r="AH35" s="72">
        <f>Calc_Financing_Ops!AH23</f>
        <v/>
      </c>
      <c r="AI35" s="72">
        <f>Calc_Financing_Ops!AI23</f>
        <v/>
      </c>
      <c r="AJ35" s="72">
        <f>Calc_Financing_Ops!AJ23</f>
        <v/>
      </c>
      <c r="AK35" s="72">
        <f>Calc_Financing_Ops!AK23</f>
        <v/>
      </c>
      <c r="AL35" s="72">
        <f>Calc_Financing_Ops!AL23</f>
        <v/>
      </c>
      <c r="AM35" s="72">
        <f>Calc_Financing_Ops!AM23</f>
        <v/>
      </c>
      <c r="AN35" s="72">
        <f>Calc_Financing_Ops!AN23</f>
        <v/>
      </c>
      <c r="AO35" s="72">
        <f>Calc_Financing_Ops!AO23</f>
        <v/>
      </c>
      <c r="AP35" s="72">
        <f>Calc_Financing_Ops!AP23</f>
        <v/>
      </c>
      <c r="AQ35" s="72">
        <f>Calc_Financing_Ops!AQ23</f>
        <v/>
      </c>
      <c r="AR35" s="72">
        <f>Calc_Financing_Ops!AR23</f>
        <v/>
      </c>
      <c r="AS35" s="72">
        <f>Calc_Financing_Ops!AS23</f>
        <v/>
      </c>
      <c r="AT35" s="72">
        <f>Calc_Financing_Ops!AT23</f>
        <v/>
      </c>
      <c r="AU35" s="72">
        <f>Calc_Financing_Ops!AU23</f>
        <v/>
      </c>
      <c r="AV35" s="72">
        <f>Calc_Financing_Ops!AV23</f>
        <v/>
      </c>
      <c r="AW35" s="72">
        <f>Calc_Financing_Ops!AW23</f>
        <v/>
      </c>
      <c r="AX35" s="72">
        <f>Calc_Financing_Ops!AX23</f>
        <v/>
      </c>
      <c r="AY35" s="72">
        <f>Calc_Financing_Ops!AY23</f>
        <v/>
      </c>
      <c r="AZ35" s="72">
        <f>Calc_Financing_Ops!AZ23</f>
        <v/>
      </c>
      <c r="BA35" s="72">
        <f>Calc_Financing_Ops!BA23</f>
        <v/>
      </c>
      <c r="BB35" s="72">
        <f>Calc_Financing_Ops!BB23</f>
        <v/>
      </c>
      <c r="BC35" s="72">
        <f>Calc_Financing_Ops!BC23</f>
        <v/>
      </c>
      <c r="BD35" s="72">
        <f>Calc_Financing_Ops!BD23</f>
        <v/>
      </c>
      <c r="BE35" s="72">
        <f>Calc_Financing_Ops!BE23</f>
        <v/>
      </c>
      <c r="BF35" s="72">
        <f>Calc_Financing_Ops!BF23</f>
        <v/>
      </c>
      <c r="BG35" s="72">
        <f>Calc_Financing_Ops!BG23</f>
        <v/>
      </c>
      <c r="BH35" s="72">
        <f>Calc_Financing_Ops!BH23</f>
        <v/>
      </c>
      <c r="BI35" s="72">
        <f>Calc_Financing_Ops!BI23</f>
        <v/>
      </c>
      <c r="BJ35" s="72">
        <f>Calc_Financing_Ops!BJ23</f>
        <v/>
      </c>
      <c r="BK35" s="72">
        <f>Calc_Financing_Ops!BK23</f>
        <v/>
      </c>
      <c r="BL35" s="72">
        <f>Calc_Financing_Ops!BL23</f>
        <v/>
      </c>
      <c r="BM35" s="72">
        <f>Calc_Financing_Ops!BM23</f>
        <v/>
      </c>
      <c r="BN35" s="72">
        <f>Calc_Financing_Ops!BN23</f>
        <v/>
      </c>
      <c r="BO35" s="72">
        <f>Calc_Financing_Ops!BO23</f>
        <v/>
      </c>
      <c r="BP35" s="72">
        <f>Calc_Financing_Ops!BP23</f>
        <v/>
      </c>
      <c r="BQ35" s="72">
        <f>Calc_Financing_Ops!BQ23</f>
        <v/>
      </c>
      <c r="BR35" s="72">
        <f>Calc_Financing_Ops!BR23</f>
        <v/>
      </c>
      <c r="BS35" s="72">
        <f>Calc_Financing_Ops!BS23</f>
        <v/>
      </c>
      <c r="BT35" s="72">
        <f>Calc_Financing_Ops!BT23</f>
        <v/>
      </c>
      <c r="BU35" s="72">
        <f>Calc_Financing_Ops!BU23</f>
        <v/>
      </c>
      <c r="BV35" s="72">
        <f>Calc_Financing_Ops!BV23</f>
        <v/>
      </c>
      <c r="BW35" s="72">
        <f>Calc_Financing_Ops!BW23</f>
        <v/>
      </c>
      <c r="BX35" s="72">
        <f>Calc_Financing_Ops!BX23</f>
        <v/>
      </c>
      <c r="BY35" s="72">
        <f>Calc_Financing_Ops!BY23</f>
        <v/>
      </c>
      <c r="BZ35" s="72">
        <f>Calc_Financing_Ops!BZ23</f>
        <v/>
      </c>
      <c r="CA35" s="72">
        <f>Calc_Financing_Ops!CA23</f>
        <v/>
      </c>
      <c r="CB35" s="72">
        <f>Calc_Financing_Ops!CB23</f>
        <v/>
      </c>
      <c r="CC35" s="72">
        <f>Calc_Financing_Ops!CC23</f>
        <v/>
      </c>
      <c r="CD35" s="72">
        <f>Calc_Financing_Ops!CD23</f>
        <v/>
      </c>
    </row>
    <row r="36">
      <c r="A36" t="inlineStr">
        <is>
          <t>Paid-in Capital ($)</t>
        </is>
      </c>
      <c r="C36" s="77">
        <f>Calc_Capex!$Z$13+C24</f>
        <v/>
      </c>
      <c r="D36" s="77">
        <f>C36+D24</f>
        <v/>
      </c>
      <c r="E36" s="77">
        <f>D36+E24</f>
        <v/>
      </c>
      <c r="F36" s="77">
        <f>E36+F24</f>
        <v/>
      </c>
      <c r="G36" s="77">
        <f>F36+G24</f>
        <v/>
      </c>
      <c r="H36" s="77">
        <f>G36+H24</f>
        <v/>
      </c>
      <c r="I36" s="77">
        <f>H36+I24</f>
        <v/>
      </c>
      <c r="J36" s="77">
        <f>I36+J24</f>
        <v/>
      </c>
      <c r="K36" s="77">
        <f>J36+K24</f>
        <v/>
      </c>
      <c r="L36" s="77">
        <f>K36+L24</f>
        <v/>
      </c>
      <c r="M36" s="77">
        <f>L36+M24</f>
        <v/>
      </c>
      <c r="N36" s="77">
        <f>M36+N24</f>
        <v/>
      </c>
      <c r="O36" s="77">
        <f>N36+O24</f>
        <v/>
      </c>
      <c r="P36" s="77">
        <f>O36+P24</f>
        <v/>
      </c>
      <c r="Q36" s="77">
        <f>P36+Q24</f>
        <v/>
      </c>
      <c r="R36" s="77">
        <f>Q36+R24</f>
        <v/>
      </c>
      <c r="S36" s="77">
        <f>R36+S24</f>
        <v/>
      </c>
      <c r="T36" s="77">
        <f>S36+T24</f>
        <v/>
      </c>
      <c r="U36" s="77">
        <f>T36+U24</f>
        <v/>
      </c>
      <c r="V36" s="77">
        <f>U36+V24</f>
        <v/>
      </c>
      <c r="W36" s="77">
        <f>V36+W24</f>
        <v/>
      </c>
      <c r="X36" s="77">
        <f>W36+X24</f>
        <v/>
      </c>
      <c r="Y36" s="77">
        <f>X36+Y24</f>
        <v/>
      </c>
      <c r="Z36" s="77">
        <f>Y36+Z24</f>
        <v/>
      </c>
      <c r="AA36" s="77">
        <f>Z36+AA24</f>
        <v/>
      </c>
      <c r="AB36" s="77">
        <f>AA36+AB24</f>
        <v/>
      </c>
      <c r="AC36" s="77">
        <f>AB36+AC24</f>
        <v/>
      </c>
      <c r="AD36" s="77">
        <f>AC36+AD24</f>
        <v/>
      </c>
      <c r="AE36" s="77">
        <f>AD36+AE24</f>
        <v/>
      </c>
      <c r="AF36" s="77">
        <f>AE36+AF24</f>
        <v/>
      </c>
      <c r="AG36" s="77">
        <f>AF36+AG24</f>
        <v/>
      </c>
      <c r="AH36" s="77">
        <f>AG36+AH24</f>
        <v/>
      </c>
      <c r="AI36" s="77">
        <f>AH36+AI24</f>
        <v/>
      </c>
      <c r="AJ36" s="77">
        <f>AI36+AJ24</f>
        <v/>
      </c>
      <c r="AK36" s="77">
        <f>AJ36+AK24</f>
        <v/>
      </c>
      <c r="AL36" s="77">
        <f>AK36+AL24</f>
        <v/>
      </c>
      <c r="AM36" s="77">
        <f>AL36+AM24</f>
        <v/>
      </c>
      <c r="AN36" s="77">
        <f>AM36+AN24</f>
        <v/>
      </c>
      <c r="AO36" s="77">
        <f>AN36+AO24</f>
        <v/>
      </c>
      <c r="AP36" s="77">
        <f>AO36+AP24</f>
        <v/>
      </c>
      <c r="AQ36" s="77">
        <f>AP36+AQ24</f>
        <v/>
      </c>
      <c r="AR36" s="77">
        <f>AQ36+AR24</f>
        <v/>
      </c>
      <c r="AS36" s="77">
        <f>AR36+AS24</f>
        <v/>
      </c>
      <c r="AT36" s="77">
        <f>AS36+AT24</f>
        <v/>
      </c>
      <c r="AU36" s="77">
        <f>AT36+AU24</f>
        <v/>
      </c>
      <c r="AV36" s="77">
        <f>AU36+AV24</f>
        <v/>
      </c>
      <c r="AW36" s="77">
        <f>AV36+AW24</f>
        <v/>
      </c>
      <c r="AX36" s="77">
        <f>AW36+AX24</f>
        <v/>
      </c>
      <c r="AY36" s="77">
        <f>AX36+AY24</f>
        <v/>
      </c>
      <c r="AZ36" s="77">
        <f>AY36+AZ24</f>
        <v/>
      </c>
      <c r="BA36" s="77">
        <f>AZ36+BA24</f>
        <v/>
      </c>
      <c r="BB36" s="77">
        <f>BA36+BB24</f>
        <v/>
      </c>
      <c r="BC36" s="77">
        <f>BB36+BC24</f>
        <v/>
      </c>
      <c r="BD36" s="77">
        <f>BC36+BD24</f>
        <v/>
      </c>
      <c r="BE36" s="77">
        <f>BD36+BE24</f>
        <v/>
      </c>
      <c r="BF36" s="77">
        <f>BE36+BF24</f>
        <v/>
      </c>
      <c r="BG36" s="77">
        <f>BF36+BG24</f>
        <v/>
      </c>
      <c r="BH36" s="77">
        <f>BG36+BH24</f>
        <v/>
      </c>
      <c r="BI36" s="77">
        <f>BH36+BI24</f>
        <v/>
      </c>
      <c r="BJ36" s="77">
        <f>BI36+BJ24</f>
        <v/>
      </c>
      <c r="BK36" s="77">
        <f>BJ36+BK24</f>
        <v/>
      </c>
      <c r="BL36" s="77">
        <f>BK36+BL24</f>
        <v/>
      </c>
      <c r="BM36" s="77">
        <f>BL36+BM24</f>
        <v/>
      </c>
      <c r="BN36" s="77">
        <f>BM36+BN24</f>
        <v/>
      </c>
      <c r="BO36" s="77">
        <f>BN36+BO24</f>
        <v/>
      </c>
      <c r="BP36" s="77">
        <f>BO36+BP24</f>
        <v/>
      </c>
      <c r="BQ36" s="77">
        <f>BP36+BQ24</f>
        <v/>
      </c>
      <c r="BR36" s="77">
        <f>BQ36+BR24</f>
        <v/>
      </c>
      <c r="BS36" s="77">
        <f>BR36+BS24</f>
        <v/>
      </c>
      <c r="BT36" s="77">
        <f>BS36+BT24</f>
        <v/>
      </c>
      <c r="BU36" s="77">
        <f>BT36+BU24</f>
        <v/>
      </c>
      <c r="BV36" s="77">
        <f>BU36+BV24</f>
        <v/>
      </c>
      <c r="BW36" s="77">
        <f>BV36+BW24</f>
        <v/>
      </c>
      <c r="BX36" s="77">
        <f>BW36+BX24</f>
        <v/>
      </c>
      <c r="BY36" s="77">
        <f>BX36+BY24</f>
        <v/>
      </c>
      <c r="BZ36" s="77">
        <f>BY36+BZ24</f>
        <v/>
      </c>
      <c r="CA36" s="77">
        <f>BZ36+CA24</f>
        <v/>
      </c>
      <c r="CB36" s="77">
        <f>CA36+CB24</f>
        <v/>
      </c>
      <c r="CC36" s="77">
        <f>CB36+CC24</f>
        <v/>
      </c>
      <c r="CD36" s="77">
        <f>CC36+CD24</f>
        <v/>
      </c>
    </row>
    <row r="37">
      <c r="A37" t="inlineStr">
        <is>
          <t>Retained Earnings ($)</t>
        </is>
      </c>
      <c r="C37" s="77">
        <f>C14-C23</f>
        <v/>
      </c>
      <c r="D37" s="77">
        <f>C37+D14-D23</f>
        <v/>
      </c>
      <c r="E37" s="77">
        <f>D37+E14-E23</f>
        <v/>
      </c>
      <c r="F37" s="77">
        <f>E37+F14-F23</f>
        <v/>
      </c>
      <c r="G37" s="77">
        <f>F37+G14-G23</f>
        <v/>
      </c>
      <c r="H37" s="77">
        <f>G37+H14-H23</f>
        <v/>
      </c>
      <c r="I37" s="77">
        <f>H37+I14-I23</f>
        <v/>
      </c>
      <c r="J37" s="77">
        <f>I37+J14-J23</f>
        <v/>
      </c>
      <c r="K37" s="77">
        <f>J37+K14-K23</f>
        <v/>
      </c>
      <c r="L37" s="77">
        <f>K37+L14-L23</f>
        <v/>
      </c>
      <c r="M37" s="77">
        <f>L37+M14-M23</f>
        <v/>
      </c>
      <c r="N37" s="77">
        <f>M37+N14-N23</f>
        <v/>
      </c>
      <c r="O37" s="77">
        <f>N37+O14-O23</f>
        <v/>
      </c>
      <c r="P37" s="77">
        <f>O37+P14-P23</f>
        <v/>
      </c>
      <c r="Q37" s="77">
        <f>P37+Q14-Q23</f>
        <v/>
      </c>
      <c r="R37" s="77">
        <f>Q37+R14-R23</f>
        <v/>
      </c>
      <c r="S37" s="77">
        <f>R37+S14-S23</f>
        <v/>
      </c>
      <c r="T37" s="77">
        <f>S37+T14-T23</f>
        <v/>
      </c>
      <c r="U37" s="77">
        <f>T37+U14-U23</f>
        <v/>
      </c>
      <c r="V37" s="77">
        <f>U37+V14-V23</f>
        <v/>
      </c>
      <c r="W37" s="77">
        <f>V37+W14-W23</f>
        <v/>
      </c>
      <c r="X37" s="77">
        <f>W37+X14-X23</f>
        <v/>
      </c>
      <c r="Y37" s="77">
        <f>X37+Y14-Y23</f>
        <v/>
      </c>
      <c r="Z37" s="77">
        <f>Y37+Z14-Z23</f>
        <v/>
      </c>
      <c r="AA37" s="77">
        <f>Z37+AA14-AA23</f>
        <v/>
      </c>
      <c r="AB37" s="77">
        <f>AA37+AB14-AB23</f>
        <v/>
      </c>
      <c r="AC37" s="77">
        <f>AB37+AC14-AC23</f>
        <v/>
      </c>
      <c r="AD37" s="77">
        <f>AC37+AD14-AD23</f>
        <v/>
      </c>
      <c r="AE37" s="77">
        <f>AD37+AE14-AE23</f>
        <v/>
      </c>
      <c r="AF37" s="77">
        <f>AE37+AF14-AF23</f>
        <v/>
      </c>
      <c r="AG37" s="77">
        <f>AF37+AG14-AG23</f>
        <v/>
      </c>
      <c r="AH37" s="77">
        <f>AG37+AH14-AH23</f>
        <v/>
      </c>
      <c r="AI37" s="77">
        <f>AH37+AI14-AI23</f>
        <v/>
      </c>
      <c r="AJ37" s="77">
        <f>AI37+AJ14-AJ23</f>
        <v/>
      </c>
      <c r="AK37" s="77">
        <f>AJ37+AK14-AK23</f>
        <v/>
      </c>
      <c r="AL37" s="77">
        <f>AK37+AL14-AL23</f>
        <v/>
      </c>
      <c r="AM37" s="77">
        <f>AL37+AM14-AM23</f>
        <v/>
      </c>
      <c r="AN37" s="77">
        <f>AM37+AN14-AN23</f>
        <v/>
      </c>
      <c r="AO37" s="77">
        <f>AN37+AO14-AO23</f>
        <v/>
      </c>
      <c r="AP37" s="77">
        <f>AO37+AP14-AP23</f>
        <v/>
      </c>
      <c r="AQ37" s="77">
        <f>AP37+AQ14-AQ23</f>
        <v/>
      </c>
      <c r="AR37" s="77">
        <f>AQ37+AR14-AR23</f>
        <v/>
      </c>
      <c r="AS37" s="77">
        <f>AR37+AS14-AS23</f>
        <v/>
      </c>
      <c r="AT37" s="77">
        <f>AS37+AT14-AT23</f>
        <v/>
      </c>
      <c r="AU37" s="77">
        <f>AT37+AU14-AU23</f>
        <v/>
      </c>
      <c r="AV37" s="77">
        <f>AU37+AV14-AV23</f>
        <v/>
      </c>
      <c r="AW37" s="77">
        <f>AV37+AW14-AW23</f>
        <v/>
      </c>
      <c r="AX37" s="77">
        <f>AW37+AX14-AX23</f>
        <v/>
      </c>
      <c r="AY37" s="77">
        <f>AX37+AY14-AY23</f>
        <v/>
      </c>
      <c r="AZ37" s="77">
        <f>AY37+AZ14-AZ23</f>
        <v/>
      </c>
      <c r="BA37" s="77">
        <f>AZ37+BA14-BA23</f>
        <v/>
      </c>
      <c r="BB37" s="77">
        <f>BA37+BB14-BB23</f>
        <v/>
      </c>
      <c r="BC37" s="77">
        <f>BB37+BC14-BC23</f>
        <v/>
      </c>
      <c r="BD37" s="77">
        <f>BC37+BD14-BD23</f>
        <v/>
      </c>
      <c r="BE37" s="77">
        <f>BD37+BE14-BE23</f>
        <v/>
      </c>
      <c r="BF37" s="77">
        <f>BE37+BF14-BF23</f>
        <v/>
      </c>
      <c r="BG37" s="77">
        <f>BF37+BG14-BG23</f>
        <v/>
      </c>
      <c r="BH37" s="77">
        <f>BG37+BH14-BH23</f>
        <v/>
      </c>
      <c r="BI37" s="77">
        <f>BH37+BI14-BI23</f>
        <v/>
      </c>
      <c r="BJ37" s="77">
        <f>BI37+BJ14-BJ23</f>
        <v/>
      </c>
      <c r="BK37" s="77">
        <f>BJ37+BK14-BK23</f>
        <v/>
      </c>
      <c r="BL37" s="77">
        <f>BK37+BL14-BL23</f>
        <v/>
      </c>
      <c r="BM37" s="77">
        <f>BL37+BM14-BM23</f>
        <v/>
      </c>
      <c r="BN37" s="77">
        <f>BM37+BN14-BN23</f>
        <v/>
      </c>
      <c r="BO37" s="77">
        <f>BN37+BO14-BO23</f>
        <v/>
      </c>
      <c r="BP37" s="77">
        <f>BO37+BP14-BP23</f>
        <v/>
      </c>
      <c r="BQ37" s="77">
        <f>BP37+BQ14-BQ23</f>
        <v/>
      </c>
      <c r="BR37" s="77">
        <f>BQ37+BR14-BR23</f>
        <v/>
      </c>
      <c r="BS37" s="77">
        <f>BR37+BS14-BS23</f>
        <v/>
      </c>
      <c r="BT37" s="77">
        <f>BS37+BT14-BT23</f>
        <v/>
      </c>
      <c r="BU37" s="77">
        <f>BT37+BU14-BU23</f>
        <v/>
      </c>
      <c r="BV37" s="77">
        <f>BU37+BV14-BV23</f>
        <v/>
      </c>
      <c r="BW37" s="77">
        <f>BV37+BW14-BW23</f>
        <v/>
      </c>
      <c r="BX37" s="77">
        <f>BW37+BX14-BX23</f>
        <v/>
      </c>
      <c r="BY37" s="77">
        <f>BX37+BY14-BY23</f>
        <v/>
      </c>
      <c r="BZ37" s="77">
        <f>BY37+BZ14-BZ23</f>
        <v/>
      </c>
      <c r="CA37" s="77">
        <f>BZ37+CA14-CA23</f>
        <v/>
      </c>
      <c r="CB37" s="77">
        <f>CA37+CB14-CB23</f>
        <v/>
      </c>
      <c r="CC37" s="77">
        <f>CB37+CC14-CC23</f>
        <v/>
      </c>
      <c r="CD37" s="77">
        <f>CC37+CD14-CD23</f>
        <v/>
      </c>
    </row>
    <row r="38">
      <c r="A38" t="inlineStr">
        <is>
          <t>Total Equity ($)</t>
        </is>
      </c>
      <c r="C38" s="77">
        <f>C36+C37</f>
        <v/>
      </c>
      <c r="D38" s="77">
        <f>D36+D37</f>
        <v/>
      </c>
      <c r="E38" s="77">
        <f>E36+E37</f>
        <v/>
      </c>
      <c r="F38" s="77">
        <f>F36+F37</f>
        <v/>
      </c>
      <c r="G38" s="77">
        <f>G36+G37</f>
        <v/>
      </c>
      <c r="H38" s="77">
        <f>H36+H37</f>
        <v/>
      </c>
      <c r="I38" s="77">
        <f>I36+I37</f>
        <v/>
      </c>
      <c r="J38" s="77">
        <f>J36+J37</f>
        <v/>
      </c>
      <c r="K38" s="77">
        <f>K36+K37</f>
        <v/>
      </c>
      <c r="L38" s="77">
        <f>L36+L37</f>
        <v/>
      </c>
      <c r="M38" s="77">
        <f>M36+M37</f>
        <v/>
      </c>
      <c r="N38" s="77">
        <f>N36+N37</f>
        <v/>
      </c>
      <c r="O38" s="77">
        <f>O36+O37</f>
        <v/>
      </c>
      <c r="P38" s="77">
        <f>P36+P37</f>
        <v/>
      </c>
      <c r="Q38" s="77">
        <f>Q36+Q37</f>
        <v/>
      </c>
      <c r="R38" s="77">
        <f>R36+R37</f>
        <v/>
      </c>
      <c r="S38" s="77">
        <f>S36+S37</f>
        <v/>
      </c>
      <c r="T38" s="77">
        <f>T36+T37</f>
        <v/>
      </c>
      <c r="U38" s="77">
        <f>U36+U37</f>
        <v/>
      </c>
      <c r="V38" s="77">
        <f>V36+V37</f>
        <v/>
      </c>
      <c r="W38" s="77">
        <f>W36+W37</f>
        <v/>
      </c>
      <c r="X38" s="77">
        <f>X36+X37</f>
        <v/>
      </c>
      <c r="Y38" s="77">
        <f>Y36+Y37</f>
        <v/>
      </c>
      <c r="Z38" s="77">
        <f>Z36+Z37</f>
        <v/>
      </c>
      <c r="AA38" s="77">
        <f>AA36+AA37</f>
        <v/>
      </c>
      <c r="AB38" s="77">
        <f>AB36+AB37</f>
        <v/>
      </c>
      <c r="AC38" s="77">
        <f>AC36+AC37</f>
        <v/>
      </c>
      <c r="AD38" s="77">
        <f>AD36+AD37</f>
        <v/>
      </c>
      <c r="AE38" s="77">
        <f>AE36+AE37</f>
        <v/>
      </c>
      <c r="AF38" s="77">
        <f>AF36+AF37</f>
        <v/>
      </c>
      <c r="AG38" s="77">
        <f>AG36+AG37</f>
        <v/>
      </c>
      <c r="AH38" s="77">
        <f>AH36+AH37</f>
        <v/>
      </c>
      <c r="AI38" s="77">
        <f>AI36+AI37</f>
        <v/>
      </c>
      <c r="AJ38" s="77">
        <f>AJ36+AJ37</f>
        <v/>
      </c>
      <c r="AK38" s="77">
        <f>AK36+AK37</f>
        <v/>
      </c>
      <c r="AL38" s="77">
        <f>AL36+AL37</f>
        <v/>
      </c>
      <c r="AM38" s="77">
        <f>AM36+AM37</f>
        <v/>
      </c>
      <c r="AN38" s="77">
        <f>AN36+AN37</f>
        <v/>
      </c>
      <c r="AO38" s="77">
        <f>AO36+AO37</f>
        <v/>
      </c>
      <c r="AP38" s="77">
        <f>AP36+AP37</f>
        <v/>
      </c>
      <c r="AQ38" s="77">
        <f>AQ36+AQ37</f>
        <v/>
      </c>
      <c r="AR38" s="77">
        <f>AR36+AR37</f>
        <v/>
      </c>
      <c r="AS38" s="77">
        <f>AS36+AS37</f>
        <v/>
      </c>
      <c r="AT38" s="77">
        <f>AT36+AT37</f>
        <v/>
      </c>
      <c r="AU38" s="77">
        <f>AU36+AU37</f>
        <v/>
      </c>
      <c r="AV38" s="77">
        <f>AV36+AV37</f>
        <v/>
      </c>
      <c r="AW38" s="77">
        <f>AW36+AW37</f>
        <v/>
      </c>
      <c r="AX38" s="77">
        <f>AX36+AX37</f>
        <v/>
      </c>
      <c r="AY38" s="77">
        <f>AY36+AY37</f>
        <v/>
      </c>
      <c r="AZ38" s="77">
        <f>AZ36+AZ37</f>
        <v/>
      </c>
      <c r="BA38" s="77">
        <f>BA36+BA37</f>
        <v/>
      </c>
      <c r="BB38" s="77">
        <f>BB36+BB37</f>
        <v/>
      </c>
      <c r="BC38" s="77">
        <f>BC36+BC37</f>
        <v/>
      </c>
      <c r="BD38" s="77">
        <f>BD36+BD37</f>
        <v/>
      </c>
      <c r="BE38" s="77">
        <f>BE36+BE37</f>
        <v/>
      </c>
      <c r="BF38" s="77">
        <f>BF36+BF37</f>
        <v/>
      </c>
      <c r="BG38" s="77">
        <f>BG36+BG37</f>
        <v/>
      </c>
      <c r="BH38" s="77">
        <f>BH36+BH37</f>
        <v/>
      </c>
      <c r="BI38" s="77">
        <f>BI36+BI37</f>
        <v/>
      </c>
      <c r="BJ38" s="77">
        <f>BJ36+BJ37</f>
        <v/>
      </c>
      <c r="BK38" s="77">
        <f>BK36+BK37</f>
        <v/>
      </c>
      <c r="BL38" s="77">
        <f>BL36+BL37</f>
        <v/>
      </c>
      <c r="BM38" s="77">
        <f>BM36+BM37</f>
        <v/>
      </c>
      <c r="BN38" s="77">
        <f>BN36+BN37</f>
        <v/>
      </c>
      <c r="BO38" s="77">
        <f>BO36+BO37</f>
        <v/>
      </c>
      <c r="BP38" s="77">
        <f>BP36+BP37</f>
        <v/>
      </c>
      <c r="BQ38" s="77">
        <f>BQ36+BQ37</f>
        <v/>
      </c>
      <c r="BR38" s="77">
        <f>BR36+BR37</f>
        <v/>
      </c>
      <c r="BS38" s="77">
        <f>BS36+BS37</f>
        <v/>
      </c>
      <c r="BT38" s="77">
        <f>BT36+BT37</f>
        <v/>
      </c>
      <c r="BU38" s="77">
        <f>BU36+BU37</f>
        <v/>
      </c>
      <c r="BV38" s="77">
        <f>BV36+BV37</f>
        <v/>
      </c>
      <c r="BW38" s="77">
        <f>BW36+BW37</f>
        <v/>
      </c>
      <c r="BX38" s="77">
        <f>BX36+BX37</f>
        <v/>
      </c>
      <c r="BY38" s="77">
        <f>BY36+BY37</f>
        <v/>
      </c>
      <c r="BZ38" s="77">
        <f>BZ36+BZ37</f>
        <v/>
      </c>
      <c r="CA38" s="77">
        <f>CA36+CA37</f>
        <v/>
      </c>
      <c r="CB38" s="77">
        <f>CB36+CB37</f>
        <v/>
      </c>
      <c r="CC38" s="77">
        <f>CC36+CC37</f>
        <v/>
      </c>
      <c r="CD38" s="77">
        <f>CD36+CD37</f>
        <v/>
      </c>
    </row>
    <row r="39">
      <c r="A39" t="inlineStr">
        <is>
          <t>Total Liabilities + Equity ($)</t>
        </is>
      </c>
      <c r="C39" s="77">
        <f>C35+C38</f>
        <v/>
      </c>
      <c r="D39" s="77">
        <f>D35+D38</f>
        <v/>
      </c>
      <c r="E39" s="77">
        <f>E35+E38</f>
        <v/>
      </c>
      <c r="F39" s="77">
        <f>F35+F38</f>
        <v/>
      </c>
      <c r="G39" s="77">
        <f>G35+G38</f>
        <v/>
      </c>
      <c r="H39" s="77">
        <f>H35+H38</f>
        <v/>
      </c>
      <c r="I39" s="77">
        <f>I35+I38</f>
        <v/>
      </c>
      <c r="J39" s="77">
        <f>J35+J38</f>
        <v/>
      </c>
      <c r="K39" s="77">
        <f>K35+K38</f>
        <v/>
      </c>
      <c r="L39" s="77">
        <f>L35+L38</f>
        <v/>
      </c>
      <c r="M39" s="77">
        <f>M35+M38</f>
        <v/>
      </c>
      <c r="N39" s="77">
        <f>N35+N38</f>
        <v/>
      </c>
      <c r="O39" s="77">
        <f>O35+O38</f>
        <v/>
      </c>
      <c r="P39" s="77">
        <f>P35+P38</f>
        <v/>
      </c>
      <c r="Q39" s="77">
        <f>Q35+Q38</f>
        <v/>
      </c>
      <c r="R39" s="77">
        <f>R35+R38</f>
        <v/>
      </c>
      <c r="S39" s="77">
        <f>S35+S38</f>
        <v/>
      </c>
      <c r="T39" s="77">
        <f>T35+T38</f>
        <v/>
      </c>
      <c r="U39" s="77">
        <f>U35+U38</f>
        <v/>
      </c>
      <c r="V39" s="77">
        <f>V35+V38</f>
        <v/>
      </c>
      <c r="W39" s="77">
        <f>W35+W38</f>
        <v/>
      </c>
      <c r="X39" s="77">
        <f>X35+X38</f>
        <v/>
      </c>
      <c r="Y39" s="77">
        <f>Y35+Y38</f>
        <v/>
      </c>
      <c r="Z39" s="77">
        <f>Z35+Z38</f>
        <v/>
      </c>
      <c r="AA39" s="77">
        <f>AA35+AA38</f>
        <v/>
      </c>
      <c r="AB39" s="77">
        <f>AB35+AB38</f>
        <v/>
      </c>
      <c r="AC39" s="77">
        <f>AC35+AC38</f>
        <v/>
      </c>
      <c r="AD39" s="77">
        <f>AD35+AD38</f>
        <v/>
      </c>
      <c r="AE39" s="77">
        <f>AE35+AE38</f>
        <v/>
      </c>
      <c r="AF39" s="77">
        <f>AF35+AF38</f>
        <v/>
      </c>
      <c r="AG39" s="77">
        <f>AG35+AG38</f>
        <v/>
      </c>
      <c r="AH39" s="77">
        <f>AH35+AH38</f>
        <v/>
      </c>
      <c r="AI39" s="77">
        <f>AI35+AI38</f>
        <v/>
      </c>
      <c r="AJ39" s="77">
        <f>AJ35+AJ38</f>
        <v/>
      </c>
      <c r="AK39" s="77">
        <f>AK35+AK38</f>
        <v/>
      </c>
      <c r="AL39" s="77">
        <f>AL35+AL38</f>
        <v/>
      </c>
      <c r="AM39" s="77">
        <f>AM35+AM38</f>
        <v/>
      </c>
      <c r="AN39" s="77">
        <f>AN35+AN38</f>
        <v/>
      </c>
      <c r="AO39" s="77">
        <f>AO35+AO38</f>
        <v/>
      </c>
      <c r="AP39" s="77">
        <f>AP35+AP38</f>
        <v/>
      </c>
      <c r="AQ39" s="77">
        <f>AQ35+AQ38</f>
        <v/>
      </c>
      <c r="AR39" s="77">
        <f>AR35+AR38</f>
        <v/>
      </c>
      <c r="AS39" s="77">
        <f>AS35+AS38</f>
        <v/>
      </c>
      <c r="AT39" s="77">
        <f>AT35+AT38</f>
        <v/>
      </c>
      <c r="AU39" s="77">
        <f>AU35+AU38</f>
        <v/>
      </c>
      <c r="AV39" s="77">
        <f>AV35+AV38</f>
        <v/>
      </c>
      <c r="AW39" s="77">
        <f>AW35+AW38</f>
        <v/>
      </c>
      <c r="AX39" s="77">
        <f>AX35+AX38</f>
        <v/>
      </c>
      <c r="AY39" s="77">
        <f>AY35+AY38</f>
        <v/>
      </c>
      <c r="AZ39" s="77">
        <f>AZ35+AZ38</f>
        <v/>
      </c>
      <c r="BA39" s="77">
        <f>BA35+BA38</f>
        <v/>
      </c>
      <c r="BB39" s="77">
        <f>BB35+BB38</f>
        <v/>
      </c>
      <c r="BC39" s="77">
        <f>BC35+BC38</f>
        <v/>
      </c>
      <c r="BD39" s="77">
        <f>BD35+BD38</f>
        <v/>
      </c>
      <c r="BE39" s="77">
        <f>BE35+BE38</f>
        <v/>
      </c>
      <c r="BF39" s="77">
        <f>BF35+BF38</f>
        <v/>
      </c>
      <c r="BG39" s="77">
        <f>BG35+BG38</f>
        <v/>
      </c>
      <c r="BH39" s="77">
        <f>BH35+BH38</f>
        <v/>
      </c>
      <c r="BI39" s="77">
        <f>BI35+BI38</f>
        <v/>
      </c>
      <c r="BJ39" s="77">
        <f>BJ35+BJ38</f>
        <v/>
      </c>
      <c r="BK39" s="77">
        <f>BK35+BK38</f>
        <v/>
      </c>
      <c r="BL39" s="77">
        <f>BL35+BL38</f>
        <v/>
      </c>
      <c r="BM39" s="77">
        <f>BM35+BM38</f>
        <v/>
      </c>
      <c r="BN39" s="77">
        <f>BN35+BN38</f>
        <v/>
      </c>
      <c r="BO39" s="77">
        <f>BO35+BO38</f>
        <v/>
      </c>
      <c r="BP39" s="77">
        <f>BP35+BP38</f>
        <v/>
      </c>
      <c r="BQ39" s="77">
        <f>BQ35+BQ38</f>
        <v/>
      </c>
      <c r="BR39" s="77">
        <f>BR35+BR38</f>
        <v/>
      </c>
      <c r="BS39" s="77">
        <f>BS35+BS38</f>
        <v/>
      </c>
      <c r="BT39" s="77">
        <f>BT35+BT38</f>
        <v/>
      </c>
      <c r="BU39" s="77">
        <f>BU35+BU38</f>
        <v/>
      </c>
      <c r="BV39" s="77">
        <f>BV35+BV38</f>
        <v/>
      </c>
      <c r="BW39" s="77">
        <f>BW35+BW38</f>
        <v/>
      </c>
      <c r="BX39" s="77">
        <f>BX35+BX38</f>
        <v/>
      </c>
      <c r="BY39" s="77">
        <f>BY35+BY38</f>
        <v/>
      </c>
      <c r="BZ39" s="77">
        <f>BZ35+BZ38</f>
        <v/>
      </c>
      <c r="CA39" s="77">
        <f>CA35+CA38</f>
        <v/>
      </c>
      <c r="CB39" s="77">
        <f>CB35+CB38</f>
        <v/>
      </c>
      <c r="CC39" s="77">
        <f>CC35+CC38</f>
        <v/>
      </c>
      <c r="CD39" s="77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2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2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3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72">
        <f>SUM(FS_Quarterly!C5:F5)</f>
        <v/>
      </c>
      <c r="D4" s="72">
        <f>SUM(FS_Quarterly!G5:J5)</f>
        <v/>
      </c>
      <c r="E4" s="72">
        <f>SUM(FS_Quarterly!K5:N5)</f>
        <v/>
      </c>
      <c r="F4" s="72">
        <f>SUM(FS_Quarterly!O5:R5)</f>
        <v/>
      </c>
      <c r="G4" s="72">
        <f>SUM(FS_Quarterly!S5:V5)</f>
        <v/>
      </c>
      <c r="H4" s="72">
        <f>SUM(FS_Quarterly!W5:Z5)</f>
        <v/>
      </c>
      <c r="I4" s="72">
        <f>SUM(FS_Quarterly!AA5:AD5)</f>
        <v/>
      </c>
      <c r="J4" s="72">
        <f>SUM(FS_Quarterly!AE5:AH5)</f>
        <v/>
      </c>
      <c r="K4" s="72">
        <f>SUM(FS_Quarterly!AI5:AL5)</f>
        <v/>
      </c>
      <c r="L4" s="72">
        <f>SUM(FS_Quarterly!AM5:AP5)</f>
        <v/>
      </c>
      <c r="M4" s="72">
        <f>SUM(FS_Quarterly!AQ5:AT5)</f>
        <v/>
      </c>
      <c r="N4" s="72">
        <f>SUM(FS_Quarterly!AU5:AX5)</f>
        <v/>
      </c>
      <c r="O4" s="72">
        <f>SUM(FS_Quarterly!AY5:BB5)</f>
        <v/>
      </c>
      <c r="P4" s="72">
        <f>SUM(FS_Quarterly!BC5:BF5)</f>
        <v/>
      </c>
      <c r="Q4" s="72">
        <f>SUM(FS_Quarterly!BG5:BJ5)</f>
        <v/>
      </c>
      <c r="R4" s="72">
        <f>SUM(FS_Quarterly!BK5:BN5)</f>
        <v/>
      </c>
      <c r="S4" s="72">
        <f>SUM(FS_Quarterly!BO5:BR5)</f>
        <v/>
      </c>
      <c r="T4" s="72">
        <f>SUM(FS_Quarterly!BS5:BV5)</f>
        <v/>
      </c>
      <c r="U4" s="72">
        <f>SUM(FS_Quarterly!BW5:BZ5)</f>
        <v/>
      </c>
      <c r="V4" s="72">
        <f>SUM(FS_Quarterly!CA5:CD5)</f>
        <v/>
      </c>
    </row>
    <row r="5">
      <c r="A5" t="inlineStr">
        <is>
          <t>EBITDA ($) — annual sum</t>
        </is>
      </c>
      <c r="C5" s="72">
        <f>SUM(FS_Quarterly!C7:F7)</f>
        <v/>
      </c>
      <c r="D5" s="72">
        <f>SUM(FS_Quarterly!G7:J7)</f>
        <v/>
      </c>
      <c r="E5" s="72">
        <f>SUM(FS_Quarterly!K7:N7)</f>
        <v/>
      </c>
      <c r="F5" s="72">
        <f>SUM(FS_Quarterly!O7:R7)</f>
        <v/>
      </c>
      <c r="G5" s="72">
        <f>SUM(FS_Quarterly!S7:V7)</f>
        <v/>
      </c>
      <c r="H5" s="72">
        <f>SUM(FS_Quarterly!W7:Z7)</f>
        <v/>
      </c>
      <c r="I5" s="72">
        <f>SUM(FS_Quarterly!AA7:AD7)</f>
        <v/>
      </c>
      <c r="J5" s="72">
        <f>SUM(FS_Quarterly!AE7:AH7)</f>
        <v/>
      </c>
      <c r="K5" s="72">
        <f>SUM(FS_Quarterly!AI7:AL7)</f>
        <v/>
      </c>
      <c r="L5" s="72">
        <f>SUM(FS_Quarterly!AM7:AP7)</f>
        <v/>
      </c>
      <c r="M5" s="72">
        <f>SUM(FS_Quarterly!AQ7:AT7)</f>
        <v/>
      </c>
      <c r="N5" s="72">
        <f>SUM(FS_Quarterly!AU7:AX7)</f>
        <v/>
      </c>
      <c r="O5" s="72">
        <f>SUM(FS_Quarterly!AY7:BB7)</f>
        <v/>
      </c>
      <c r="P5" s="72">
        <f>SUM(FS_Quarterly!BC7:BF7)</f>
        <v/>
      </c>
      <c r="Q5" s="72">
        <f>SUM(FS_Quarterly!BG7:BJ7)</f>
        <v/>
      </c>
      <c r="R5" s="72">
        <f>SUM(FS_Quarterly!BK7:BN7)</f>
        <v/>
      </c>
      <c r="S5" s="72">
        <f>SUM(FS_Quarterly!BO7:BR7)</f>
        <v/>
      </c>
      <c r="T5" s="72">
        <f>SUM(FS_Quarterly!BS7:BV7)</f>
        <v/>
      </c>
      <c r="U5" s="72">
        <f>SUM(FS_Quarterly!BW7:BZ7)</f>
        <v/>
      </c>
      <c r="V5" s="72">
        <f>SUM(FS_Quarterly!CA7:CD7)</f>
        <v/>
      </c>
    </row>
    <row r="6">
      <c r="A6" t="inlineStr">
        <is>
          <t>Net Income ($) — annual sum</t>
        </is>
      </c>
      <c r="C6" s="72">
        <f>SUM(FS_Quarterly!C14:F14)</f>
        <v/>
      </c>
      <c r="D6" s="72">
        <f>SUM(FS_Quarterly!G14:J14)</f>
        <v/>
      </c>
      <c r="E6" s="72">
        <f>SUM(FS_Quarterly!K14:N14)</f>
        <v/>
      </c>
      <c r="F6" s="72">
        <f>SUM(FS_Quarterly!O14:R14)</f>
        <v/>
      </c>
      <c r="G6" s="72">
        <f>SUM(FS_Quarterly!S14:V14)</f>
        <v/>
      </c>
      <c r="H6" s="72">
        <f>SUM(FS_Quarterly!W14:Z14)</f>
        <v/>
      </c>
      <c r="I6" s="72">
        <f>SUM(FS_Quarterly!AA14:AD14)</f>
        <v/>
      </c>
      <c r="J6" s="72">
        <f>SUM(FS_Quarterly!AE14:AH14)</f>
        <v/>
      </c>
      <c r="K6" s="72">
        <f>SUM(FS_Quarterly!AI14:AL14)</f>
        <v/>
      </c>
      <c r="L6" s="72">
        <f>SUM(FS_Quarterly!AM14:AP14)</f>
        <v/>
      </c>
      <c r="M6" s="72">
        <f>SUM(FS_Quarterly!AQ14:AT14)</f>
        <v/>
      </c>
      <c r="N6" s="72">
        <f>SUM(FS_Quarterly!AU14:AX14)</f>
        <v/>
      </c>
      <c r="O6" s="72">
        <f>SUM(FS_Quarterly!AY14:BB14)</f>
        <v/>
      </c>
      <c r="P6" s="72">
        <f>SUM(FS_Quarterly!BC14:BF14)</f>
        <v/>
      </c>
      <c r="Q6" s="72">
        <f>SUM(FS_Quarterly!BG14:BJ14)</f>
        <v/>
      </c>
      <c r="R6" s="72">
        <f>SUM(FS_Quarterly!BK14:BN14)</f>
        <v/>
      </c>
      <c r="S6" s="72">
        <f>SUM(FS_Quarterly!BO14:BR14)</f>
        <v/>
      </c>
      <c r="T6" s="72">
        <f>SUM(FS_Quarterly!BS14:BV14)</f>
        <v/>
      </c>
      <c r="U6" s="72">
        <f>SUM(FS_Quarterly!BW14:BZ14)</f>
        <v/>
      </c>
      <c r="V6" s="72">
        <f>SUM(FS_Quarterly!CA14:CD14)</f>
        <v/>
      </c>
    </row>
    <row r="7">
      <c r="A7" t="inlineStr">
        <is>
          <t>Cash, Closing ($) — year-end</t>
        </is>
      </c>
      <c r="C7" s="72">
        <f>FS_Quarterly!F30</f>
        <v/>
      </c>
      <c r="D7" s="72">
        <f>FS_Quarterly!J30</f>
        <v/>
      </c>
      <c r="E7" s="72">
        <f>FS_Quarterly!N30</f>
        <v/>
      </c>
      <c r="F7" s="72">
        <f>FS_Quarterly!R30</f>
        <v/>
      </c>
      <c r="G7" s="72">
        <f>FS_Quarterly!V30</f>
        <v/>
      </c>
      <c r="H7" s="72">
        <f>FS_Quarterly!Z30</f>
        <v/>
      </c>
      <c r="I7" s="72">
        <f>FS_Quarterly!AD30</f>
        <v/>
      </c>
      <c r="J7" s="72">
        <f>FS_Quarterly!AH30</f>
        <v/>
      </c>
      <c r="K7" s="72">
        <f>FS_Quarterly!AL30</f>
        <v/>
      </c>
      <c r="L7" s="72">
        <f>FS_Quarterly!AP30</f>
        <v/>
      </c>
      <c r="M7" s="72">
        <f>FS_Quarterly!AT30</f>
        <v/>
      </c>
      <c r="N7" s="72">
        <f>FS_Quarterly!AX30</f>
        <v/>
      </c>
      <c r="O7" s="72">
        <f>FS_Quarterly!BB30</f>
        <v/>
      </c>
      <c r="P7" s="72">
        <f>FS_Quarterly!BF30</f>
        <v/>
      </c>
      <c r="Q7" s="72">
        <f>FS_Quarterly!BJ30</f>
        <v/>
      </c>
      <c r="R7" s="72">
        <f>FS_Quarterly!BN30</f>
        <v/>
      </c>
      <c r="S7" s="72">
        <f>FS_Quarterly!BR30</f>
        <v/>
      </c>
      <c r="T7" s="72">
        <f>FS_Quarterly!BV30</f>
        <v/>
      </c>
      <c r="U7" s="72">
        <f>FS_Quarterly!BZ30</f>
        <v/>
      </c>
      <c r="V7" s="72">
        <f>FS_Quarterly!CD30</f>
        <v/>
      </c>
    </row>
    <row r="8">
      <c r="A8" t="inlineStr">
        <is>
          <t>Debt, Closing ($) — year-end</t>
        </is>
      </c>
      <c r="C8" s="72">
        <f>FS_Quarterly!F35</f>
        <v/>
      </c>
      <c r="D8" s="72">
        <f>FS_Quarterly!J35</f>
        <v/>
      </c>
      <c r="E8" s="72">
        <f>FS_Quarterly!N35</f>
        <v/>
      </c>
      <c r="F8" s="72">
        <f>FS_Quarterly!R35</f>
        <v/>
      </c>
      <c r="G8" s="72">
        <f>FS_Quarterly!V35</f>
        <v/>
      </c>
      <c r="H8" s="72">
        <f>FS_Quarterly!Z35</f>
        <v/>
      </c>
      <c r="I8" s="72">
        <f>FS_Quarterly!AD35</f>
        <v/>
      </c>
      <c r="J8" s="72">
        <f>FS_Quarterly!AH35</f>
        <v/>
      </c>
      <c r="K8" s="72">
        <f>FS_Quarterly!AL35</f>
        <v/>
      </c>
      <c r="L8" s="72">
        <f>FS_Quarterly!AP35</f>
        <v/>
      </c>
      <c r="M8" s="72">
        <f>FS_Quarterly!AT35</f>
        <v/>
      </c>
      <c r="N8" s="72">
        <f>FS_Quarterly!AX35</f>
        <v/>
      </c>
      <c r="O8" s="72">
        <f>FS_Quarterly!BB35</f>
        <v/>
      </c>
      <c r="P8" s="72">
        <f>FS_Quarterly!BF35</f>
        <v/>
      </c>
      <c r="Q8" s="72">
        <f>FS_Quarterly!BJ35</f>
        <v/>
      </c>
      <c r="R8" s="72">
        <f>FS_Quarterly!BN35</f>
        <v/>
      </c>
      <c r="S8" s="72">
        <f>FS_Quarterly!BR35</f>
        <v/>
      </c>
      <c r="T8" s="72">
        <f>FS_Quarterly!BV35</f>
        <v/>
      </c>
      <c r="U8" s="72">
        <f>FS_Quarterly!BZ35</f>
        <v/>
      </c>
      <c r="V8" s="72">
        <f>FS_Quarterly!CD35</f>
        <v/>
      </c>
    </row>
    <row r="9">
      <c r="A9" t="inlineStr">
        <is>
          <t>Total Equity, Closing ($) — year-end</t>
        </is>
      </c>
      <c r="C9" s="72">
        <f>FS_Quarterly!F38</f>
        <v/>
      </c>
      <c r="D9" s="72">
        <f>FS_Quarterly!J38</f>
        <v/>
      </c>
      <c r="E9" s="72">
        <f>FS_Quarterly!N38</f>
        <v/>
      </c>
      <c r="F9" s="72">
        <f>FS_Quarterly!R38</f>
        <v/>
      </c>
      <c r="G9" s="72">
        <f>FS_Quarterly!V38</f>
        <v/>
      </c>
      <c r="H9" s="72">
        <f>FS_Quarterly!Z38</f>
        <v/>
      </c>
      <c r="I9" s="72">
        <f>FS_Quarterly!AD38</f>
        <v/>
      </c>
      <c r="J9" s="72">
        <f>FS_Quarterly!AH38</f>
        <v/>
      </c>
      <c r="K9" s="72">
        <f>FS_Quarterly!AL38</f>
        <v/>
      </c>
      <c r="L9" s="72">
        <f>FS_Quarterly!AP38</f>
        <v/>
      </c>
      <c r="M9" s="72">
        <f>FS_Quarterly!AT38</f>
        <v/>
      </c>
      <c r="N9" s="72">
        <f>FS_Quarterly!AX38</f>
        <v/>
      </c>
      <c r="O9" s="72">
        <f>FS_Quarterly!BB38</f>
        <v/>
      </c>
      <c r="P9" s="72">
        <f>FS_Quarterly!BF38</f>
        <v/>
      </c>
      <c r="Q9" s="72">
        <f>FS_Quarterly!BJ38</f>
        <v/>
      </c>
      <c r="R9" s="72">
        <f>FS_Quarterly!BN38</f>
        <v/>
      </c>
      <c r="S9" s="72">
        <f>FS_Quarterly!BR38</f>
        <v/>
      </c>
      <c r="T9" s="72">
        <f>FS_Quarterly!BV38</f>
        <v/>
      </c>
      <c r="U9" s="72">
        <f>FS_Quarterly!BZ38</f>
        <v/>
      </c>
      <c r="V9" s="72">
        <f>FS_Quarterly!CD38</f>
        <v/>
      </c>
    </row>
    <row r="13">
      <c r="A13" t="inlineStr">
        <is>
          <t>XIRR Helper: Period End Date</t>
        </is>
      </c>
      <c r="C13" s="91">
        <f>Calc_Capex!C2</f>
        <v/>
      </c>
      <c r="D13" s="91">
        <f>Calc_Capex!D2</f>
        <v/>
      </c>
      <c r="E13" s="91">
        <f>Calc_Capex!E2</f>
        <v/>
      </c>
      <c r="F13" s="91">
        <f>Calc_Capex!F2</f>
        <v/>
      </c>
      <c r="G13" s="91">
        <f>Calc_Capex!G2</f>
        <v/>
      </c>
      <c r="H13" s="91">
        <f>Calc_Capex!H2</f>
        <v/>
      </c>
      <c r="I13" s="91">
        <f>Calc_Capex!I2</f>
        <v/>
      </c>
      <c r="J13" s="91">
        <f>Calc_Capex!J2</f>
        <v/>
      </c>
      <c r="K13" s="91">
        <f>Calc_Capex!K2</f>
        <v/>
      </c>
      <c r="L13" s="91">
        <f>Calc_Capex!L2</f>
        <v/>
      </c>
      <c r="M13" s="91">
        <f>Calc_Capex!M2</f>
        <v/>
      </c>
      <c r="N13" s="91">
        <f>Calc_Capex!N2</f>
        <v/>
      </c>
      <c r="O13" s="91">
        <f>Calc_Capex!O2</f>
        <v/>
      </c>
      <c r="P13" s="91">
        <f>Calc_Capex!P2</f>
        <v/>
      </c>
      <c r="Q13" s="91">
        <f>Calc_Capex!Q2</f>
        <v/>
      </c>
      <c r="R13" s="91">
        <f>Calc_Capex!R2</f>
        <v/>
      </c>
      <c r="S13" s="91">
        <f>Calc_Capex!S2</f>
        <v/>
      </c>
      <c r="T13" s="91">
        <f>Calc_Capex!T2</f>
        <v/>
      </c>
      <c r="U13" s="91">
        <f>Calc_Capex!U2</f>
        <v/>
      </c>
      <c r="V13" s="91">
        <f>Calc_Capex!V2</f>
        <v/>
      </c>
      <c r="W13" s="91">
        <f>Calc_Capex!W2</f>
        <v/>
      </c>
      <c r="X13" s="91">
        <f>Calc_Capex!X2</f>
        <v/>
      </c>
      <c r="Y13" s="91">
        <f>Calc_Capex!Y2</f>
        <v/>
      </c>
      <c r="Z13" s="91">
        <f>Calc_Capex!Z2</f>
        <v/>
      </c>
      <c r="AA13" s="91">
        <f>Calc_CFADS!C2</f>
        <v/>
      </c>
      <c r="AB13" s="91">
        <f>Calc_CFADS!D2</f>
        <v/>
      </c>
      <c r="AC13" s="91">
        <f>Calc_CFADS!E2</f>
        <v/>
      </c>
      <c r="AD13" s="91">
        <f>Calc_CFADS!F2</f>
        <v/>
      </c>
      <c r="AE13" s="91">
        <f>Calc_CFADS!G2</f>
        <v/>
      </c>
      <c r="AF13" s="91">
        <f>Calc_CFADS!H2</f>
        <v/>
      </c>
      <c r="AG13" s="91">
        <f>Calc_CFADS!I2</f>
        <v/>
      </c>
      <c r="AH13" s="91">
        <f>Calc_CFADS!J2</f>
        <v/>
      </c>
      <c r="AI13" s="91">
        <f>Calc_CFADS!K2</f>
        <v/>
      </c>
      <c r="AJ13" s="91">
        <f>Calc_CFADS!L2</f>
        <v/>
      </c>
      <c r="AK13" s="91">
        <f>Calc_CFADS!M2</f>
        <v/>
      </c>
      <c r="AL13" s="91">
        <f>Calc_CFADS!N2</f>
        <v/>
      </c>
      <c r="AM13" s="91">
        <f>Calc_CFADS!O2</f>
        <v/>
      </c>
      <c r="AN13" s="91">
        <f>Calc_CFADS!P2</f>
        <v/>
      </c>
      <c r="AO13" s="91">
        <f>Calc_CFADS!Q2</f>
        <v/>
      </c>
      <c r="AP13" s="91">
        <f>Calc_CFADS!R2</f>
        <v/>
      </c>
      <c r="AQ13" s="91">
        <f>Calc_CFADS!S2</f>
        <v/>
      </c>
      <c r="AR13" s="91">
        <f>Calc_CFADS!T2</f>
        <v/>
      </c>
      <c r="AS13" s="91">
        <f>Calc_CFADS!U2</f>
        <v/>
      </c>
      <c r="AT13" s="91">
        <f>Calc_CFADS!V2</f>
        <v/>
      </c>
      <c r="AU13" s="91">
        <f>Calc_CFADS!W2</f>
        <v/>
      </c>
      <c r="AV13" s="91">
        <f>Calc_CFADS!X2</f>
        <v/>
      </c>
      <c r="AW13" s="91">
        <f>Calc_CFADS!Y2</f>
        <v/>
      </c>
      <c r="AX13" s="91">
        <f>Calc_CFADS!Z2</f>
        <v/>
      </c>
      <c r="AY13" s="91">
        <f>Calc_CFADS!AA2</f>
        <v/>
      </c>
      <c r="AZ13" s="91">
        <f>Calc_CFADS!AB2</f>
        <v/>
      </c>
      <c r="BA13" s="91">
        <f>Calc_CFADS!AC2</f>
        <v/>
      </c>
      <c r="BB13" s="91">
        <f>Calc_CFADS!AD2</f>
        <v/>
      </c>
      <c r="BC13" s="91">
        <f>Calc_CFADS!AE2</f>
        <v/>
      </c>
      <c r="BD13" s="91">
        <f>Calc_CFADS!AF2</f>
        <v/>
      </c>
      <c r="BE13" s="91">
        <f>Calc_CFADS!AG2</f>
        <v/>
      </c>
      <c r="BF13" s="91">
        <f>Calc_CFADS!AH2</f>
        <v/>
      </c>
      <c r="BG13" s="91">
        <f>Calc_CFADS!AI2</f>
        <v/>
      </c>
      <c r="BH13" s="91">
        <f>Calc_CFADS!AJ2</f>
        <v/>
      </c>
      <c r="BI13" s="91">
        <f>Calc_CFADS!AK2</f>
        <v/>
      </c>
      <c r="BJ13" s="91">
        <f>Calc_CFADS!AL2</f>
        <v/>
      </c>
      <c r="BK13" s="91">
        <f>Calc_CFADS!AM2</f>
        <v/>
      </c>
      <c r="BL13" s="91">
        <f>Calc_CFADS!AN2</f>
        <v/>
      </c>
      <c r="BM13" s="91">
        <f>Calc_CFADS!AO2</f>
        <v/>
      </c>
      <c r="BN13" s="91">
        <f>Calc_CFADS!AP2</f>
        <v/>
      </c>
      <c r="BO13" s="91">
        <f>Calc_CFADS!AQ2</f>
        <v/>
      </c>
      <c r="BP13" s="91">
        <f>Calc_CFADS!AR2</f>
        <v/>
      </c>
      <c r="BQ13" s="91">
        <f>Calc_CFADS!AS2</f>
        <v/>
      </c>
      <c r="BR13" s="91">
        <f>Calc_CFADS!AT2</f>
        <v/>
      </c>
      <c r="BS13" s="91">
        <f>Calc_CFADS!AU2</f>
        <v/>
      </c>
      <c r="BT13" s="91">
        <f>Calc_CFADS!AV2</f>
        <v/>
      </c>
      <c r="BU13" s="91">
        <f>Calc_CFADS!AW2</f>
        <v/>
      </c>
      <c r="BV13" s="91">
        <f>Calc_CFADS!AX2</f>
        <v/>
      </c>
      <c r="BW13" s="91">
        <f>Calc_CFADS!AY2</f>
        <v/>
      </c>
      <c r="BX13" s="91">
        <f>Calc_CFADS!AZ2</f>
        <v/>
      </c>
      <c r="BY13" s="91">
        <f>Calc_CFADS!BA2</f>
        <v/>
      </c>
      <c r="BZ13" s="91">
        <f>Calc_CFADS!BB2</f>
        <v/>
      </c>
      <c r="CA13" s="91">
        <f>Calc_CFADS!BC2</f>
        <v/>
      </c>
      <c r="CB13" s="91">
        <f>Calc_CFADS!BD2</f>
        <v/>
      </c>
      <c r="CC13" s="91">
        <f>Calc_CFADS!BE2</f>
        <v/>
      </c>
      <c r="CD13" s="91">
        <f>Calc_CFADS!BF2</f>
        <v/>
      </c>
      <c r="CE13" s="91">
        <f>Calc_CFADS!BG2</f>
        <v/>
      </c>
      <c r="CF13" s="91">
        <f>Calc_CFADS!BH2</f>
        <v/>
      </c>
      <c r="CG13" s="91">
        <f>Calc_CFADS!BI2</f>
        <v/>
      </c>
      <c r="CH13" s="91">
        <f>Calc_CFADS!BJ2</f>
        <v/>
      </c>
      <c r="CI13" s="91">
        <f>Calc_CFADS!BK2</f>
        <v/>
      </c>
      <c r="CJ13" s="91">
        <f>Calc_CFADS!BL2</f>
        <v/>
      </c>
      <c r="CK13" s="91">
        <f>Calc_CFADS!BM2</f>
        <v/>
      </c>
      <c r="CL13" s="91">
        <f>Calc_CFADS!BN2</f>
        <v/>
      </c>
      <c r="CM13" s="91">
        <f>Calc_CFADS!BO2</f>
        <v/>
      </c>
      <c r="CN13" s="91">
        <f>Calc_CFADS!BP2</f>
        <v/>
      </c>
      <c r="CO13" s="91">
        <f>Calc_CFADS!BQ2</f>
        <v/>
      </c>
      <c r="CP13" s="91">
        <f>Calc_CFADS!BR2</f>
        <v/>
      </c>
      <c r="CQ13" s="91">
        <f>Calc_CFADS!BS2</f>
        <v/>
      </c>
      <c r="CR13" s="91">
        <f>Calc_CFADS!BT2</f>
        <v/>
      </c>
      <c r="CS13" s="91">
        <f>Calc_CFADS!BU2</f>
        <v/>
      </c>
      <c r="CT13" s="91">
        <f>Calc_CFADS!BV2</f>
        <v/>
      </c>
      <c r="CU13" s="91">
        <f>Calc_CFADS!BW2</f>
        <v/>
      </c>
      <c r="CV13" s="91">
        <f>Calc_CFADS!BX2</f>
        <v/>
      </c>
      <c r="CW13" s="91">
        <f>Calc_CFADS!BY2</f>
        <v/>
      </c>
      <c r="CX13" s="91">
        <f>Calc_CFADS!BZ2</f>
        <v/>
      </c>
      <c r="CY13" s="91">
        <f>Calc_CFADS!CA2</f>
        <v/>
      </c>
      <c r="CZ13" s="91">
        <f>Calc_CFADS!CB2</f>
        <v/>
      </c>
      <c r="DA13" s="91">
        <f>Calc_CFADS!CC2</f>
        <v/>
      </c>
      <c r="DB13" s="91">
        <f>Calc_CFADS!CD2</f>
        <v/>
      </c>
    </row>
    <row r="14">
      <c r="A14" t="inlineStr">
        <is>
          <t>XIRR Helper: Project CF (unlevered) — construction outflow, FCFF inflow</t>
        </is>
      </c>
      <c r="C14" s="72">
        <f>-Calc_Capex!C6</f>
        <v/>
      </c>
      <c r="D14" s="72">
        <f>-Calc_Capex!D6</f>
        <v/>
      </c>
      <c r="E14" s="72">
        <f>-Calc_Capex!E6</f>
        <v/>
      </c>
      <c r="F14" s="72">
        <f>-Calc_Capex!F6</f>
        <v/>
      </c>
      <c r="G14" s="72">
        <f>-Calc_Capex!G6</f>
        <v/>
      </c>
      <c r="H14" s="72">
        <f>-Calc_Capex!H6</f>
        <v/>
      </c>
      <c r="I14" s="72">
        <f>-Calc_Capex!I6</f>
        <v/>
      </c>
      <c r="J14" s="72">
        <f>-Calc_Capex!J6</f>
        <v/>
      </c>
      <c r="K14" s="72">
        <f>-Calc_Capex!K6</f>
        <v/>
      </c>
      <c r="L14" s="72">
        <f>-Calc_Capex!L6</f>
        <v/>
      </c>
      <c r="M14" s="72">
        <f>-Calc_Capex!M6</f>
        <v/>
      </c>
      <c r="N14" s="72">
        <f>-Calc_Capex!N6</f>
        <v/>
      </c>
      <c r="O14" s="72">
        <f>-Calc_Capex!O6</f>
        <v/>
      </c>
      <c r="P14" s="72">
        <f>-Calc_Capex!P6</f>
        <v/>
      </c>
      <c r="Q14" s="72">
        <f>-Calc_Capex!Q6</f>
        <v/>
      </c>
      <c r="R14" s="72">
        <f>-Calc_Capex!R6</f>
        <v/>
      </c>
      <c r="S14" s="72">
        <f>-Calc_Capex!S6</f>
        <v/>
      </c>
      <c r="T14" s="72">
        <f>-Calc_Capex!T6</f>
        <v/>
      </c>
      <c r="U14" s="72">
        <f>-Calc_Capex!U6</f>
        <v/>
      </c>
      <c r="V14" s="72">
        <f>-Calc_Capex!V6</f>
        <v/>
      </c>
      <c r="W14" s="72">
        <f>-Calc_Capex!W6</f>
        <v/>
      </c>
      <c r="X14" s="72">
        <f>-Calc_Capex!X6</f>
        <v/>
      </c>
      <c r="Y14" s="72">
        <f>-Calc_Capex!Y6</f>
        <v/>
      </c>
      <c r="Z14" s="72">
        <f>-Calc_Capex!Z6</f>
        <v/>
      </c>
      <c r="AA14" s="72">
        <f>Calc_CFADS!C27</f>
        <v/>
      </c>
      <c r="AB14" s="72">
        <f>Calc_CFADS!D27</f>
        <v/>
      </c>
      <c r="AC14" s="72">
        <f>Calc_CFADS!E27</f>
        <v/>
      </c>
      <c r="AD14" s="72">
        <f>Calc_CFADS!F27</f>
        <v/>
      </c>
      <c r="AE14" s="72">
        <f>Calc_CFADS!G27</f>
        <v/>
      </c>
      <c r="AF14" s="72">
        <f>Calc_CFADS!H27</f>
        <v/>
      </c>
      <c r="AG14" s="72">
        <f>Calc_CFADS!I27</f>
        <v/>
      </c>
      <c r="AH14" s="72">
        <f>Calc_CFADS!J27</f>
        <v/>
      </c>
      <c r="AI14" s="72">
        <f>Calc_CFADS!K27</f>
        <v/>
      </c>
      <c r="AJ14" s="72">
        <f>Calc_CFADS!L27</f>
        <v/>
      </c>
      <c r="AK14" s="72">
        <f>Calc_CFADS!M27</f>
        <v/>
      </c>
      <c r="AL14" s="72">
        <f>Calc_CFADS!N27</f>
        <v/>
      </c>
      <c r="AM14" s="72">
        <f>Calc_CFADS!O27</f>
        <v/>
      </c>
      <c r="AN14" s="72">
        <f>Calc_CFADS!P27</f>
        <v/>
      </c>
      <c r="AO14" s="72">
        <f>Calc_CFADS!Q27</f>
        <v/>
      </c>
      <c r="AP14" s="72">
        <f>Calc_CFADS!R27</f>
        <v/>
      </c>
      <c r="AQ14" s="72">
        <f>Calc_CFADS!S27</f>
        <v/>
      </c>
      <c r="AR14" s="72">
        <f>Calc_CFADS!T27</f>
        <v/>
      </c>
      <c r="AS14" s="72">
        <f>Calc_CFADS!U27</f>
        <v/>
      </c>
      <c r="AT14" s="72">
        <f>Calc_CFADS!V27</f>
        <v/>
      </c>
      <c r="AU14" s="72">
        <f>Calc_CFADS!W27</f>
        <v/>
      </c>
      <c r="AV14" s="72">
        <f>Calc_CFADS!X27</f>
        <v/>
      </c>
      <c r="AW14" s="72">
        <f>Calc_CFADS!Y27</f>
        <v/>
      </c>
      <c r="AX14" s="72">
        <f>Calc_CFADS!Z27</f>
        <v/>
      </c>
      <c r="AY14" s="72">
        <f>Calc_CFADS!AA27</f>
        <v/>
      </c>
      <c r="AZ14" s="72">
        <f>Calc_CFADS!AB27</f>
        <v/>
      </c>
      <c r="BA14" s="72">
        <f>Calc_CFADS!AC27</f>
        <v/>
      </c>
      <c r="BB14" s="72">
        <f>Calc_CFADS!AD27</f>
        <v/>
      </c>
      <c r="BC14" s="72">
        <f>Calc_CFADS!AE27</f>
        <v/>
      </c>
      <c r="BD14" s="72">
        <f>Calc_CFADS!AF27</f>
        <v/>
      </c>
      <c r="BE14" s="72">
        <f>Calc_CFADS!AG27</f>
        <v/>
      </c>
      <c r="BF14" s="72">
        <f>Calc_CFADS!AH27</f>
        <v/>
      </c>
      <c r="BG14" s="72">
        <f>Calc_CFADS!AI27</f>
        <v/>
      </c>
      <c r="BH14" s="72">
        <f>Calc_CFADS!AJ27</f>
        <v/>
      </c>
      <c r="BI14" s="72">
        <f>Calc_CFADS!AK27</f>
        <v/>
      </c>
      <c r="BJ14" s="72">
        <f>Calc_CFADS!AL27</f>
        <v/>
      </c>
      <c r="BK14" s="72">
        <f>Calc_CFADS!AM27</f>
        <v/>
      </c>
      <c r="BL14" s="72">
        <f>Calc_CFADS!AN27</f>
        <v/>
      </c>
      <c r="BM14" s="72">
        <f>Calc_CFADS!AO27</f>
        <v/>
      </c>
      <c r="BN14" s="72">
        <f>Calc_CFADS!AP27</f>
        <v/>
      </c>
      <c r="BO14" s="72">
        <f>Calc_CFADS!AQ27</f>
        <v/>
      </c>
      <c r="BP14" s="72">
        <f>Calc_CFADS!AR27</f>
        <v/>
      </c>
      <c r="BQ14" s="72">
        <f>Calc_CFADS!AS27</f>
        <v/>
      </c>
      <c r="BR14" s="72">
        <f>Calc_CFADS!AT27</f>
        <v/>
      </c>
      <c r="BS14" s="72">
        <f>Calc_CFADS!AU27</f>
        <v/>
      </c>
      <c r="BT14" s="72">
        <f>Calc_CFADS!AV27</f>
        <v/>
      </c>
      <c r="BU14" s="72">
        <f>Calc_CFADS!AW27</f>
        <v/>
      </c>
      <c r="BV14" s="72">
        <f>Calc_CFADS!AX27</f>
        <v/>
      </c>
      <c r="BW14" s="72">
        <f>Calc_CFADS!AY27</f>
        <v/>
      </c>
      <c r="BX14" s="72">
        <f>Calc_CFADS!AZ27</f>
        <v/>
      </c>
      <c r="BY14" s="72">
        <f>Calc_CFADS!BA27</f>
        <v/>
      </c>
      <c r="BZ14" s="72">
        <f>Calc_CFADS!BB27</f>
        <v/>
      </c>
      <c r="CA14" s="72">
        <f>Calc_CFADS!BC27</f>
        <v/>
      </c>
      <c r="CB14" s="72">
        <f>Calc_CFADS!BD27</f>
        <v/>
      </c>
      <c r="CC14" s="72">
        <f>Calc_CFADS!BE27</f>
        <v/>
      </c>
      <c r="CD14" s="72">
        <f>Calc_CFADS!BF27</f>
        <v/>
      </c>
      <c r="CE14" s="72">
        <f>Calc_CFADS!BG27</f>
        <v/>
      </c>
      <c r="CF14" s="72">
        <f>Calc_CFADS!BH27</f>
        <v/>
      </c>
      <c r="CG14" s="72">
        <f>Calc_CFADS!BI27</f>
        <v/>
      </c>
      <c r="CH14" s="72">
        <f>Calc_CFADS!BJ27</f>
        <v/>
      </c>
      <c r="CI14" s="72">
        <f>Calc_CFADS!BK27</f>
        <v/>
      </c>
      <c r="CJ14" s="72">
        <f>Calc_CFADS!BL27</f>
        <v/>
      </c>
      <c r="CK14" s="72">
        <f>Calc_CFADS!BM27</f>
        <v/>
      </c>
      <c r="CL14" s="72">
        <f>Calc_CFADS!BN27</f>
        <v/>
      </c>
      <c r="CM14" s="72">
        <f>Calc_CFADS!BO27</f>
        <v/>
      </c>
      <c r="CN14" s="72">
        <f>Calc_CFADS!BP27</f>
        <v/>
      </c>
      <c r="CO14" s="72">
        <f>Calc_CFADS!BQ27</f>
        <v/>
      </c>
      <c r="CP14" s="72">
        <f>Calc_CFADS!BR27</f>
        <v/>
      </c>
      <c r="CQ14" s="72">
        <f>Calc_CFADS!BS27</f>
        <v/>
      </c>
      <c r="CR14" s="72">
        <f>Calc_CFADS!BT27</f>
        <v/>
      </c>
      <c r="CS14" s="72">
        <f>Calc_CFADS!BU27</f>
        <v/>
      </c>
      <c r="CT14" s="72">
        <f>Calc_CFADS!BV27</f>
        <v/>
      </c>
      <c r="CU14" s="72">
        <f>Calc_CFADS!BW27</f>
        <v/>
      </c>
      <c r="CV14" s="72">
        <f>Calc_CFADS!BX27</f>
        <v/>
      </c>
      <c r="CW14" s="72">
        <f>Calc_CFADS!BY27</f>
        <v/>
      </c>
      <c r="CX14" s="72">
        <f>Calc_CFADS!BZ27</f>
        <v/>
      </c>
      <c r="CY14" s="72">
        <f>Calc_CFADS!CA27</f>
        <v/>
      </c>
      <c r="CZ14" s="72">
        <f>Calc_CFADS!CB27</f>
        <v/>
      </c>
      <c r="DA14" s="72">
        <f>Calc_CFADS!CC27</f>
        <v/>
      </c>
      <c r="DB14" s="72">
        <f>Calc_CFADS!CD27</f>
        <v/>
      </c>
    </row>
    <row r="15">
      <c r="A15" t="inlineStr">
        <is>
          <t>XIRR Helper: Equity CF (levered) — equity draw outflow, FCFE inflow</t>
        </is>
      </c>
      <c r="C15" s="72">
        <f>-Calc_Capex!C11</f>
        <v/>
      </c>
      <c r="D15" s="72">
        <f>-Calc_Capex!D11</f>
        <v/>
      </c>
      <c r="E15" s="72">
        <f>-Calc_Capex!E11</f>
        <v/>
      </c>
      <c r="F15" s="72">
        <f>-Calc_Capex!F11</f>
        <v/>
      </c>
      <c r="G15" s="72">
        <f>-Calc_Capex!G11</f>
        <v/>
      </c>
      <c r="H15" s="72">
        <f>-Calc_Capex!H11</f>
        <v/>
      </c>
      <c r="I15" s="72">
        <f>-Calc_Capex!I11</f>
        <v/>
      </c>
      <c r="J15" s="72">
        <f>-Calc_Capex!J11</f>
        <v/>
      </c>
      <c r="K15" s="72">
        <f>-Calc_Capex!K11</f>
        <v/>
      </c>
      <c r="L15" s="72">
        <f>-Calc_Capex!L11</f>
        <v/>
      </c>
      <c r="M15" s="72">
        <f>-Calc_Capex!M11</f>
        <v/>
      </c>
      <c r="N15" s="72">
        <f>-Calc_Capex!N11</f>
        <v/>
      </c>
      <c r="O15" s="72">
        <f>-Calc_Capex!O11</f>
        <v/>
      </c>
      <c r="P15" s="72">
        <f>-Calc_Capex!P11</f>
        <v/>
      </c>
      <c r="Q15" s="72">
        <f>-Calc_Capex!Q11</f>
        <v/>
      </c>
      <c r="R15" s="72">
        <f>-Calc_Capex!R11</f>
        <v/>
      </c>
      <c r="S15" s="72">
        <f>-Calc_Capex!S11</f>
        <v/>
      </c>
      <c r="T15" s="72">
        <f>-Calc_Capex!T11</f>
        <v/>
      </c>
      <c r="U15" s="72">
        <f>-Calc_Capex!U11</f>
        <v/>
      </c>
      <c r="V15" s="72">
        <f>-Calc_Capex!V11</f>
        <v/>
      </c>
      <c r="W15" s="72">
        <f>-Calc_Capex!W11</f>
        <v/>
      </c>
      <c r="X15" s="72">
        <f>-Calc_Capex!X11</f>
        <v/>
      </c>
      <c r="Y15" s="72">
        <f>-Calc_Capex!Y11</f>
        <v/>
      </c>
      <c r="Z15" s="72">
        <f>-Calc_Capex!Z11</f>
        <v/>
      </c>
      <c r="AA15" s="72">
        <f>Calc_CFADS!C26</f>
        <v/>
      </c>
      <c r="AB15" s="72">
        <f>Calc_CFADS!D26</f>
        <v/>
      </c>
      <c r="AC15" s="72">
        <f>Calc_CFADS!E26</f>
        <v/>
      </c>
      <c r="AD15" s="72">
        <f>Calc_CFADS!F26</f>
        <v/>
      </c>
      <c r="AE15" s="72">
        <f>Calc_CFADS!G26</f>
        <v/>
      </c>
      <c r="AF15" s="72">
        <f>Calc_CFADS!H26</f>
        <v/>
      </c>
      <c r="AG15" s="72">
        <f>Calc_CFADS!I26</f>
        <v/>
      </c>
      <c r="AH15" s="72">
        <f>Calc_CFADS!J26</f>
        <v/>
      </c>
      <c r="AI15" s="72">
        <f>Calc_CFADS!K26</f>
        <v/>
      </c>
      <c r="AJ15" s="72">
        <f>Calc_CFADS!L26</f>
        <v/>
      </c>
      <c r="AK15" s="72">
        <f>Calc_CFADS!M26</f>
        <v/>
      </c>
      <c r="AL15" s="72">
        <f>Calc_CFADS!N26</f>
        <v/>
      </c>
      <c r="AM15" s="72">
        <f>Calc_CFADS!O26</f>
        <v/>
      </c>
      <c r="AN15" s="72">
        <f>Calc_CFADS!P26</f>
        <v/>
      </c>
      <c r="AO15" s="72">
        <f>Calc_CFADS!Q26</f>
        <v/>
      </c>
      <c r="AP15" s="72">
        <f>Calc_CFADS!R26</f>
        <v/>
      </c>
      <c r="AQ15" s="72">
        <f>Calc_CFADS!S26</f>
        <v/>
      </c>
      <c r="AR15" s="72">
        <f>Calc_CFADS!T26</f>
        <v/>
      </c>
      <c r="AS15" s="72">
        <f>Calc_CFADS!U26</f>
        <v/>
      </c>
      <c r="AT15" s="72">
        <f>Calc_CFADS!V26</f>
        <v/>
      </c>
      <c r="AU15" s="72">
        <f>Calc_CFADS!W26</f>
        <v/>
      </c>
      <c r="AV15" s="72">
        <f>Calc_CFADS!X26</f>
        <v/>
      </c>
      <c r="AW15" s="72">
        <f>Calc_CFADS!Y26</f>
        <v/>
      </c>
      <c r="AX15" s="72">
        <f>Calc_CFADS!Z26</f>
        <v/>
      </c>
      <c r="AY15" s="72">
        <f>Calc_CFADS!AA26</f>
        <v/>
      </c>
      <c r="AZ15" s="72">
        <f>Calc_CFADS!AB26</f>
        <v/>
      </c>
      <c r="BA15" s="72">
        <f>Calc_CFADS!AC26</f>
        <v/>
      </c>
      <c r="BB15" s="72">
        <f>Calc_CFADS!AD26</f>
        <v/>
      </c>
      <c r="BC15" s="72">
        <f>Calc_CFADS!AE26</f>
        <v/>
      </c>
      <c r="BD15" s="72">
        <f>Calc_CFADS!AF26</f>
        <v/>
      </c>
      <c r="BE15" s="72">
        <f>Calc_CFADS!AG26</f>
        <v/>
      </c>
      <c r="BF15" s="72">
        <f>Calc_CFADS!AH26</f>
        <v/>
      </c>
      <c r="BG15" s="72">
        <f>Calc_CFADS!AI26</f>
        <v/>
      </c>
      <c r="BH15" s="72">
        <f>Calc_CFADS!AJ26</f>
        <v/>
      </c>
      <c r="BI15" s="72">
        <f>Calc_CFADS!AK26</f>
        <v/>
      </c>
      <c r="BJ15" s="72">
        <f>Calc_CFADS!AL26</f>
        <v/>
      </c>
      <c r="BK15" s="72">
        <f>Calc_CFADS!AM26</f>
        <v/>
      </c>
      <c r="BL15" s="72">
        <f>Calc_CFADS!AN26</f>
        <v/>
      </c>
      <c r="BM15" s="72">
        <f>Calc_CFADS!AO26</f>
        <v/>
      </c>
      <c r="BN15" s="72">
        <f>Calc_CFADS!AP26</f>
        <v/>
      </c>
      <c r="BO15" s="72">
        <f>Calc_CFADS!AQ26</f>
        <v/>
      </c>
      <c r="BP15" s="72">
        <f>Calc_CFADS!AR26</f>
        <v/>
      </c>
      <c r="BQ15" s="72">
        <f>Calc_CFADS!AS26</f>
        <v/>
      </c>
      <c r="BR15" s="72">
        <f>Calc_CFADS!AT26</f>
        <v/>
      </c>
      <c r="BS15" s="72">
        <f>Calc_CFADS!AU26</f>
        <v/>
      </c>
      <c r="BT15" s="72">
        <f>Calc_CFADS!AV26</f>
        <v/>
      </c>
      <c r="BU15" s="72">
        <f>Calc_CFADS!AW26</f>
        <v/>
      </c>
      <c r="BV15" s="72">
        <f>Calc_CFADS!AX26</f>
        <v/>
      </c>
      <c r="BW15" s="72">
        <f>Calc_CFADS!AY26</f>
        <v/>
      </c>
      <c r="BX15" s="72">
        <f>Calc_CFADS!AZ26</f>
        <v/>
      </c>
      <c r="BY15" s="72">
        <f>Calc_CFADS!BA26</f>
        <v/>
      </c>
      <c r="BZ15" s="72">
        <f>Calc_CFADS!BB26</f>
        <v/>
      </c>
      <c r="CA15" s="72">
        <f>Calc_CFADS!BC26</f>
        <v/>
      </c>
      <c r="CB15" s="72">
        <f>Calc_CFADS!BD26</f>
        <v/>
      </c>
      <c r="CC15" s="72">
        <f>Calc_CFADS!BE26</f>
        <v/>
      </c>
      <c r="CD15" s="72">
        <f>Calc_CFADS!BF26</f>
        <v/>
      </c>
      <c r="CE15" s="72">
        <f>Calc_CFADS!BG26</f>
        <v/>
      </c>
      <c r="CF15" s="72">
        <f>Calc_CFADS!BH26</f>
        <v/>
      </c>
      <c r="CG15" s="72">
        <f>Calc_CFADS!BI26</f>
        <v/>
      </c>
      <c r="CH15" s="72">
        <f>Calc_CFADS!BJ26</f>
        <v/>
      </c>
      <c r="CI15" s="72">
        <f>Calc_CFADS!BK26</f>
        <v/>
      </c>
      <c r="CJ15" s="72">
        <f>Calc_CFADS!BL26</f>
        <v/>
      </c>
      <c r="CK15" s="72">
        <f>Calc_CFADS!BM26</f>
        <v/>
      </c>
      <c r="CL15" s="72">
        <f>Calc_CFADS!BN26</f>
        <v/>
      </c>
      <c r="CM15" s="72">
        <f>Calc_CFADS!BO26</f>
        <v/>
      </c>
      <c r="CN15" s="72">
        <f>Calc_CFADS!BP26</f>
        <v/>
      </c>
      <c r="CO15" s="72">
        <f>Calc_CFADS!BQ26</f>
        <v/>
      </c>
      <c r="CP15" s="72">
        <f>Calc_CFADS!BR26</f>
        <v/>
      </c>
      <c r="CQ15" s="72">
        <f>Calc_CFADS!BS26</f>
        <v/>
      </c>
      <c r="CR15" s="72">
        <f>Calc_CFADS!BT26</f>
        <v/>
      </c>
      <c r="CS15" s="72">
        <f>Calc_CFADS!BU26</f>
        <v/>
      </c>
      <c r="CT15" s="72">
        <f>Calc_CFADS!BV26</f>
        <v/>
      </c>
      <c r="CU15" s="72">
        <f>Calc_CFADS!BW26</f>
        <v/>
      </c>
      <c r="CV15" s="72">
        <f>Calc_CFADS!BX26</f>
        <v/>
      </c>
      <c r="CW15" s="72">
        <f>Calc_CFADS!BY26</f>
        <v/>
      </c>
      <c r="CX15" s="72">
        <f>Calc_CFADS!BZ26</f>
        <v/>
      </c>
      <c r="CY15" s="72">
        <f>Calc_CFADS!CA26</f>
        <v/>
      </c>
      <c r="CZ15" s="72">
        <f>Calc_CFADS!CB26</f>
        <v/>
      </c>
      <c r="DA15" s="72">
        <f>Calc_CFADS!CC26</f>
        <v/>
      </c>
      <c r="DB15" s="72">
        <f>Calc_CFADS!CD26</f>
        <v/>
      </c>
    </row>
    <row r="18">
      <c r="A18" t="inlineStr">
        <is>
          <t>Project IRR (PIRR) — unlevered, XIRR</t>
        </is>
      </c>
    </row>
    <row r="19">
      <c r="A19" s="90">
        <f>XIRR(C14:DB14,C13:DB13)</f>
        <v/>
      </c>
    </row>
    <row r="20">
      <c r="A20" t="inlineStr">
        <is>
          <t>Equity IRR (EIRR) — levered, XIRR</t>
        </is>
      </c>
    </row>
    <row r="21">
      <c r="A21" s="90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72">
        <f>SUM(Calc_Capex!C6:N6)</f>
        <v/>
      </c>
      <c r="D26" s="72">
        <f>SUM(Calc_Capex!O6:Z6)</f>
        <v/>
      </c>
    </row>
    <row r="27">
      <c r="A27" t="inlineStr">
        <is>
          <t>IDC Capitalised ($) — annual sum</t>
        </is>
      </c>
      <c r="C27" s="72">
        <f>SUM(Calc_Financing_Cons!C18:N18)</f>
        <v/>
      </c>
      <c r="D27" s="72">
        <f>SUM(Calc_Financing_Cons!O18:Z18)</f>
        <v/>
      </c>
    </row>
    <row r="28">
      <c r="A28" t="inlineStr">
        <is>
          <t>Debt Drawn ($) — annual sum</t>
        </is>
      </c>
      <c r="C28" s="72">
        <f>SUM(Calc_Financing_Cons!C21:N21)</f>
        <v/>
      </c>
      <c r="D28" s="72">
        <f>SUM(Calc_Financing_Cons!O21:Z21)</f>
        <v/>
      </c>
    </row>
    <row r="29">
      <c r="A29" t="inlineStr">
        <is>
          <t>Equity Drawn ($) — annual sum</t>
        </is>
      </c>
      <c r="C29" s="72">
        <f>SUM(Calc_Financing_Cons!C22:N22)</f>
        <v/>
      </c>
      <c r="D29" s="72">
        <f>SUM(Calc_Financing_Cons!O22:Z22)</f>
        <v/>
      </c>
    </row>
    <row r="30">
      <c r="A30" t="inlineStr">
        <is>
          <t>Cumulative Total Project Cost ($) — year-end</t>
        </is>
      </c>
      <c r="C30" s="72">
        <f>Calc_Capex!N17</f>
        <v/>
      </c>
      <c r="D30" s="72">
        <f>Calc_Capex!Z17</f>
        <v/>
      </c>
    </row>
    <row r="31">
      <c r="A31" t="inlineStr">
        <is>
          <t>Closing Debt Balance ($) — year-end</t>
        </is>
      </c>
      <c r="C31" s="72">
        <f>Calc_Financing_Cons!N25</f>
        <v/>
      </c>
      <c r="D31" s="72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3" t="inlineStr">
        <is>
          <t>Valuation_SellDown — exit-year IRR scan, read-only downstream of FS_Annual (Stage 1d)</t>
        </is>
      </c>
    </row>
    <row r="3">
      <c r="A3" t="inlineStr">
        <is>
          <t>Valuation Discount Rate (Target PIRR)</t>
        </is>
      </c>
      <c r="B3" s="53">
        <f>GoalSeek_TargetPIRR</f>
        <v/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1">
        <f>FS_Annual!AD13</f>
        <v/>
      </c>
      <c r="D7" s="91">
        <f>FS_Annual!AH13</f>
        <v/>
      </c>
      <c r="E7" s="91">
        <f>FS_Annual!AL13</f>
        <v/>
      </c>
      <c r="F7" s="91">
        <f>FS_Annual!AP13</f>
        <v/>
      </c>
      <c r="G7" s="91">
        <f>FS_Annual!AT13</f>
        <v/>
      </c>
      <c r="H7" s="91">
        <f>FS_Annual!AX13</f>
        <v/>
      </c>
      <c r="I7" s="91">
        <f>FS_Annual!BB13</f>
        <v/>
      </c>
      <c r="J7" s="91">
        <f>FS_Annual!BF13</f>
        <v/>
      </c>
      <c r="K7" s="91">
        <f>FS_Annual!BJ13</f>
        <v/>
      </c>
      <c r="L7" s="91">
        <f>FS_Annual!BN13</f>
        <v/>
      </c>
      <c r="M7" s="91">
        <f>FS_Annual!BR13</f>
        <v/>
      </c>
      <c r="N7" s="91">
        <f>FS_Annual!BV13</f>
        <v/>
      </c>
      <c r="O7" s="91">
        <f>FS_Annual!BZ13</f>
        <v/>
      </c>
      <c r="P7" s="91">
        <f>FS_Annual!CD13</f>
        <v/>
      </c>
      <c r="Q7" s="91">
        <f>FS_Annual!CH13</f>
        <v/>
      </c>
      <c r="R7" s="91">
        <f>FS_Annual!CL13</f>
        <v/>
      </c>
      <c r="S7" s="91">
        <f>FS_Annual!CP13</f>
        <v/>
      </c>
      <c r="T7" s="91">
        <f>FS_Annual!CT13</f>
        <v/>
      </c>
      <c r="U7" s="91">
        <f>FS_Annual!CX13</f>
        <v/>
      </c>
      <c r="V7" s="91">
        <f>FS_Annual!DB13</f>
        <v/>
      </c>
    </row>
    <row r="8">
      <c r="A8" t="inlineStr">
        <is>
          <t>Implied Sale Price ($) — XNPV of remaining FCFF at Target PIRR</t>
        </is>
      </c>
      <c r="C8" s="77">
        <f>SUMPRODUCT((FS_Annual!C13:DB13&gt;C$7)*FS_Annual!C14:DB14/(1+$B$3)^((FS_Annual!C13:DB13-C$7)/365))</f>
        <v/>
      </c>
      <c r="D8" s="77">
        <f>SUMPRODUCT((FS_Annual!C13:DB13&gt;D$7)*FS_Annual!C14:DB14/(1+$B$3)^((FS_Annual!C13:DB13-D$7)/365))</f>
        <v/>
      </c>
      <c r="E8" s="77">
        <f>SUMPRODUCT((FS_Annual!C13:DB13&gt;E$7)*FS_Annual!C14:DB14/(1+$B$3)^((FS_Annual!C13:DB13-E$7)/365))</f>
        <v/>
      </c>
      <c r="F8" s="77">
        <f>SUMPRODUCT((FS_Annual!C13:DB13&gt;F$7)*FS_Annual!C14:DB14/(1+$B$3)^((FS_Annual!C13:DB13-F$7)/365))</f>
        <v/>
      </c>
      <c r="G8" s="77">
        <f>SUMPRODUCT((FS_Annual!C13:DB13&gt;G$7)*FS_Annual!C14:DB14/(1+$B$3)^((FS_Annual!C13:DB13-G$7)/365))</f>
        <v/>
      </c>
      <c r="H8" s="77">
        <f>SUMPRODUCT((FS_Annual!C13:DB13&gt;H$7)*FS_Annual!C14:DB14/(1+$B$3)^((FS_Annual!C13:DB13-H$7)/365))</f>
        <v/>
      </c>
      <c r="I8" s="77">
        <f>SUMPRODUCT((FS_Annual!C13:DB13&gt;I$7)*FS_Annual!C14:DB14/(1+$B$3)^((FS_Annual!C13:DB13-I$7)/365))</f>
        <v/>
      </c>
      <c r="J8" s="77">
        <f>SUMPRODUCT((FS_Annual!C13:DB13&gt;J$7)*FS_Annual!C14:DB14/(1+$B$3)^((FS_Annual!C13:DB13-J$7)/365))</f>
        <v/>
      </c>
      <c r="K8" s="77">
        <f>SUMPRODUCT((FS_Annual!C13:DB13&gt;K$7)*FS_Annual!C14:DB14/(1+$B$3)^((FS_Annual!C13:DB13-K$7)/365))</f>
        <v/>
      </c>
      <c r="L8" s="77">
        <f>SUMPRODUCT((FS_Annual!C13:DB13&gt;L$7)*FS_Annual!C14:DB14/(1+$B$3)^((FS_Annual!C13:DB13-L$7)/365))</f>
        <v/>
      </c>
      <c r="M8" s="77">
        <f>SUMPRODUCT((FS_Annual!C13:DB13&gt;M$7)*FS_Annual!C14:DB14/(1+$B$3)^((FS_Annual!C13:DB13-M$7)/365))</f>
        <v/>
      </c>
      <c r="N8" s="77">
        <f>SUMPRODUCT((FS_Annual!C13:DB13&gt;N$7)*FS_Annual!C14:DB14/(1+$B$3)^((FS_Annual!C13:DB13-N$7)/365))</f>
        <v/>
      </c>
      <c r="O8" s="77">
        <f>SUMPRODUCT((FS_Annual!C13:DB13&gt;O$7)*FS_Annual!C14:DB14/(1+$B$3)^((FS_Annual!C13:DB13-O$7)/365))</f>
        <v/>
      </c>
      <c r="P8" s="77">
        <f>SUMPRODUCT((FS_Annual!C13:DB13&gt;P$7)*FS_Annual!C14:DB14/(1+$B$3)^((FS_Annual!C13:DB13-P$7)/365))</f>
        <v/>
      </c>
      <c r="Q8" s="77">
        <f>SUMPRODUCT((FS_Annual!C13:DB13&gt;Q$7)*FS_Annual!C14:DB14/(1+$B$3)^((FS_Annual!C13:DB13-Q$7)/365))</f>
        <v/>
      </c>
      <c r="R8" s="77">
        <f>SUMPRODUCT((FS_Annual!C13:DB13&gt;R$7)*FS_Annual!C14:DB14/(1+$B$3)^((FS_Annual!C13:DB13-R$7)/365))</f>
        <v/>
      </c>
      <c r="S8" s="77">
        <f>SUMPRODUCT((FS_Annual!C13:DB13&gt;S$7)*FS_Annual!C14:DB14/(1+$B$3)^((FS_Annual!C13:DB13-S$7)/365))</f>
        <v/>
      </c>
      <c r="T8" s="77">
        <f>SUMPRODUCT((FS_Annual!C13:DB13&gt;T$7)*FS_Annual!C14:DB14/(1+$B$3)^((FS_Annual!C13:DB13-T$7)/365))</f>
        <v/>
      </c>
      <c r="U8" s="77">
        <f>SUMPRODUCT((FS_Annual!C13:DB13&gt;U$7)*FS_Annual!C14:DB14/(1+$B$3)^((FS_Annual!C13:DB13-U$7)/365))</f>
        <v/>
      </c>
      <c r="V8" s="77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72">
        <f>FS_Annual!AD8</f>
        <v/>
      </c>
      <c r="D9" s="72">
        <f>FS_Annual!AH8</f>
        <v/>
      </c>
      <c r="E9" s="72">
        <f>FS_Annual!AL8</f>
        <v/>
      </c>
      <c r="F9" s="72">
        <f>FS_Annual!AP8</f>
        <v/>
      </c>
      <c r="G9" s="72">
        <f>FS_Annual!AT8</f>
        <v/>
      </c>
      <c r="H9" s="72">
        <f>FS_Annual!AX8</f>
        <v/>
      </c>
      <c r="I9" s="72">
        <f>FS_Annual!BB8</f>
        <v/>
      </c>
      <c r="J9" s="72">
        <f>FS_Annual!BF8</f>
        <v/>
      </c>
      <c r="K9" s="72">
        <f>FS_Annual!BJ8</f>
        <v/>
      </c>
      <c r="L9" s="72">
        <f>FS_Annual!BN8</f>
        <v/>
      </c>
      <c r="M9" s="72">
        <f>FS_Annual!BR8</f>
        <v/>
      </c>
      <c r="N9" s="72">
        <f>FS_Annual!BV8</f>
        <v/>
      </c>
      <c r="O9" s="72">
        <f>FS_Annual!BZ8</f>
        <v/>
      </c>
      <c r="P9" s="72">
        <f>FS_Annual!CD8</f>
        <v/>
      </c>
      <c r="Q9" s="72">
        <f>FS_Annual!CH8</f>
        <v/>
      </c>
      <c r="R9" s="72">
        <f>FS_Annual!CL8</f>
        <v/>
      </c>
      <c r="S9" s="72">
        <f>FS_Annual!CP8</f>
        <v/>
      </c>
      <c r="T9" s="72">
        <f>FS_Annual!CT8</f>
        <v/>
      </c>
      <c r="U9" s="72">
        <f>FS_Annual!CX8</f>
        <v/>
      </c>
      <c r="V9" s="72">
        <f>FS_Annual!DB8</f>
        <v/>
      </c>
    </row>
    <row r="10">
      <c r="A10" t="inlineStr">
        <is>
          <t>Buyer Enterprise Value ($) — Price + Debt Assumed</t>
        </is>
      </c>
      <c r="C10" s="77">
        <f>C8+C9</f>
        <v/>
      </c>
      <c r="D10" s="77">
        <f>D8+D9</f>
        <v/>
      </c>
      <c r="E10" s="77">
        <f>E8+E9</f>
        <v/>
      </c>
      <c r="F10" s="77">
        <f>F8+F9</f>
        <v/>
      </c>
      <c r="G10" s="77">
        <f>G8+G9</f>
        <v/>
      </c>
      <c r="H10" s="77">
        <f>H8+H9</f>
        <v/>
      </c>
      <c r="I10" s="77">
        <f>I8+I9</f>
        <v/>
      </c>
      <c r="J10" s="77">
        <f>J8+J9</f>
        <v/>
      </c>
      <c r="K10" s="77">
        <f>K8+K9</f>
        <v/>
      </c>
      <c r="L10" s="77">
        <f>L8+L9</f>
        <v/>
      </c>
      <c r="M10" s="77">
        <f>M8+M9</f>
        <v/>
      </c>
      <c r="N10" s="77">
        <f>N8+N9</f>
        <v/>
      </c>
      <c r="O10" s="77">
        <f>O8+O9</f>
        <v/>
      </c>
      <c r="P10" s="77">
        <f>P8+P9</f>
        <v/>
      </c>
      <c r="Q10" s="77">
        <f>Q8+Q9</f>
        <v/>
      </c>
      <c r="R10" s="77">
        <f>R8+R9</f>
        <v/>
      </c>
      <c r="S10" s="77">
        <f>S8+S9</f>
        <v/>
      </c>
      <c r="T10" s="77">
        <f>T8+T9</f>
        <v/>
      </c>
      <c r="U10" s="77">
        <f>U8+U9</f>
        <v/>
      </c>
      <c r="V10" s="77">
        <f>V8+V9</f>
        <v/>
      </c>
    </row>
    <row r="11">
      <c r="A11" t="inlineStr">
        <is>
          <t>Seller's Realized EIRR — levered, whole holding period</t>
        </is>
      </c>
      <c r="C11" s="90">
        <f>XIRR(C19:DB19,FS_Annual!C13:FS_Annual!DB13)</f>
        <v/>
      </c>
      <c r="D11" s="90">
        <f>XIRR(C21:DB21,FS_Annual!C13:FS_Annual!DB13)</f>
        <v/>
      </c>
      <c r="E11" s="90">
        <f>XIRR(C23:DB23,FS_Annual!C13:FS_Annual!DB13)</f>
        <v/>
      </c>
      <c r="F11" s="90">
        <f>XIRR(C25:DB25,FS_Annual!C13:FS_Annual!DB13)</f>
        <v/>
      </c>
      <c r="G11" s="90">
        <f>XIRR(C27:DB27,FS_Annual!C13:FS_Annual!DB13)</f>
        <v/>
      </c>
      <c r="H11" s="90">
        <f>XIRR(C29:DB29,FS_Annual!C13:FS_Annual!DB13)</f>
        <v/>
      </c>
      <c r="I11" s="90">
        <f>XIRR(C31:DB31,FS_Annual!C13:FS_Annual!DB13)</f>
        <v/>
      </c>
      <c r="J11" s="90">
        <f>XIRR(C33:DB33,FS_Annual!C13:FS_Annual!DB13)</f>
        <v/>
      </c>
      <c r="K11" s="90">
        <f>XIRR(C35:DB35,FS_Annual!C13:FS_Annual!DB13)</f>
        <v/>
      </c>
      <c r="L11" s="90">
        <f>XIRR(C37:DB37,FS_Annual!C13:FS_Annual!DB13)</f>
        <v/>
      </c>
      <c r="M11" s="90">
        <f>XIRR(C39:DB39,FS_Annual!C13:FS_Annual!DB13)</f>
        <v/>
      </c>
      <c r="N11" s="90">
        <f>XIRR(C41:DB41,FS_Annual!C13:FS_Annual!DB13)</f>
        <v/>
      </c>
      <c r="O11" s="90">
        <f>XIRR(C43:DB43,FS_Annual!C13:FS_Annual!DB13)</f>
        <v/>
      </c>
      <c r="P11" s="90">
        <f>XIRR(C45:DB45,FS_Annual!C13:FS_Annual!DB13)</f>
        <v/>
      </c>
      <c r="Q11" s="90">
        <f>XIRR(C47:DB47,FS_Annual!C13:FS_Annual!DB13)</f>
        <v/>
      </c>
      <c r="R11" s="90">
        <f>XIRR(C49:DB49,FS_Annual!C13:FS_Annual!DB13)</f>
        <v/>
      </c>
      <c r="S11" s="90">
        <f>XIRR(C51:DB51,FS_Annual!C13:FS_Annual!DB13)</f>
        <v/>
      </c>
      <c r="T11" s="90">
        <f>XIRR(C53:DB53,FS_Annual!C13:FS_Annual!DB13)</f>
        <v/>
      </c>
      <c r="U11" s="90">
        <f>XIRR(C55:DB55,FS_Annual!C13:FS_Annual!DB13)</f>
        <v/>
      </c>
      <c r="V11" s="90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0">
        <f>XIRR(C20:DB20,FS_Annual!C13:FS_Annual!DB13)</f>
        <v/>
      </c>
      <c r="D12" s="90">
        <f>XIRR(C22:DB22,FS_Annual!C13:FS_Annual!DB13)</f>
        <v/>
      </c>
      <c r="E12" s="90">
        <f>XIRR(C24:DB24,FS_Annual!C13:FS_Annual!DB13)</f>
        <v/>
      </c>
      <c r="F12" s="90">
        <f>XIRR(C26:DB26,FS_Annual!C13:FS_Annual!DB13)</f>
        <v/>
      </c>
      <c r="G12" s="90">
        <f>XIRR(C28:DB28,FS_Annual!C13:FS_Annual!DB13)</f>
        <v/>
      </c>
      <c r="H12" s="90">
        <f>XIRR(C30:DB30,FS_Annual!C13:FS_Annual!DB13)</f>
        <v/>
      </c>
      <c r="I12" s="90">
        <f>XIRR(C32:DB32,FS_Annual!C13:FS_Annual!DB13)</f>
        <v/>
      </c>
      <c r="J12" s="90">
        <f>XIRR(C34:DB34,FS_Annual!C13:FS_Annual!DB13)</f>
        <v/>
      </c>
      <c r="K12" s="90">
        <f>XIRR(C36:DB36,FS_Annual!C13:FS_Annual!DB13)</f>
        <v/>
      </c>
      <c r="L12" s="90">
        <f>XIRR(C38:DB38,FS_Annual!C13:FS_Annual!DB13)</f>
        <v/>
      </c>
      <c r="M12" s="90">
        <f>XIRR(C40:DB40,FS_Annual!C13:FS_Annual!DB13)</f>
        <v/>
      </c>
      <c r="N12" s="90">
        <f>XIRR(C42:DB42,FS_Annual!C13:FS_Annual!DB13)</f>
        <v/>
      </c>
      <c r="O12" s="90">
        <f>XIRR(C44:DB44,FS_Annual!C13:FS_Annual!DB13)</f>
        <v/>
      </c>
      <c r="P12" s="90">
        <f>XIRR(C46:DB46,FS_Annual!C13:FS_Annual!DB13)</f>
        <v/>
      </c>
      <c r="Q12" s="90">
        <f>XIRR(C48:DB48,FS_Annual!C13:FS_Annual!DB13)</f>
        <v/>
      </c>
      <c r="R12" s="90">
        <f>XIRR(C50:DB50,FS_Annual!C13:FS_Annual!DB13)</f>
        <v/>
      </c>
      <c r="S12" s="90">
        <f>XIRR(C52:DB52,FS_Annual!C13:FS_Annual!DB13)</f>
        <v/>
      </c>
      <c r="T12" s="90">
        <f>XIRR(C54:DB54,FS_Annual!C13:FS_Annual!DB13)</f>
        <v/>
      </c>
      <c r="U12" s="90">
        <f>XIRR(C56:DB56,FS_Annual!C13:FS_Annual!DB13)</f>
        <v/>
      </c>
      <c r="V12" s="90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2">
        <f>IF(ROUND(V8,0)=0,1,0)</f>
        <v/>
      </c>
    </row>
    <row r="18">
      <c r="A18" s="58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2">
        <f>FS_Annual!C15</f>
        <v/>
      </c>
      <c r="D19" s="92">
        <f>FS_Annual!D15</f>
        <v/>
      </c>
      <c r="E19" s="92">
        <f>FS_Annual!E15</f>
        <v/>
      </c>
      <c r="F19" s="92">
        <f>FS_Annual!F15</f>
        <v/>
      </c>
      <c r="G19" s="92">
        <f>FS_Annual!G15</f>
        <v/>
      </c>
      <c r="H19" s="92">
        <f>FS_Annual!H15</f>
        <v/>
      </c>
      <c r="I19" s="92">
        <f>FS_Annual!I15</f>
        <v/>
      </c>
      <c r="J19" s="92">
        <f>FS_Annual!J15</f>
        <v/>
      </c>
      <c r="K19" s="92">
        <f>FS_Annual!K15</f>
        <v/>
      </c>
      <c r="L19" s="92">
        <f>FS_Annual!L15</f>
        <v/>
      </c>
      <c r="M19" s="92">
        <f>FS_Annual!M15</f>
        <v/>
      </c>
      <c r="N19" s="92">
        <f>FS_Annual!N15</f>
        <v/>
      </c>
      <c r="O19" s="92">
        <f>FS_Annual!O15</f>
        <v/>
      </c>
      <c r="P19" s="92">
        <f>FS_Annual!P15</f>
        <v/>
      </c>
      <c r="Q19" s="92">
        <f>FS_Annual!Q15</f>
        <v/>
      </c>
      <c r="R19" s="92">
        <f>FS_Annual!R15</f>
        <v/>
      </c>
      <c r="S19" s="92">
        <f>FS_Annual!S15</f>
        <v/>
      </c>
      <c r="T19" s="92">
        <f>FS_Annual!T15</f>
        <v/>
      </c>
      <c r="U19" s="92">
        <f>FS_Annual!U15</f>
        <v/>
      </c>
      <c r="V19" s="92">
        <f>FS_Annual!V15</f>
        <v/>
      </c>
      <c r="W19" s="92">
        <f>FS_Annual!W15</f>
        <v/>
      </c>
      <c r="X19" s="92">
        <f>FS_Annual!X15</f>
        <v/>
      </c>
      <c r="Y19" s="92">
        <f>FS_Annual!Y15</f>
        <v/>
      </c>
      <c r="Z19" s="92">
        <f>FS_Annual!Z15</f>
        <v/>
      </c>
      <c r="AA19" s="92">
        <f>FS_Annual!AA15</f>
        <v/>
      </c>
      <c r="AB19" s="92">
        <f>FS_Annual!AB15</f>
        <v/>
      </c>
      <c r="AC19" s="92">
        <f>FS_Annual!AC15</f>
        <v/>
      </c>
      <c r="AD19" s="92">
        <f>FS_Annual!AD15+C8</f>
        <v/>
      </c>
      <c r="AE19" s="92" t="n">
        <v>0</v>
      </c>
      <c r="AF19" s="92" t="n">
        <v>0</v>
      </c>
      <c r="AG19" s="92" t="n">
        <v>0</v>
      </c>
      <c r="AH19" s="92" t="n">
        <v>0</v>
      </c>
      <c r="AI19" s="92" t="n">
        <v>0</v>
      </c>
      <c r="AJ19" s="92" t="n">
        <v>0</v>
      </c>
      <c r="AK19" s="92" t="n">
        <v>0</v>
      </c>
      <c r="AL19" s="92" t="n">
        <v>0</v>
      </c>
      <c r="AM19" s="92" t="n">
        <v>0</v>
      </c>
      <c r="AN19" s="92" t="n">
        <v>0</v>
      </c>
      <c r="AO19" s="92" t="n">
        <v>0</v>
      </c>
      <c r="AP19" s="92" t="n">
        <v>0</v>
      </c>
      <c r="AQ19" s="92" t="n">
        <v>0</v>
      </c>
      <c r="AR19" s="92" t="n">
        <v>0</v>
      </c>
      <c r="AS19" s="92" t="n">
        <v>0</v>
      </c>
      <c r="AT19" s="92" t="n">
        <v>0</v>
      </c>
      <c r="AU19" s="92" t="n">
        <v>0</v>
      </c>
      <c r="AV19" s="92" t="n">
        <v>0</v>
      </c>
      <c r="AW19" s="92" t="n">
        <v>0</v>
      </c>
      <c r="AX19" s="92" t="n">
        <v>0</v>
      </c>
      <c r="AY19" s="92" t="n">
        <v>0</v>
      </c>
      <c r="AZ19" s="92" t="n">
        <v>0</v>
      </c>
      <c r="BA19" s="92" t="n">
        <v>0</v>
      </c>
      <c r="BB19" s="92" t="n">
        <v>0</v>
      </c>
      <c r="BC19" s="92" t="n">
        <v>0</v>
      </c>
      <c r="BD19" s="92" t="n">
        <v>0</v>
      </c>
      <c r="BE19" s="92" t="n">
        <v>0</v>
      </c>
      <c r="BF19" s="92" t="n">
        <v>0</v>
      </c>
      <c r="BG19" s="92" t="n">
        <v>0</v>
      </c>
      <c r="BH19" s="92" t="n">
        <v>0</v>
      </c>
      <c r="BI19" s="92" t="n">
        <v>0</v>
      </c>
      <c r="BJ19" s="92" t="n">
        <v>0</v>
      </c>
      <c r="BK19" s="92" t="n">
        <v>0</v>
      </c>
      <c r="BL19" s="92" t="n">
        <v>0</v>
      </c>
      <c r="BM19" s="92" t="n">
        <v>0</v>
      </c>
      <c r="BN19" s="92" t="n">
        <v>0</v>
      </c>
      <c r="BO19" s="92" t="n">
        <v>0</v>
      </c>
      <c r="BP19" s="92" t="n">
        <v>0</v>
      </c>
      <c r="BQ19" s="92" t="n">
        <v>0</v>
      </c>
      <c r="BR19" s="92" t="n">
        <v>0</v>
      </c>
      <c r="BS19" s="92" t="n">
        <v>0</v>
      </c>
      <c r="BT19" s="92" t="n">
        <v>0</v>
      </c>
      <c r="BU19" s="92" t="n">
        <v>0</v>
      </c>
      <c r="BV19" s="92" t="n">
        <v>0</v>
      </c>
      <c r="BW19" s="92" t="n">
        <v>0</v>
      </c>
      <c r="BX19" s="92" t="n">
        <v>0</v>
      </c>
      <c r="BY19" s="92" t="n">
        <v>0</v>
      </c>
      <c r="BZ19" s="92" t="n">
        <v>0</v>
      </c>
      <c r="CA19" s="92" t="n">
        <v>0</v>
      </c>
      <c r="CB19" s="92" t="n">
        <v>0</v>
      </c>
      <c r="CC19" s="92" t="n">
        <v>0</v>
      </c>
      <c r="CD19" s="92" t="n">
        <v>0</v>
      </c>
      <c r="CE19" s="92" t="n">
        <v>0</v>
      </c>
      <c r="CF19" s="92" t="n">
        <v>0</v>
      </c>
      <c r="CG19" s="92" t="n">
        <v>0</v>
      </c>
      <c r="CH19" s="92" t="n">
        <v>0</v>
      </c>
      <c r="CI19" s="92" t="n">
        <v>0</v>
      </c>
      <c r="CJ19" s="92" t="n">
        <v>0</v>
      </c>
      <c r="CK19" s="92" t="n">
        <v>0</v>
      </c>
      <c r="CL19" s="92" t="n">
        <v>0</v>
      </c>
      <c r="CM19" s="92" t="n">
        <v>0</v>
      </c>
      <c r="CN19" s="92" t="n">
        <v>0</v>
      </c>
      <c r="CO19" s="92" t="n">
        <v>0</v>
      </c>
      <c r="CP19" s="92" t="n">
        <v>0</v>
      </c>
      <c r="CQ19" s="92" t="n">
        <v>0</v>
      </c>
      <c r="CR19" s="92" t="n">
        <v>0</v>
      </c>
      <c r="CS19" s="92" t="n">
        <v>0</v>
      </c>
      <c r="CT19" s="92" t="n">
        <v>0</v>
      </c>
      <c r="CU19" s="92" t="n">
        <v>0</v>
      </c>
      <c r="CV19" s="92" t="n">
        <v>0</v>
      </c>
      <c r="CW19" s="92" t="n">
        <v>0</v>
      </c>
      <c r="CX19" s="92" t="n">
        <v>0</v>
      </c>
      <c r="CY19" s="92" t="n">
        <v>0</v>
      </c>
      <c r="CZ19" s="92" t="n">
        <v>0</v>
      </c>
      <c r="DA19" s="92" t="n">
        <v>0</v>
      </c>
      <c r="DB19" s="92" t="n">
        <v>0</v>
      </c>
    </row>
    <row r="20">
      <c r="A20" t="inlineStr">
        <is>
          <t>Yr 1 exit — Buyer Project CF</t>
        </is>
      </c>
      <c r="C20" s="92" t="n">
        <v>0</v>
      </c>
      <c r="D20" s="92" t="n">
        <v>0</v>
      </c>
      <c r="E20" s="92" t="n">
        <v>0</v>
      </c>
      <c r="F20" s="92" t="n">
        <v>0</v>
      </c>
      <c r="G20" s="92" t="n">
        <v>0</v>
      </c>
      <c r="H20" s="92" t="n">
        <v>0</v>
      </c>
      <c r="I20" s="92" t="n">
        <v>0</v>
      </c>
      <c r="J20" s="92" t="n">
        <v>0</v>
      </c>
      <c r="K20" s="92" t="n">
        <v>0</v>
      </c>
      <c r="L20" s="92" t="n">
        <v>0</v>
      </c>
      <c r="M20" s="92" t="n">
        <v>0</v>
      </c>
      <c r="N20" s="92" t="n">
        <v>0</v>
      </c>
      <c r="O20" s="92" t="n">
        <v>0</v>
      </c>
      <c r="P20" s="92" t="n">
        <v>0</v>
      </c>
      <c r="Q20" s="92" t="n">
        <v>0</v>
      </c>
      <c r="R20" s="92" t="n">
        <v>0</v>
      </c>
      <c r="S20" s="92" t="n">
        <v>0</v>
      </c>
      <c r="T20" s="92" t="n">
        <v>0</v>
      </c>
      <c r="U20" s="92" t="n">
        <v>0</v>
      </c>
      <c r="V20" s="92" t="n">
        <v>0</v>
      </c>
      <c r="W20" s="92" t="n">
        <v>0</v>
      </c>
      <c r="X20" s="92" t="n">
        <v>0</v>
      </c>
      <c r="Y20" s="92" t="n">
        <v>0</v>
      </c>
      <c r="Z20" s="92" t="n">
        <v>0</v>
      </c>
      <c r="AA20" s="92" t="n">
        <v>0</v>
      </c>
      <c r="AB20" s="92" t="n">
        <v>0</v>
      </c>
      <c r="AC20" s="92" t="n">
        <v>0</v>
      </c>
      <c r="AD20" s="92">
        <f>-C10</f>
        <v/>
      </c>
      <c r="AE20" s="92">
        <f>FS_Annual!AE14</f>
        <v/>
      </c>
      <c r="AF20" s="92">
        <f>FS_Annual!AF14</f>
        <v/>
      </c>
      <c r="AG20" s="92">
        <f>FS_Annual!AG14</f>
        <v/>
      </c>
      <c r="AH20" s="92">
        <f>FS_Annual!AH14</f>
        <v/>
      </c>
      <c r="AI20" s="92">
        <f>FS_Annual!AI14</f>
        <v/>
      </c>
      <c r="AJ20" s="92">
        <f>FS_Annual!AJ14</f>
        <v/>
      </c>
      <c r="AK20" s="92">
        <f>FS_Annual!AK14</f>
        <v/>
      </c>
      <c r="AL20" s="92">
        <f>FS_Annual!AL14</f>
        <v/>
      </c>
      <c r="AM20" s="92">
        <f>FS_Annual!AM14</f>
        <v/>
      </c>
      <c r="AN20" s="92">
        <f>FS_Annual!AN14</f>
        <v/>
      </c>
      <c r="AO20" s="92">
        <f>FS_Annual!AO14</f>
        <v/>
      </c>
      <c r="AP20" s="92">
        <f>FS_Annual!AP14</f>
        <v/>
      </c>
      <c r="AQ20" s="92">
        <f>FS_Annual!AQ14</f>
        <v/>
      </c>
      <c r="AR20" s="92">
        <f>FS_Annual!AR14</f>
        <v/>
      </c>
      <c r="AS20" s="92">
        <f>FS_Annual!AS14</f>
        <v/>
      </c>
      <c r="AT20" s="92">
        <f>FS_Annual!AT14</f>
        <v/>
      </c>
      <c r="AU20" s="92">
        <f>FS_Annual!AU14</f>
        <v/>
      </c>
      <c r="AV20" s="92">
        <f>FS_Annual!AV14</f>
        <v/>
      </c>
      <c r="AW20" s="92">
        <f>FS_Annual!AW14</f>
        <v/>
      </c>
      <c r="AX20" s="92">
        <f>FS_Annual!AX14</f>
        <v/>
      </c>
      <c r="AY20" s="92">
        <f>FS_Annual!AY14</f>
        <v/>
      </c>
      <c r="AZ20" s="92">
        <f>FS_Annual!AZ14</f>
        <v/>
      </c>
      <c r="BA20" s="92">
        <f>FS_Annual!BA14</f>
        <v/>
      </c>
      <c r="BB20" s="92">
        <f>FS_Annual!BB14</f>
        <v/>
      </c>
      <c r="BC20" s="92">
        <f>FS_Annual!BC14</f>
        <v/>
      </c>
      <c r="BD20" s="92">
        <f>FS_Annual!BD14</f>
        <v/>
      </c>
      <c r="BE20" s="92">
        <f>FS_Annual!BE14</f>
        <v/>
      </c>
      <c r="BF20" s="92">
        <f>FS_Annual!BF14</f>
        <v/>
      </c>
      <c r="BG20" s="92">
        <f>FS_Annual!BG14</f>
        <v/>
      </c>
      <c r="BH20" s="92">
        <f>FS_Annual!BH14</f>
        <v/>
      </c>
      <c r="BI20" s="92">
        <f>FS_Annual!BI14</f>
        <v/>
      </c>
      <c r="BJ20" s="92">
        <f>FS_Annual!BJ14</f>
        <v/>
      </c>
      <c r="BK20" s="92">
        <f>FS_Annual!BK14</f>
        <v/>
      </c>
      <c r="BL20" s="92">
        <f>FS_Annual!BL14</f>
        <v/>
      </c>
      <c r="BM20" s="92">
        <f>FS_Annual!BM14</f>
        <v/>
      </c>
      <c r="BN20" s="92">
        <f>FS_Annual!BN14</f>
        <v/>
      </c>
      <c r="BO20" s="92">
        <f>FS_Annual!BO14</f>
        <v/>
      </c>
      <c r="BP20" s="92">
        <f>FS_Annual!BP14</f>
        <v/>
      </c>
      <c r="BQ20" s="92">
        <f>FS_Annual!BQ14</f>
        <v/>
      </c>
      <c r="BR20" s="92">
        <f>FS_Annual!BR14</f>
        <v/>
      </c>
      <c r="BS20" s="92">
        <f>FS_Annual!BS14</f>
        <v/>
      </c>
      <c r="BT20" s="92">
        <f>FS_Annual!BT14</f>
        <v/>
      </c>
      <c r="BU20" s="92">
        <f>FS_Annual!BU14</f>
        <v/>
      </c>
      <c r="BV20" s="92">
        <f>FS_Annual!BV14</f>
        <v/>
      </c>
      <c r="BW20" s="92">
        <f>FS_Annual!BW14</f>
        <v/>
      </c>
      <c r="BX20" s="92">
        <f>FS_Annual!BX14</f>
        <v/>
      </c>
      <c r="BY20" s="92">
        <f>FS_Annual!BY14</f>
        <v/>
      </c>
      <c r="BZ20" s="92">
        <f>FS_Annual!BZ14</f>
        <v/>
      </c>
      <c r="CA20" s="92">
        <f>FS_Annual!CA14</f>
        <v/>
      </c>
      <c r="CB20" s="92">
        <f>FS_Annual!CB14</f>
        <v/>
      </c>
      <c r="CC20" s="92">
        <f>FS_Annual!CC14</f>
        <v/>
      </c>
      <c r="CD20" s="92">
        <f>FS_Annual!CD14</f>
        <v/>
      </c>
      <c r="CE20" s="92">
        <f>FS_Annual!CE14</f>
        <v/>
      </c>
      <c r="CF20" s="92">
        <f>FS_Annual!CF14</f>
        <v/>
      </c>
      <c r="CG20" s="92">
        <f>FS_Annual!CG14</f>
        <v/>
      </c>
      <c r="CH20" s="92">
        <f>FS_Annual!CH14</f>
        <v/>
      </c>
      <c r="CI20" s="92">
        <f>FS_Annual!CI14</f>
        <v/>
      </c>
      <c r="CJ20" s="92">
        <f>FS_Annual!CJ14</f>
        <v/>
      </c>
      <c r="CK20" s="92">
        <f>FS_Annual!CK14</f>
        <v/>
      </c>
      <c r="CL20" s="92">
        <f>FS_Annual!CL14</f>
        <v/>
      </c>
      <c r="CM20" s="92">
        <f>FS_Annual!CM14</f>
        <v/>
      </c>
      <c r="CN20" s="92">
        <f>FS_Annual!CN14</f>
        <v/>
      </c>
      <c r="CO20" s="92">
        <f>FS_Annual!CO14</f>
        <v/>
      </c>
      <c r="CP20" s="92">
        <f>FS_Annual!CP14</f>
        <v/>
      </c>
      <c r="CQ20" s="92">
        <f>FS_Annual!CQ14</f>
        <v/>
      </c>
      <c r="CR20" s="92">
        <f>FS_Annual!CR14</f>
        <v/>
      </c>
      <c r="CS20" s="92">
        <f>FS_Annual!CS14</f>
        <v/>
      </c>
      <c r="CT20" s="92">
        <f>FS_Annual!CT14</f>
        <v/>
      </c>
      <c r="CU20" s="92">
        <f>FS_Annual!CU14</f>
        <v/>
      </c>
      <c r="CV20" s="92">
        <f>FS_Annual!CV14</f>
        <v/>
      </c>
      <c r="CW20" s="92">
        <f>FS_Annual!CW14</f>
        <v/>
      </c>
      <c r="CX20" s="92">
        <f>FS_Annual!CX14</f>
        <v/>
      </c>
      <c r="CY20" s="92">
        <f>FS_Annual!CY14</f>
        <v/>
      </c>
      <c r="CZ20" s="92">
        <f>FS_Annual!CZ14</f>
        <v/>
      </c>
      <c r="DA20" s="92">
        <f>FS_Annual!DA14</f>
        <v/>
      </c>
      <c r="DB20" s="92">
        <f>FS_Annual!DB14</f>
        <v/>
      </c>
    </row>
    <row r="21">
      <c r="A21" t="inlineStr">
        <is>
          <t>Yr 2 exit — Seller Equity CF</t>
        </is>
      </c>
      <c r="C21" s="92">
        <f>FS_Annual!C15</f>
        <v/>
      </c>
      <c r="D21" s="92">
        <f>FS_Annual!D15</f>
        <v/>
      </c>
      <c r="E21" s="92">
        <f>FS_Annual!E15</f>
        <v/>
      </c>
      <c r="F21" s="92">
        <f>FS_Annual!F15</f>
        <v/>
      </c>
      <c r="G21" s="92">
        <f>FS_Annual!G15</f>
        <v/>
      </c>
      <c r="H21" s="92">
        <f>FS_Annual!H15</f>
        <v/>
      </c>
      <c r="I21" s="92">
        <f>FS_Annual!I15</f>
        <v/>
      </c>
      <c r="J21" s="92">
        <f>FS_Annual!J15</f>
        <v/>
      </c>
      <c r="K21" s="92">
        <f>FS_Annual!K15</f>
        <v/>
      </c>
      <c r="L21" s="92">
        <f>FS_Annual!L15</f>
        <v/>
      </c>
      <c r="M21" s="92">
        <f>FS_Annual!M15</f>
        <v/>
      </c>
      <c r="N21" s="92">
        <f>FS_Annual!N15</f>
        <v/>
      </c>
      <c r="O21" s="92">
        <f>FS_Annual!O15</f>
        <v/>
      </c>
      <c r="P21" s="92">
        <f>FS_Annual!P15</f>
        <v/>
      </c>
      <c r="Q21" s="92">
        <f>FS_Annual!Q15</f>
        <v/>
      </c>
      <c r="R21" s="92">
        <f>FS_Annual!R15</f>
        <v/>
      </c>
      <c r="S21" s="92">
        <f>FS_Annual!S15</f>
        <v/>
      </c>
      <c r="T21" s="92">
        <f>FS_Annual!T15</f>
        <v/>
      </c>
      <c r="U21" s="92">
        <f>FS_Annual!U15</f>
        <v/>
      </c>
      <c r="V21" s="92">
        <f>FS_Annual!V15</f>
        <v/>
      </c>
      <c r="W21" s="92">
        <f>FS_Annual!W15</f>
        <v/>
      </c>
      <c r="X21" s="92">
        <f>FS_Annual!X15</f>
        <v/>
      </c>
      <c r="Y21" s="92">
        <f>FS_Annual!Y15</f>
        <v/>
      </c>
      <c r="Z21" s="92">
        <f>FS_Annual!Z15</f>
        <v/>
      </c>
      <c r="AA21" s="92">
        <f>FS_Annual!AA15</f>
        <v/>
      </c>
      <c r="AB21" s="92">
        <f>FS_Annual!AB15</f>
        <v/>
      </c>
      <c r="AC21" s="92">
        <f>FS_Annual!AC15</f>
        <v/>
      </c>
      <c r="AD21" s="92">
        <f>FS_Annual!AD15</f>
        <v/>
      </c>
      <c r="AE21" s="92">
        <f>FS_Annual!AE15</f>
        <v/>
      </c>
      <c r="AF21" s="92">
        <f>FS_Annual!AF15</f>
        <v/>
      </c>
      <c r="AG21" s="92">
        <f>FS_Annual!AG15</f>
        <v/>
      </c>
      <c r="AH21" s="92">
        <f>FS_Annual!AH15+D8</f>
        <v/>
      </c>
      <c r="AI21" s="92" t="n">
        <v>0</v>
      </c>
      <c r="AJ21" s="92" t="n">
        <v>0</v>
      </c>
      <c r="AK21" s="92" t="n">
        <v>0</v>
      </c>
      <c r="AL21" s="92" t="n">
        <v>0</v>
      </c>
      <c r="AM21" s="92" t="n">
        <v>0</v>
      </c>
      <c r="AN21" s="92" t="n">
        <v>0</v>
      </c>
      <c r="AO21" s="92" t="n">
        <v>0</v>
      </c>
      <c r="AP21" s="92" t="n">
        <v>0</v>
      </c>
      <c r="AQ21" s="92" t="n">
        <v>0</v>
      </c>
      <c r="AR21" s="92" t="n">
        <v>0</v>
      </c>
      <c r="AS21" s="92" t="n">
        <v>0</v>
      </c>
      <c r="AT21" s="92" t="n">
        <v>0</v>
      </c>
      <c r="AU21" s="92" t="n">
        <v>0</v>
      </c>
      <c r="AV21" s="92" t="n">
        <v>0</v>
      </c>
      <c r="AW21" s="92" t="n">
        <v>0</v>
      </c>
      <c r="AX21" s="92" t="n">
        <v>0</v>
      </c>
      <c r="AY21" s="92" t="n">
        <v>0</v>
      </c>
      <c r="AZ21" s="92" t="n">
        <v>0</v>
      </c>
      <c r="BA21" s="92" t="n">
        <v>0</v>
      </c>
      <c r="BB21" s="92" t="n">
        <v>0</v>
      </c>
      <c r="BC21" s="92" t="n">
        <v>0</v>
      </c>
      <c r="BD21" s="92" t="n">
        <v>0</v>
      </c>
      <c r="BE21" s="92" t="n">
        <v>0</v>
      </c>
      <c r="BF21" s="92" t="n">
        <v>0</v>
      </c>
      <c r="BG21" s="92" t="n">
        <v>0</v>
      </c>
      <c r="BH21" s="92" t="n">
        <v>0</v>
      </c>
      <c r="BI21" s="92" t="n">
        <v>0</v>
      </c>
      <c r="BJ21" s="92" t="n">
        <v>0</v>
      </c>
      <c r="BK21" s="92" t="n">
        <v>0</v>
      </c>
      <c r="BL21" s="92" t="n">
        <v>0</v>
      </c>
      <c r="BM21" s="92" t="n">
        <v>0</v>
      </c>
      <c r="BN21" s="92" t="n">
        <v>0</v>
      </c>
      <c r="BO21" s="92" t="n">
        <v>0</v>
      </c>
      <c r="BP21" s="92" t="n">
        <v>0</v>
      </c>
      <c r="BQ21" s="92" t="n">
        <v>0</v>
      </c>
      <c r="BR21" s="92" t="n">
        <v>0</v>
      </c>
      <c r="BS21" s="92" t="n">
        <v>0</v>
      </c>
      <c r="BT21" s="92" t="n">
        <v>0</v>
      </c>
      <c r="BU21" s="92" t="n">
        <v>0</v>
      </c>
      <c r="BV21" s="92" t="n">
        <v>0</v>
      </c>
      <c r="BW21" s="92" t="n">
        <v>0</v>
      </c>
      <c r="BX21" s="92" t="n">
        <v>0</v>
      </c>
      <c r="BY21" s="92" t="n">
        <v>0</v>
      </c>
      <c r="BZ21" s="92" t="n">
        <v>0</v>
      </c>
      <c r="CA21" s="92" t="n">
        <v>0</v>
      </c>
      <c r="CB21" s="92" t="n">
        <v>0</v>
      </c>
      <c r="CC21" s="92" t="n">
        <v>0</v>
      </c>
      <c r="CD21" s="92" t="n">
        <v>0</v>
      </c>
      <c r="CE21" s="92" t="n">
        <v>0</v>
      </c>
      <c r="CF21" s="92" t="n">
        <v>0</v>
      </c>
      <c r="CG21" s="92" t="n">
        <v>0</v>
      </c>
      <c r="CH21" s="92" t="n">
        <v>0</v>
      </c>
      <c r="CI21" s="92" t="n">
        <v>0</v>
      </c>
      <c r="CJ21" s="92" t="n">
        <v>0</v>
      </c>
      <c r="CK21" s="92" t="n">
        <v>0</v>
      </c>
      <c r="CL21" s="92" t="n">
        <v>0</v>
      </c>
      <c r="CM21" s="92" t="n">
        <v>0</v>
      </c>
      <c r="CN21" s="92" t="n">
        <v>0</v>
      </c>
      <c r="CO21" s="92" t="n">
        <v>0</v>
      </c>
      <c r="CP21" s="92" t="n">
        <v>0</v>
      </c>
      <c r="CQ21" s="92" t="n">
        <v>0</v>
      </c>
      <c r="CR21" s="92" t="n">
        <v>0</v>
      </c>
      <c r="CS21" s="92" t="n">
        <v>0</v>
      </c>
      <c r="CT21" s="92" t="n">
        <v>0</v>
      </c>
      <c r="CU21" s="92" t="n">
        <v>0</v>
      </c>
      <c r="CV21" s="92" t="n">
        <v>0</v>
      </c>
      <c r="CW21" s="92" t="n">
        <v>0</v>
      </c>
      <c r="CX21" s="92" t="n">
        <v>0</v>
      </c>
      <c r="CY21" s="92" t="n">
        <v>0</v>
      </c>
      <c r="CZ21" s="92" t="n">
        <v>0</v>
      </c>
      <c r="DA21" s="92" t="n">
        <v>0</v>
      </c>
      <c r="DB21" s="92" t="n">
        <v>0</v>
      </c>
    </row>
    <row r="22">
      <c r="A22" t="inlineStr">
        <is>
          <t>Yr 2 exit — Buyer Project CF</t>
        </is>
      </c>
      <c r="C22" s="92" t="n">
        <v>0</v>
      </c>
      <c r="D22" s="92" t="n">
        <v>0</v>
      </c>
      <c r="E22" s="92" t="n">
        <v>0</v>
      </c>
      <c r="F22" s="92" t="n">
        <v>0</v>
      </c>
      <c r="G22" s="92" t="n">
        <v>0</v>
      </c>
      <c r="H22" s="92" t="n">
        <v>0</v>
      </c>
      <c r="I22" s="92" t="n">
        <v>0</v>
      </c>
      <c r="J22" s="92" t="n">
        <v>0</v>
      </c>
      <c r="K22" s="92" t="n">
        <v>0</v>
      </c>
      <c r="L22" s="92" t="n">
        <v>0</v>
      </c>
      <c r="M22" s="92" t="n">
        <v>0</v>
      </c>
      <c r="N22" s="92" t="n">
        <v>0</v>
      </c>
      <c r="O22" s="92" t="n">
        <v>0</v>
      </c>
      <c r="P22" s="92" t="n">
        <v>0</v>
      </c>
      <c r="Q22" s="92" t="n">
        <v>0</v>
      </c>
      <c r="R22" s="92" t="n">
        <v>0</v>
      </c>
      <c r="S22" s="92" t="n">
        <v>0</v>
      </c>
      <c r="T22" s="92" t="n">
        <v>0</v>
      </c>
      <c r="U22" s="92" t="n">
        <v>0</v>
      </c>
      <c r="V22" s="92" t="n">
        <v>0</v>
      </c>
      <c r="W22" s="92" t="n">
        <v>0</v>
      </c>
      <c r="X22" s="92" t="n">
        <v>0</v>
      </c>
      <c r="Y22" s="92" t="n">
        <v>0</v>
      </c>
      <c r="Z22" s="92" t="n">
        <v>0</v>
      </c>
      <c r="AA22" s="92" t="n">
        <v>0</v>
      </c>
      <c r="AB22" s="92" t="n">
        <v>0</v>
      </c>
      <c r="AC22" s="92" t="n">
        <v>0</v>
      </c>
      <c r="AD22" s="92" t="n">
        <v>0</v>
      </c>
      <c r="AE22" s="92" t="n">
        <v>0</v>
      </c>
      <c r="AF22" s="92" t="n">
        <v>0</v>
      </c>
      <c r="AG22" s="92" t="n">
        <v>0</v>
      </c>
      <c r="AH22" s="92">
        <f>-D10</f>
        <v/>
      </c>
      <c r="AI22" s="92">
        <f>FS_Annual!AI14</f>
        <v/>
      </c>
      <c r="AJ22" s="92">
        <f>FS_Annual!AJ14</f>
        <v/>
      </c>
      <c r="AK22" s="92">
        <f>FS_Annual!AK14</f>
        <v/>
      </c>
      <c r="AL22" s="92">
        <f>FS_Annual!AL14</f>
        <v/>
      </c>
      <c r="AM22" s="92">
        <f>FS_Annual!AM14</f>
        <v/>
      </c>
      <c r="AN22" s="92">
        <f>FS_Annual!AN14</f>
        <v/>
      </c>
      <c r="AO22" s="92">
        <f>FS_Annual!AO14</f>
        <v/>
      </c>
      <c r="AP22" s="92">
        <f>FS_Annual!AP14</f>
        <v/>
      </c>
      <c r="AQ22" s="92">
        <f>FS_Annual!AQ14</f>
        <v/>
      </c>
      <c r="AR22" s="92">
        <f>FS_Annual!AR14</f>
        <v/>
      </c>
      <c r="AS22" s="92">
        <f>FS_Annual!AS14</f>
        <v/>
      </c>
      <c r="AT22" s="92">
        <f>FS_Annual!AT14</f>
        <v/>
      </c>
      <c r="AU22" s="92">
        <f>FS_Annual!AU14</f>
        <v/>
      </c>
      <c r="AV22" s="92">
        <f>FS_Annual!AV14</f>
        <v/>
      </c>
      <c r="AW22" s="92">
        <f>FS_Annual!AW14</f>
        <v/>
      </c>
      <c r="AX22" s="92">
        <f>FS_Annual!AX14</f>
        <v/>
      </c>
      <c r="AY22" s="92">
        <f>FS_Annual!AY14</f>
        <v/>
      </c>
      <c r="AZ22" s="92">
        <f>FS_Annual!AZ14</f>
        <v/>
      </c>
      <c r="BA22" s="92">
        <f>FS_Annual!BA14</f>
        <v/>
      </c>
      <c r="BB22" s="92">
        <f>FS_Annual!BB14</f>
        <v/>
      </c>
      <c r="BC22" s="92">
        <f>FS_Annual!BC14</f>
        <v/>
      </c>
      <c r="BD22" s="92">
        <f>FS_Annual!BD14</f>
        <v/>
      </c>
      <c r="BE22" s="92">
        <f>FS_Annual!BE14</f>
        <v/>
      </c>
      <c r="BF22" s="92">
        <f>FS_Annual!BF14</f>
        <v/>
      </c>
      <c r="BG22" s="92">
        <f>FS_Annual!BG14</f>
        <v/>
      </c>
      <c r="BH22" s="92">
        <f>FS_Annual!BH14</f>
        <v/>
      </c>
      <c r="BI22" s="92">
        <f>FS_Annual!BI14</f>
        <v/>
      </c>
      <c r="BJ22" s="92">
        <f>FS_Annual!BJ14</f>
        <v/>
      </c>
      <c r="BK22" s="92">
        <f>FS_Annual!BK14</f>
        <v/>
      </c>
      <c r="BL22" s="92">
        <f>FS_Annual!BL14</f>
        <v/>
      </c>
      <c r="BM22" s="92">
        <f>FS_Annual!BM14</f>
        <v/>
      </c>
      <c r="BN22" s="92">
        <f>FS_Annual!BN14</f>
        <v/>
      </c>
      <c r="BO22" s="92">
        <f>FS_Annual!BO14</f>
        <v/>
      </c>
      <c r="BP22" s="92">
        <f>FS_Annual!BP14</f>
        <v/>
      </c>
      <c r="BQ22" s="92">
        <f>FS_Annual!BQ14</f>
        <v/>
      </c>
      <c r="BR22" s="92">
        <f>FS_Annual!BR14</f>
        <v/>
      </c>
      <c r="BS22" s="92">
        <f>FS_Annual!BS14</f>
        <v/>
      </c>
      <c r="BT22" s="92">
        <f>FS_Annual!BT14</f>
        <v/>
      </c>
      <c r="BU22" s="92">
        <f>FS_Annual!BU14</f>
        <v/>
      </c>
      <c r="BV22" s="92">
        <f>FS_Annual!BV14</f>
        <v/>
      </c>
      <c r="BW22" s="92">
        <f>FS_Annual!BW14</f>
        <v/>
      </c>
      <c r="BX22" s="92">
        <f>FS_Annual!BX14</f>
        <v/>
      </c>
      <c r="BY22" s="92">
        <f>FS_Annual!BY14</f>
        <v/>
      </c>
      <c r="BZ22" s="92">
        <f>FS_Annual!BZ14</f>
        <v/>
      </c>
      <c r="CA22" s="92">
        <f>FS_Annual!CA14</f>
        <v/>
      </c>
      <c r="CB22" s="92">
        <f>FS_Annual!CB14</f>
        <v/>
      </c>
      <c r="CC22" s="92">
        <f>FS_Annual!CC14</f>
        <v/>
      </c>
      <c r="CD22" s="92">
        <f>FS_Annual!CD14</f>
        <v/>
      </c>
      <c r="CE22" s="92">
        <f>FS_Annual!CE14</f>
        <v/>
      </c>
      <c r="CF22" s="92">
        <f>FS_Annual!CF14</f>
        <v/>
      </c>
      <c r="CG22" s="92">
        <f>FS_Annual!CG14</f>
        <v/>
      </c>
      <c r="CH22" s="92">
        <f>FS_Annual!CH14</f>
        <v/>
      </c>
      <c r="CI22" s="92">
        <f>FS_Annual!CI14</f>
        <v/>
      </c>
      <c r="CJ22" s="92">
        <f>FS_Annual!CJ14</f>
        <v/>
      </c>
      <c r="CK22" s="92">
        <f>FS_Annual!CK14</f>
        <v/>
      </c>
      <c r="CL22" s="92">
        <f>FS_Annual!CL14</f>
        <v/>
      </c>
      <c r="CM22" s="92">
        <f>FS_Annual!CM14</f>
        <v/>
      </c>
      <c r="CN22" s="92">
        <f>FS_Annual!CN14</f>
        <v/>
      </c>
      <c r="CO22" s="92">
        <f>FS_Annual!CO14</f>
        <v/>
      </c>
      <c r="CP22" s="92">
        <f>FS_Annual!CP14</f>
        <v/>
      </c>
      <c r="CQ22" s="92">
        <f>FS_Annual!CQ14</f>
        <v/>
      </c>
      <c r="CR22" s="92">
        <f>FS_Annual!CR14</f>
        <v/>
      </c>
      <c r="CS22" s="92">
        <f>FS_Annual!CS14</f>
        <v/>
      </c>
      <c r="CT22" s="92">
        <f>FS_Annual!CT14</f>
        <v/>
      </c>
      <c r="CU22" s="92">
        <f>FS_Annual!CU14</f>
        <v/>
      </c>
      <c r="CV22" s="92">
        <f>FS_Annual!CV14</f>
        <v/>
      </c>
      <c r="CW22" s="92">
        <f>FS_Annual!CW14</f>
        <v/>
      </c>
      <c r="CX22" s="92">
        <f>FS_Annual!CX14</f>
        <v/>
      </c>
      <c r="CY22" s="92">
        <f>FS_Annual!CY14</f>
        <v/>
      </c>
      <c r="CZ22" s="92">
        <f>FS_Annual!CZ14</f>
        <v/>
      </c>
      <c r="DA22" s="92">
        <f>FS_Annual!DA14</f>
        <v/>
      </c>
      <c r="DB22" s="92">
        <f>FS_Annual!DB14</f>
        <v/>
      </c>
    </row>
    <row r="23">
      <c r="A23" t="inlineStr">
        <is>
          <t>Yr 3 exit — Seller Equity CF</t>
        </is>
      </c>
      <c r="C23" s="92">
        <f>FS_Annual!C15</f>
        <v/>
      </c>
      <c r="D23" s="92">
        <f>FS_Annual!D15</f>
        <v/>
      </c>
      <c r="E23" s="92">
        <f>FS_Annual!E15</f>
        <v/>
      </c>
      <c r="F23" s="92">
        <f>FS_Annual!F15</f>
        <v/>
      </c>
      <c r="G23" s="92">
        <f>FS_Annual!G15</f>
        <v/>
      </c>
      <c r="H23" s="92">
        <f>FS_Annual!H15</f>
        <v/>
      </c>
      <c r="I23" s="92">
        <f>FS_Annual!I15</f>
        <v/>
      </c>
      <c r="J23" s="92">
        <f>FS_Annual!J15</f>
        <v/>
      </c>
      <c r="K23" s="92">
        <f>FS_Annual!K15</f>
        <v/>
      </c>
      <c r="L23" s="92">
        <f>FS_Annual!L15</f>
        <v/>
      </c>
      <c r="M23" s="92">
        <f>FS_Annual!M15</f>
        <v/>
      </c>
      <c r="N23" s="92">
        <f>FS_Annual!N15</f>
        <v/>
      </c>
      <c r="O23" s="92">
        <f>FS_Annual!O15</f>
        <v/>
      </c>
      <c r="P23" s="92">
        <f>FS_Annual!P15</f>
        <v/>
      </c>
      <c r="Q23" s="92">
        <f>FS_Annual!Q15</f>
        <v/>
      </c>
      <c r="R23" s="92">
        <f>FS_Annual!R15</f>
        <v/>
      </c>
      <c r="S23" s="92">
        <f>FS_Annual!S15</f>
        <v/>
      </c>
      <c r="T23" s="92">
        <f>FS_Annual!T15</f>
        <v/>
      </c>
      <c r="U23" s="92">
        <f>FS_Annual!U15</f>
        <v/>
      </c>
      <c r="V23" s="92">
        <f>FS_Annual!V15</f>
        <v/>
      </c>
      <c r="W23" s="92">
        <f>FS_Annual!W15</f>
        <v/>
      </c>
      <c r="X23" s="92">
        <f>FS_Annual!X15</f>
        <v/>
      </c>
      <c r="Y23" s="92">
        <f>FS_Annual!Y15</f>
        <v/>
      </c>
      <c r="Z23" s="92">
        <f>FS_Annual!Z15</f>
        <v/>
      </c>
      <c r="AA23" s="92">
        <f>FS_Annual!AA15</f>
        <v/>
      </c>
      <c r="AB23" s="92">
        <f>FS_Annual!AB15</f>
        <v/>
      </c>
      <c r="AC23" s="92">
        <f>FS_Annual!AC15</f>
        <v/>
      </c>
      <c r="AD23" s="92">
        <f>FS_Annual!AD15</f>
        <v/>
      </c>
      <c r="AE23" s="92">
        <f>FS_Annual!AE15</f>
        <v/>
      </c>
      <c r="AF23" s="92">
        <f>FS_Annual!AF15</f>
        <v/>
      </c>
      <c r="AG23" s="92">
        <f>FS_Annual!AG15</f>
        <v/>
      </c>
      <c r="AH23" s="92">
        <f>FS_Annual!AH15</f>
        <v/>
      </c>
      <c r="AI23" s="92">
        <f>FS_Annual!AI15</f>
        <v/>
      </c>
      <c r="AJ23" s="92">
        <f>FS_Annual!AJ15</f>
        <v/>
      </c>
      <c r="AK23" s="92">
        <f>FS_Annual!AK15</f>
        <v/>
      </c>
      <c r="AL23" s="92">
        <f>FS_Annual!AL15+E8</f>
        <v/>
      </c>
      <c r="AM23" s="92" t="n">
        <v>0</v>
      </c>
      <c r="AN23" s="92" t="n">
        <v>0</v>
      </c>
      <c r="AO23" s="92" t="n">
        <v>0</v>
      </c>
      <c r="AP23" s="92" t="n">
        <v>0</v>
      </c>
      <c r="AQ23" s="92" t="n">
        <v>0</v>
      </c>
      <c r="AR23" s="92" t="n">
        <v>0</v>
      </c>
      <c r="AS23" s="92" t="n">
        <v>0</v>
      </c>
      <c r="AT23" s="92" t="n">
        <v>0</v>
      </c>
      <c r="AU23" s="92" t="n">
        <v>0</v>
      </c>
      <c r="AV23" s="92" t="n">
        <v>0</v>
      </c>
      <c r="AW23" s="92" t="n">
        <v>0</v>
      </c>
      <c r="AX23" s="92" t="n">
        <v>0</v>
      </c>
      <c r="AY23" s="92" t="n">
        <v>0</v>
      </c>
      <c r="AZ23" s="92" t="n">
        <v>0</v>
      </c>
      <c r="BA23" s="92" t="n">
        <v>0</v>
      </c>
      <c r="BB23" s="92" t="n">
        <v>0</v>
      </c>
      <c r="BC23" s="92" t="n">
        <v>0</v>
      </c>
      <c r="BD23" s="92" t="n">
        <v>0</v>
      </c>
      <c r="BE23" s="92" t="n">
        <v>0</v>
      </c>
      <c r="BF23" s="92" t="n">
        <v>0</v>
      </c>
      <c r="BG23" s="92" t="n">
        <v>0</v>
      </c>
      <c r="BH23" s="92" t="n">
        <v>0</v>
      </c>
      <c r="BI23" s="92" t="n">
        <v>0</v>
      </c>
      <c r="BJ23" s="92" t="n">
        <v>0</v>
      </c>
      <c r="BK23" s="92" t="n">
        <v>0</v>
      </c>
      <c r="BL23" s="92" t="n">
        <v>0</v>
      </c>
      <c r="BM23" s="92" t="n">
        <v>0</v>
      </c>
      <c r="BN23" s="92" t="n">
        <v>0</v>
      </c>
      <c r="BO23" s="92" t="n">
        <v>0</v>
      </c>
      <c r="BP23" s="92" t="n">
        <v>0</v>
      </c>
      <c r="BQ23" s="92" t="n">
        <v>0</v>
      </c>
      <c r="BR23" s="92" t="n">
        <v>0</v>
      </c>
      <c r="BS23" s="92" t="n">
        <v>0</v>
      </c>
      <c r="BT23" s="92" t="n">
        <v>0</v>
      </c>
      <c r="BU23" s="92" t="n">
        <v>0</v>
      </c>
      <c r="BV23" s="92" t="n">
        <v>0</v>
      </c>
      <c r="BW23" s="92" t="n">
        <v>0</v>
      </c>
      <c r="BX23" s="92" t="n">
        <v>0</v>
      </c>
      <c r="BY23" s="92" t="n">
        <v>0</v>
      </c>
      <c r="BZ23" s="92" t="n">
        <v>0</v>
      </c>
      <c r="CA23" s="92" t="n">
        <v>0</v>
      </c>
      <c r="CB23" s="92" t="n">
        <v>0</v>
      </c>
      <c r="CC23" s="92" t="n">
        <v>0</v>
      </c>
      <c r="CD23" s="92" t="n">
        <v>0</v>
      </c>
      <c r="CE23" s="92" t="n">
        <v>0</v>
      </c>
      <c r="CF23" s="92" t="n">
        <v>0</v>
      </c>
      <c r="CG23" s="92" t="n">
        <v>0</v>
      </c>
      <c r="CH23" s="92" t="n">
        <v>0</v>
      </c>
      <c r="CI23" s="92" t="n">
        <v>0</v>
      </c>
      <c r="CJ23" s="92" t="n">
        <v>0</v>
      </c>
      <c r="CK23" s="92" t="n">
        <v>0</v>
      </c>
      <c r="CL23" s="92" t="n">
        <v>0</v>
      </c>
      <c r="CM23" s="92" t="n">
        <v>0</v>
      </c>
      <c r="CN23" s="92" t="n">
        <v>0</v>
      </c>
      <c r="CO23" s="92" t="n">
        <v>0</v>
      </c>
      <c r="CP23" s="92" t="n">
        <v>0</v>
      </c>
      <c r="CQ23" s="92" t="n">
        <v>0</v>
      </c>
      <c r="CR23" s="92" t="n">
        <v>0</v>
      </c>
      <c r="CS23" s="92" t="n">
        <v>0</v>
      </c>
      <c r="CT23" s="92" t="n">
        <v>0</v>
      </c>
      <c r="CU23" s="92" t="n">
        <v>0</v>
      </c>
      <c r="CV23" s="92" t="n">
        <v>0</v>
      </c>
      <c r="CW23" s="92" t="n">
        <v>0</v>
      </c>
      <c r="CX23" s="92" t="n">
        <v>0</v>
      </c>
      <c r="CY23" s="92" t="n">
        <v>0</v>
      </c>
      <c r="CZ23" s="92" t="n">
        <v>0</v>
      </c>
      <c r="DA23" s="92" t="n">
        <v>0</v>
      </c>
      <c r="DB23" s="92" t="n">
        <v>0</v>
      </c>
    </row>
    <row r="24">
      <c r="A24" t="inlineStr">
        <is>
          <t>Yr 3 exit — Buyer Project CF</t>
        </is>
      </c>
      <c r="C24" s="92" t="n">
        <v>0</v>
      </c>
      <c r="D24" s="92" t="n">
        <v>0</v>
      </c>
      <c r="E24" s="92" t="n">
        <v>0</v>
      </c>
      <c r="F24" s="92" t="n">
        <v>0</v>
      </c>
      <c r="G24" s="92" t="n">
        <v>0</v>
      </c>
      <c r="H24" s="92" t="n">
        <v>0</v>
      </c>
      <c r="I24" s="92" t="n">
        <v>0</v>
      </c>
      <c r="J24" s="92" t="n">
        <v>0</v>
      </c>
      <c r="K24" s="92" t="n">
        <v>0</v>
      </c>
      <c r="L24" s="92" t="n">
        <v>0</v>
      </c>
      <c r="M24" s="92" t="n">
        <v>0</v>
      </c>
      <c r="N24" s="92" t="n">
        <v>0</v>
      </c>
      <c r="O24" s="92" t="n">
        <v>0</v>
      </c>
      <c r="P24" s="92" t="n">
        <v>0</v>
      </c>
      <c r="Q24" s="92" t="n">
        <v>0</v>
      </c>
      <c r="R24" s="92" t="n">
        <v>0</v>
      </c>
      <c r="S24" s="92" t="n">
        <v>0</v>
      </c>
      <c r="T24" s="92" t="n">
        <v>0</v>
      </c>
      <c r="U24" s="92" t="n">
        <v>0</v>
      </c>
      <c r="V24" s="92" t="n">
        <v>0</v>
      </c>
      <c r="W24" s="92" t="n">
        <v>0</v>
      </c>
      <c r="X24" s="92" t="n">
        <v>0</v>
      </c>
      <c r="Y24" s="92" t="n">
        <v>0</v>
      </c>
      <c r="Z24" s="92" t="n">
        <v>0</v>
      </c>
      <c r="AA24" s="92" t="n">
        <v>0</v>
      </c>
      <c r="AB24" s="92" t="n">
        <v>0</v>
      </c>
      <c r="AC24" s="92" t="n">
        <v>0</v>
      </c>
      <c r="AD24" s="92" t="n">
        <v>0</v>
      </c>
      <c r="AE24" s="92" t="n">
        <v>0</v>
      </c>
      <c r="AF24" s="92" t="n">
        <v>0</v>
      </c>
      <c r="AG24" s="92" t="n">
        <v>0</v>
      </c>
      <c r="AH24" s="92" t="n">
        <v>0</v>
      </c>
      <c r="AI24" s="92" t="n">
        <v>0</v>
      </c>
      <c r="AJ24" s="92" t="n">
        <v>0</v>
      </c>
      <c r="AK24" s="92" t="n">
        <v>0</v>
      </c>
      <c r="AL24" s="92">
        <f>-E10</f>
        <v/>
      </c>
      <c r="AM24" s="92">
        <f>FS_Annual!AM14</f>
        <v/>
      </c>
      <c r="AN24" s="92">
        <f>FS_Annual!AN14</f>
        <v/>
      </c>
      <c r="AO24" s="92">
        <f>FS_Annual!AO14</f>
        <v/>
      </c>
      <c r="AP24" s="92">
        <f>FS_Annual!AP14</f>
        <v/>
      </c>
      <c r="AQ24" s="92">
        <f>FS_Annual!AQ14</f>
        <v/>
      </c>
      <c r="AR24" s="92">
        <f>FS_Annual!AR14</f>
        <v/>
      </c>
      <c r="AS24" s="92">
        <f>FS_Annual!AS14</f>
        <v/>
      </c>
      <c r="AT24" s="92">
        <f>FS_Annual!AT14</f>
        <v/>
      </c>
      <c r="AU24" s="92">
        <f>FS_Annual!AU14</f>
        <v/>
      </c>
      <c r="AV24" s="92">
        <f>FS_Annual!AV14</f>
        <v/>
      </c>
      <c r="AW24" s="92">
        <f>FS_Annual!AW14</f>
        <v/>
      </c>
      <c r="AX24" s="92">
        <f>FS_Annual!AX14</f>
        <v/>
      </c>
      <c r="AY24" s="92">
        <f>FS_Annual!AY14</f>
        <v/>
      </c>
      <c r="AZ24" s="92">
        <f>FS_Annual!AZ14</f>
        <v/>
      </c>
      <c r="BA24" s="92">
        <f>FS_Annual!BA14</f>
        <v/>
      </c>
      <c r="BB24" s="92">
        <f>FS_Annual!BB14</f>
        <v/>
      </c>
      <c r="BC24" s="92">
        <f>FS_Annual!BC14</f>
        <v/>
      </c>
      <c r="BD24" s="92">
        <f>FS_Annual!BD14</f>
        <v/>
      </c>
      <c r="BE24" s="92">
        <f>FS_Annual!BE14</f>
        <v/>
      </c>
      <c r="BF24" s="92">
        <f>FS_Annual!BF14</f>
        <v/>
      </c>
      <c r="BG24" s="92">
        <f>FS_Annual!BG14</f>
        <v/>
      </c>
      <c r="BH24" s="92">
        <f>FS_Annual!BH14</f>
        <v/>
      </c>
      <c r="BI24" s="92">
        <f>FS_Annual!BI14</f>
        <v/>
      </c>
      <c r="BJ24" s="92">
        <f>FS_Annual!BJ14</f>
        <v/>
      </c>
      <c r="BK24" s="92">
        <f>FS_Annual!BK14</f>
        <v/>
      </c>
      <c r="BL24" s="92">
        <f>FS_Annual!BL14</f>
        <v/>
      </c>
      <c r="BM24" s="92">
        <f>FS_Annual!BM14</f>
        <v/>
      </c>
      <c r="BN24" s="92">
        <f>FS_Annual!BN14</f>
        <v/>
      </c>
      <c r="BO24" s="92">
        <f>FS_Annual!BO14</f>
        <v/>
      </c>
      <c r="BP24" s="92">
        <f>FS_Annual!BP14</f>
        <v/>
      </c>
      <c r="BQ24" s="92">
        <f>FS_Annual!BQ14</f>
        <v/>
      </c>
      <c r="BR24" s="92">
        <f>FS_Annual!BR14</f>
        <v/>
      </c>
      <c r="BS24" s="92">
        <f>FS_Annual!BS14</f>
        <v/>
      </c>
      <c r="BT24" s="92">
        <f>FS_Annual!BT14</f>
        <v/>
      </c>
      <c r="BU24" s="92">
        <f>FS_Annual!BU14</f>
        <v/>
      </c>
      <c r="BV24" s="92">
        <f>FS_Annual!BV14</f>
        <v/>
      </c>
      <c r="BW24" s="92">
        <f>FS_Annual!BW14</f>
        <v/>
      </c>
      <c r="BX24" s="92">
        <f>FS_Annual!BX14</f>
        <v/>
      </c>
      <c r="BY24" s="92">
        <f>FS_Annual!BY14</f>
        <v/>
      </c>
      <c r="BZ24" s="92">
        <f>FS_Annual!BZ14</f>
        <v/>
      </c>
      <c r="CA24" s="92">
        <f>FS_Annual!CA14</f>
        <v/>
      </c>
      <c r="CB24" s="92">
        <f>FS_Annual!CB14</f>
        <v/>
      </c>
      <c r="CC24" s="92">
        <f>FS_Annual!CC14</f>
        <v/>
      </c>
      <c r="CD24" s="92">
        <f>FS_Annual!CD14</f>
        <v/>
      </c>
      <c r="CE24" s="92">
        <f>FS_Annual!CE14</f>
        <v/>
      </c>
      <c r="CF24" s="92">
        <f>FS_Annual!CF14</f>
        <v/>
      </c>
      <c r="CG24" s="92">
        <f>FS_Annual!CG14</f>
        <v/>
      </c>
      <c r="CH24" s="92">
        <f>FS_Annual!CH14</f>
        <v/>
      </c>
      <c r="CI24" s="92">
        <f>FS_Annual!CI14</f>
        <v/>
      </c>
      <c r="CJ24" s="92">
        <f>FS_Annual!CJ14</f>
        <v/>
      </c>
      <c r="CK24" s="92">
        <f>FS_Annual!CK14</f>
        <v/>
      </c>
      <c r="CL24" s="92">
        <f>FS_Annual!CL14</f>
        <v/>
      </c>
      <c r="CM24" s="92">
        <f>FS_Annual!CM14</f>
        <v/>
      </c>
      <c r="CN24" s="92">
        <f>FS_Annual!CN14</f>
        <v/>
      </c>
      <c r="CO24" s="92">
        <f>FS_Annual!CO14</f>
        <v/>
      </c>
      <c r="CP24" s="92">
        <f>FS_Annual!CP14</f>
        <v/>
      </c>
      <c r="CQ24" s="92">
        <f>FS_Annual!CQ14</f>
        <v/>
      </c>
      <c r="CR24" s="92">
        <f>FS_Annual!CR14</f>
        <v/>
      </c>
      <c r="CS24" s="92">
        <f>FS_Annual!CS14</f>
        <v/>
      </c>
      <c r="CT24" s="92">
        <f>FS_Annual!CT14</f>
        <v/>
      </c>
      <c r="CU24" s="92">
        <f>FS_Annual!CU14</f>
        <v/>
      </c>
      <c r="CV24" s="92">
        <f>FS_Annual!CV14</f>
        <v/>
      </c>
      <c r="CW24" s="92">
        <f>FS_Annual!CW14</f>
        <v/>
      </c>
      <c r="CX24" s="92">
        <f>FS_Annual!CX14</f>
        <v/>
      </c>
      <c r="CY24" s="92">
        <f>FS_Annual!CY14</f>
        <v/>
      </c>
      <c r="CZ24" s="92">
        <f>FS_Annual!CZ14</f>
        <v/>
      </c>
      <c r="DA24" s="92">
        <f>FS_Annual!DA14</f>
        <v/>
      </c>
      <c r="DB24" s="92">
        <f>FS_Annual!DB14</f>
        <v/>
      </c>
    </row>
    <row r="25">
      <c r="A25" t="inlineStr">
        <is>
          <t>Yr 4 exit — Seller Equity CF</t>
        </is>
      </c>
      <c r="C25" s="92">
        <f>FS_Annual!C15</f>
        <v/>
      </c>
      <c r="D25" s="92">
        <f>FS_Annual!D15</f>
        <v/>
      </c>
      <c r="E25" s="92">
        <f>FS_Annual!E15</f>
        <v/>
      </c>
      <c r="F25" s="92">
        <f>FS_Annual!F15</f>
        <v/>
      </c>
      <c r="G25" s="92">
        <f>FS_Annual!G15</f>
        <v/>
      </c>
      <c r="H25" s="92">
        <f>FS_Annual!H15</f>
        <v/>
      </c>
      <c r="I25" s="92">
        <f>FS_Annual!I15</f>
        <v/>
      </c>
      <c r="J25" s="92">
        <f>FS_Annual!J15</f>
        <v/>
      </c>
      <c r="K25" s="92">
        <f>FS_Annual!K15</f>
        <v/>
      </c>
      <c r="L25" s="92">
        <f>FS_Annual!L15</f>
        <v/>
      </c>
      <c r="M25" s="92">
        <f>FS_Annual!M15</f>
        <v/>
      </c>
      <c r="N25" s="92">
        <f>FS_Annual!N15</f>
        <v/>
      </c>
      <c r="O25" s="92">
        <f>FS_Annual!O15</f>
        <v/>
      </c>
      <c r="P25" s="92">
        <f>FS_Annual!P15</f>
        <v/>
      </c>
      <c r="Q25" s="92">
        <f>FS_Annual!Q15</f>
        <v/>
      </c>
      <c r="R25" s="92">
        <f>FS_Annual!R15</f>
        <v/>
      </c>
      <c r="S25" s="92">
        <f>FS_Annual!S15</f>
        <v/>
      </c>
      <c r="T25" s="92">
        <f>FS_Annual!T15</f>
        <v/>
      </c>
      <c r="U25" s="92">
        <f>FS_Annual!U15</f>
        <v/>
      </c>
      <c r="V25" s="92">
        <f>FS_Annual!V15</f>
        <v/>
      </c>
      <c r="W25" s="92">
        <f>FS_Annual!W15</f>
        <v/>
      </c>
      <c r="X25" s="92">
        <f>FS_Annual!X15</f>
        <v/>
      </c>
      <c r="Y25" s="92">
        <f>FS_Annual!Y15</f>
        <v/>
      </c>
      <c r="Z25" s="92">
        <f>FS_Annual!Z15</f>
        <v/>
      </c>
      <c r="AA25" s="92">
        <f>FS_Annual!AA15</f>
        <v/>
      </c>
      <c r="AB25" s="92">
        <f>FS_Annual!AB15</f>
        <v/>
      </c>
      <c r="AC25" s="92">
        <f>FS_Annual!AC15</f>
        <v/>
      </c>
      <c r="AD25" s="92">
        <f>FS_Annual!AD15</f>
        <v/>
      </c>
      <c r="AE25" s="92">
        <f>FS_Annual!AE15</f>
        <v/>
      </c>
      <c r="AF25" s="92">
        <f>FS_Annual!AF15</f>
        <v/>
      </c>
      <c r="AG25" s="92">
        <f>FS_Annual!AG15</f>
        <v/>
      </c>
      <c r="AH25" s="92">
        <f>FS_Annual!AH15</f>
        <v/>
      </c>
      <c r="AI25" s="92">
        <f>FS_Annual!AI15</f>
        <v/>
      </c>
      <c r="AJ25" s="92">
        <f>FS_Annual!AJ15</f>
        <v/>
      </c>
      <c r="AK25" s="92">
        <f>FS_Annual!AK15</f>
        <v/>
      </c>
      <c r="AL25" s="92">
        <f>FS_Annual!AL15</f>
        <v/>
      </c>
      <c r="AM25" s="92">
        <f>FS_Annual!AM15</f>
        <v/>
      </c>
      <c r="AN25" s="92">
        <f>FS_Annual!AN15</f>
        <v/>
      </c>
      <c r="AO25" s="92">
        <f>FS_Annual!AO15</f>
        <v/>
      </c>
      <c r="AP25" s="92">
        <f>FS_Annual!AP15+F8</f>
        <v/>
      </c>
      <c r="AQ25" s="92" t="n">
        <v>0</v>
      </c>
      <c r="AR25" s="92" t="n">
        <v>0</v>
      </c>
      <c r="AS25" s="92" t="n">
        <v>0</v>
      </c>
      <c r="AT25" s="92" t="n">
        <v>0</v>
      </c>
      <c r="AU25" s="92" t="n">
        <v>0</v>
      </c>
      <c r="AV25" s="92" t="n">
        <v>0</v>
      </c>
      <c r="AW25" s="92" t="n">
        <v>0</v>
      </c>
      <c r="AX25" s="92" t="n">
        <v>0</v>
      </c>
      <c r="AY25" s="92" t="n">
        <v>0</v>
      </c>
      <c r="AZ25" s="92" t="n">
        <v>0</v>
      </c>
      <c r="BA25" s="92" t="n">
        <v>0</v>
      </c>
      <c r="BB25" s="92" t="n">
        <v>0</v>
      </c>
      <c r="BC25" s="92" t="n">
        <v>0</v>
      </c>
      <c r="BD25" s="92" t="n">
        <v>0</v>
      </c>
      <c r="BE25" s="92" t="n">
        <v>0</v>
      </c>
      <c r="BF25" s="92" t="n">
        <v>0</v>
      </c>
      <c r="BG25" s="92" t="n">
        <v>0</v>
      </c>
      <c r="BH25" s="92" t="n">
        <v>0</v>
      </c>
      <c r="BI25" s="92" t="n">
        <v>0</v>
      </c>
      <c r="BJ25" s="92" t="n">
        <v>0</v>
      </c>
      <c r="BK25" s="92" t="n">
        <v>0</v>
      </c>
      <c r="BL25" s="92" t="n">
        <v>0</v>
      </c>
      <c r="BM25" s="92" t="n">
        <v>0</v>
      </c>
      <c r="BN25" s="92" t="n">
        <v>0</v>
      </c>
      <c r="BO25" s="92" t="n">
        <v>0</v>
      </c>
      <c r="BP25" s="92" t="n">
        <v>0</v>
      </c>
      <c r="BQ25" s="92" t="n">
        <v>0</v>
      </c>
      <c r="BR25" s="92" t="n">
        <v>0</v>
      </c>
      <c r="BS25" s="92" t="n">
        <v>0</v>
      </c>
      <c r="BT25" s="92" t="n">
        <v>0</v>
      </c>
      <c r="BU25" s="92" t="n">
        <v>0</v>
      </c>
      <c r="BV25" s="92" t="n">
        <v>0</v>
      </c>
      <c r="BW25" s="92" t="n">
        <v>0</v>
      </c>
      <c r="BX25" s="92" t="n">
        <v>0</v>
      </c>
      <c r="BY25" s="92" t="n">
        <v>0</v>
      </c>
      <c r="BZ25" s="92" t="n">
        <v>0</v>
      </c>
      <c r="CA25" s="92" t="n">
        <v>0</v>
      </c>
      <c r="CB25" s="92" t="n">
        <v>0</v>
      </c>
      <c r="CC25" s="92" t="n">
        <v>0</v>
      </c>
      <c r="CD25" s="92" t="n">
        <v>0</v>
      </c>
      <c r="CE25" s="92" t="n">
        <v>0</v>
      </c>
      <c r="CF25" s="92" t="n">
        <v>0</v>
      </c>
      <c r="CG25" s="92" t="n">
        <v>0</v>
      </c>
      <c r="CH25" s="92" t="n">
        <v>0</v>
      </c>
      <c r="CI25" s="92" t="n">
        <v>0</v>
      </c>
      <c r="CJ25" s="92" t="n">
        <v>0</v>
      </c>
      <c r="CK25" s="92" t="n">
        <v>0</v>
      </c>
      <c r="CL25" s="92" t="n">
        <v>0</v>
      </c>
      <c r="CM25" s="92" t="n">
        <v>0</v>
      </c>
      <c r="CN25" s="92" t="n">
        <v>0</v>
      </c>
      <c r="CO25" s="92" t="n">
        <v>0</v>
      </c>
      <c r="CP25" s="92" t="n">
        <v>0</v>
      </c>
      <c r="CQ25" s="92" t="n">
        <v>0</v>
      </c>
      <c r="CR25" s="92" t="n">
        <v>0</v>
      </c>
      <c r="CS25" s="92" t="n">
        <v>0</v>
      </c>
      <c r="CT25" s="92" t="n">
        <v>0</v>
      </c>
      <c r="CU25" s="92" t="n">
        <v>0</v>
      </c>
      <c r="CV25" s="92" t="n">
        <v>0</v>
      </c>
      <c r="CW25" s="92" t="n">
        <v>0</v>
      </c>
      <c r="CX25" s="92" t="n">
        <v>0</v>
      </c>
      <c r="CY25" s="92" t="n">
        <v>0</v>
      </c>
      <c r="CZ25" s="92" t="n">
        <v>0</v>
      </c>
      <c r="DA25" s="92" t="n">
        <v>0</v>
      </c>
      <c r="DB25" s="92" t="n">
        <v>0</v>
      </c>
    </row>
    <row r="26">
      <c r="A26" t="inlineStr">
        <is>
          <t>Yr 4 exit — Buyer Project CF</t>
        </is>
      </c>
      <c r="C26" s="92" t="n">
        <v>0</v>
      </c>
      <c r="D26" s="92" t="n">
        <v>0</v>
      </c>
      <c r="E26" s="92" t="n">
        <v>0</v>
      </c>
      <c r="F26" s="92" t="n">
        <v>0</v>
      </c>
      <c r="G26" s="92" t="n">
        <v>0</v>
      </c>
      <c r="H26" s="92" t="n">
        <v>0</v>
      </c>
      <c r="I26" s="92" t="n">
        <v>0</v>
      </c>
      <c r="J26" s="92" t="n">
        <v>0</v>
      </c>
      <c r="K26" s="92" t="n">
        <v>0</v>
      </c>
      <c r="L26" s="92" t="n">
        <v>0</v>
      </c>
      <c r="M26" s="92" t="n">
        <v>0</v>
      </c>
      <c r="N26" s="92" t="n">
        <v>0</v>
      </c>
      <c r="O26" s="92" t="n">
        <v>0</v>
      </c>
      <c r="P26" s="92" t="n">
        <v>0</v>
      </c>
      <c r="Q26" s="92" t="n">
        <v>0</v>
      </c>
      <c r="R26" s="92" t="n">
        <v>0</v>
      </c>
      <c r="S26" s="92" t="n">
        <v>0</v>
      </c>
      <c r="T26" s="92" t="n">
        <v>0</v>
      </c>
      <c r="U26" s="92" t="n">
        <v>0</v>
      </c>
      <c r="V26" s="92" t="n">
        <v>0</v>
      </c>
      <c r="W26" s="92" t="n">
        <v>0</v>
      </c>
      <c r="X26" s="92" t="n">
        <v>0</v>
      </c>
      <c r="Y26" s="92" t="n">
        <v>0</v>
      </c>
      <c r="Z26" s="92" t="n">
        <v>0</v>
      </c>
      <c r="AA26" s="92" t="n">
        <v>0</v>
      </c>
      <c r="AB26" s="92" t="n">
        <v>0</v>
      </c>
      <c r="AC26" s="92" t="n">
        <v>0</v>
      </c>
      <c r="AD26" s="92" t="n">
        <v>0</v>
      </c>
      <c r="AE26" s="92" t="n">
        <v>0</v>
      </c>
      <c r="AF26" s="92" t="n">
        <v>0</v>
      </c>
      <c r="AG26" s="92" t="n">
        <v>0</v>
      </c>
      <c r="AH26" s="92" t="n">
        <v>0</v>
      </c>
      <c r="AI26" s="92" t="n">
        <v>0</v>
      </c>
      <c r="AJ26" s="92" t="n">
        <v>0</v>
      </c>
      <c r="AK26" s="92" t="n">
        <v>0</v>
      </c>
      <c r="AL26" s="92" t="n">
        <v>0</v>
      </c>
      <c r="AM26" s="92" t="n">
        <v>0</v>
      </c>
      <c r="AN26" s="92" t="n">
        <v>0</v>
      </c>
      <c r="AO26" s="92" t="n">
        <v>0</v>
      </c>
      <c r="AP26" s="92">
        <f>-F10</f>
        <v/>
      </c>
      <c r="AQ26" s="92">
        <f>FS_Annual!AQ14</f>
        <v/>
      </c>
      <c r="AR26" s="92">
        <f>FS_Annual!AR14</f>
        <v/>
      </c>
      <c r="AS26" s="92">
        <f>FS_Annual!AS14</f>
        <v/>
      </c>
      <c r="AT26" s="92">
        <f>FS_Annual!AT14</f>
        <v/>
      </c>
      <c r="AU26" s="92">
        <f>FS_Annual!AU14</f>
        <v/>
      </c>
      <c r="AV26" s="92">
        <f>FS_Annual!AV14</f>
        <v/>
      </c>
      <c r="AW26" s="92">
        <f>FS_Annual!AW14</f>
        <v/>
      </c>
      <c r="AX26" s="92">
        <f>FS_Annual!AX14</f>
        <v/>
      </c>
      <c r="AY26" s="92">
        <f>FS_Annual!AY14</f>
        <v/>
      </c>
      <c r="AZ26" s="92">
        <f>FS_Annual!AZ14</f>
        <v/>
      </c>
      <c r="BA26" s="92">
        <f>FS_Annual!BA14</f>
        <v/>
      </c>
      <c r="BB26" s="92">
        <f>FS_Annual!BB14</f>
        <v/>
      </c>
      <c r="BC26" s="92">
        <f>FS_Annual!BC14</f>
        <v/>
      </c>
      <c r="BD26" s="92">
        <f>FS_Annual!BD14</f>
        <v/>
      </c>
      <c r="BE26" s="92">
        <f>FS_Annual!BE14</f>
        <v/>
      </c>
      <c r="BF26" s="92">
        <f>FS_Annual!BF14</f>
        <v/>
      </c>
      <c r="BG26" s="92">
        <f>FS_Annual!BG14</f>
        <v/>
      </c>
      <c r="BH26" s="92">
        <f>FS_Annual!BH14</f>
        <v/>
      </c>
      <c r="BI26" s="92">
        <f>FS_Annual!BI14</f>
        <v/>
      </c>
      <c r="BJ26" s="92">
        <f>FS_Annual!BJ14</f>
        <v/>
      </c>
      <c r="BK26" s="92">
        <f>FS_Annual!BK14</f>
        <v/>
      </c>
      <c r="BL26" s="92">
        <f>FS_Annual!BL14</f>
        <v/>
      </c>
      <c r="BM26" s="92">
        <f>FS_Annual!BM14</f>
        <v/>
      </c>
      <c r="BN26" s="92">
        <f>FS_Annual!BN14</f>
        <v/>
      </c>
      <c r="BO26" s="92">
        <f>FS_Annual!BO14</f>
        <v/>
      </c>
      <c r="BP26" s="92">
        <f>FS_Annual!BP14</f>
        <v/>
      </c>
      <c r="BQ26" s="92">
        <f>FS_Annual!BQ14</f>
        <v/>
      </c>
      <c r="BR26" s="92">
        <f>FS_Annual!BR14</f>
        <v/>
      </c>
      <c r="BS26" s="92">
        <f>FS_Annual!BS14</f>
        <v/>
      </c>
      <c r="BT26" s="92">
        <f>FS_Annual!BT14</f>
        <v/>
      </c>
      <c r="BU26" s="92">
        <f>FS_Annual!BU14</f>
        <v/>
      </c>
      <c r="BV26" s="92">
        <f>FS_Annual!BV14</f>
        <v/>
      </c>
      <c r="BW26" s="92">
        <f>FS_Annual!BW14</f>
        <v/>
      </c>
      <c r="BX26" s="92">
        <f>FS_Annual!BX14</f>
        <v/>
      </c>
      <c r="BY26" s="92">
        <f>FS_Annual!BY14</f>
        <v/>
      </c>
      <c r="BZ26" s="92">
        <f>FS_Annual!BZ14</f>
        <v/>
      </c>
      <c r="CA26" s="92">
        <f>FS_Annual!CA14</f>
        <v/>
      </c>
      <c r="CB26" s="92">
        <f>FS_Annual!CB14</f>
        <v/>
      </c>
      <c r="CC26" s="92">
        <f>FS_Annual!CC14</f>
        <v/>
      </c>
      <c r="CD26" s="92">
        <f>FS_Annual!CD14</f>
        <v/>
      </c>
      <c r="CE26" s="92">
        <f>FS_Annual!CE14</f>
        <v/>
      </c>
      <c r="CF26" s="92">
        <f>FS_Annual!CF14</f>
        <v/>
      </c>
      <c r="CG26" s="92">
        <f>FS_Annual!CG14</f>
        <v/>
      </c>
      <c r="CH26" s="92">
        <f>FS_Annual!CH14</f>
        <v/>
      </c>
      <c r="CI26" s="92">
        <f>FS_Annual!CI14</f>
        <v/>
      </c>
      <c r="CJ26" s="92">
        <f>FS_Annual!CJ14</f>
        <v/>
      </c>
      <c r="CK26" s="92">
        <f>FS_Annual!CK14</f>
        <v/>
      </c>
      <c r="CL26" s="92">
        <f>FS_Annual!CL14</f>
        <v/>
      </c>
      <c r="CM26" s="92">
        <f>FS_Annual!CM14</f>
        <v/>
      </c>
      <c r="CN26" s="92">
        <f>FS_Annual!CN14</f>
        <v/>
      </c>
      <c r="CO26" s="92">
        <f>FS_Annual!CO14</f>
        <v/>
      </c>
      <c r="CP26" s="92">
        <f>FS_Annual!CP14</f>
        <v/>
      </c>
      <c r="CQ26" s="92">
        <f>FS_Annual!CQ14</f>
        <v/>
      </c>
      <c r="CR26" s="92">
        <f>FS_Annual!CR14</f>
        <v/>
      </c>
      <c r="CS26" s="92">
        <f>FS_Annual!CS14</f>
        <v/>
      </c>
      <c r="CT26" s="92">
        <f>FS_Annual!CT14</f>
        <v/>
      </c>
      <c r="CU26" s="92">
        <f>FS_Annual!CU14</f>
        <v/>
      </c>
      <c r="CV26" s="92">
        <f>FS_Annual!CV14</f>
        <v/>
      </c>
      <c r="CW26" s="92">
        <f>FS_Annual!CW14</f>
        <v/>
      </c>
      <c r="CX26" s="92">
        <f>FS_Annual!CX14</f>
        <v/>
      </c>
      <c r="CY26" s="92">
        <f>FS_Annual!CY14</f>
        <v/>
      </c>
      <c r="CZ26" s="92">
        <f>FS_Annual!CZ14</f>
        <v/>
      </c>
      <c r="DA26" s="92">
        <f>FS_Annual!DA14</f>
        <v/>
      </c>
      <c r="DB26" s="92">
        <f>FS_Annual!DB14</f>
        <v/>
      </c>
    </row>
    <row r="27">
      <c r="A27" t="inlineStr">
        <is>
          <t>Yr 5 exit — Seller Equity CF</t>
        </is>
      </c>
      <c r="C27" s="92">
        <f>FS_Annual!C15</f>
        <v/>
      </c>
      <c r="D27" s="92">
        <f>FS_Annual!D15</f>
        <v/>
      </c>
      <c r="E27" s="92">
        <f>FS_Annual!E15</f>
        <v/>
      </c>
      <c r="F27" s="92">
        <f>FS_Annual!F15</f>
        <v/>
      </c>
      <c r="G27" s="92">
        <f>FS_Annual!G15</f>
        <v/>
      </c>
      <c r="H27" s="92">
        <f>FS_Annual!H15</f>
        <v/>
      </c>
      <c r="I27" s="92">
        <f>FS_Annual!I15</f>
        <v/>
      </c>
      <c r="J27" s="92">
        <f>FS_Annual!J15</f>
        <v/>
      </c>
      <c r="K27" s="92">
        <f>FS_Annual!K15</f>
        <v/>
      </c>
      <c r="L27" s="92">
        <f>FS_Annual!L15</f>
        <v/>
      </c>
      <c r="M27" s="92">
        <f>FS_Annual!M15</f>
        <v/>
      </c>
      <c r="N27" s="92">
        <f>FS_Annual!N15</f>
        <v/>
      </c>
      <c r="O27" s="92">
        <f>FS_Annual!O15</f>
        <v/>
      </c>
      <c r="P27" s="92">
        <f>FS_Annual!P15</f>
        <v/>
      </c>
      <c r="Q27" s="92">
        <f>FS_Annual!Q15</f>
        <v/>
      </c>
      <c r="R27" s="92">
        <f>FS_Annual!R15</f>
        <v/>
      </c>
      <c r="S27" s="92">
        <f>FS_Annual!S15</f>
        <v/>
      </c>
      <c r="T27" s="92">
        <f>FS_Annual!T15</f>
        <v/>
      </c>
      <c r="U27" s="92">
        <f>FS_Annual!U15</f>
        <v/>
      </c>
      <c r="V27" s="92">
        <f>FS_Annual!V15</f>
        <v/>
      </c>
      <c r="W27" s="92">
        <f>FS_Annual!W15</f>
        <v/>
      </c>
      <c r="X27" s="92">
        <f>FS_Annual!X15</f>
        <v/>
      </c>
      <c r="Y27" s="92">
        <f>FS_Annual!Y15</f>
        <v/>
      </c>
      <c r="Z27" s="92">
        <f>FS_Annual!Z15</f>
        <v/>
      </c>
      <c r="AA27" s="92">
        <f>FS_Annual!AA15</f>
        <v/>
      </c>
      <c r="AB27" s="92">
        <f>FS_Annual!AB15</f>
        <v/>
      </c>
      <c r="AC27" s="92">
        <f>FS_Annual!AC15</f>
        <v/>
      </c>
      <c r="AD27" s="92">
        <f>FS_Annual!AD15</f>
        <v/>
      </c>
      <c r="AE27" s="92">
        <f>FS_Annual!AE15</f>
        <v/>
      </c>
      <c r="AF27" s="92">
        <f>FS_Annual!AF15</f>
        <v/>
      </c>
      <c r="AG27" s="92">
        <f>FS_Annual!AG15</f>
        <v/>
      </c>
      <c r="AH27" s="92">
        <f>FS_Annual!AH15</f>
        <v/>
      </c>
      <c r="AI27" s="92">
        <f>FS_Annual!AI15</f>
        <v/>
      </c>
      <c r="AJ27" s="92">
        <f>FS_Annual!AJ15</f>
        <v/>
      </c>
      <c r="AK27" s="92">
        <f>FS_Annual!AK15</f>
        <v/>
      </c>
      <c r="AL27" s="92">
        <f>FS_Annual!AL15</f>
        <v/>
      </c>
      <c r="AM27" s="92">
        <f>FS_Annual!AM15</f>
        <v/>
      </c>
      <c r="AN27" s="92">
        <f>FS_Annual!AN15</f>
        <v/>
      </c>
      <c r="AO27" s="92">
        <f>FS_Annual!AO15</f>
        <v/>
      </c>
      <c r="AP27" s="92">
        <f>FS_Annual!AP15</f>
        <v/>
      </c>
      <c r="AQ27" s="92">
        <f>FS_Annual!AQ15</f>
        <v/>
      </c>
      <c r="AR27" s="92">
        <f>FS_Annual!AR15</f>
        <v/>
      </c>
      <c r="AS27" s="92">
        <f>FS_Annual!AS15</f>
        <v/>
      </c>
      <c r="AT27" s="92">
        <f>FS_Annual!AT15+G8</f>
        <v/>
      </c>
      <c r="AU27" s="92" t="n">
        <v>0</v>
      </c>
      <c r="AV27" s="92" t="n">
        <v>0</v>
      </c>
      <c r="AW27" s="92" t="n">
        <v>0</v>
      </c>
      <c r="AX27" s="92" t="n">
        <v>0</v>
      </c>
      <c r="AY27" s="92" t="n">
        <v>0</v>
      </c>
      <c r="AZ27" s="92" t="n">
        <v>0</v>
      </c>
      <c r="BA27" s="92" t="n">
        <v>0</v>
      </c>
      <c r="BB27" s="92" t="n">
        <v>0</v>
      </c>
      <c r="BC27" s="92" t="n">
        <v>0</v>
      </c>
      <c r="BD27" s="92" t="n">
        <v>0</v>
      </c>
      <c r="BE27" s="92" t="n">
        <v>0</v>
      </c>
      <c r="BF27" s="92" t="n">
        <v>0</v>
      </c>
      <c r="BG27" s="92" t="n">
        <v>0</v>
      </c>
      <c r="BH27" s="92" t="n">
        <v>0</v>
      </c>
      <c r="BI27" s="92" t="n">
        <v>0</v>
      </c>
      <c r="BJ27" s="92" t="n">
        <v>0</v>
      </c>
      <c r="BK27" s="92" t="n">
        <v>0</v>
      </c>
      <c r="BL27" s="92" t="n">
        <v>0</v>
      </c>
      <c r="BM27" s="92" t="n">
        <v>0</v>
      </c>
      <c r="BN27" s="92" t="n">
        <v>0</v>
      </c>
      <c r="BO27" s="92" t="n">
        <v>0</v>
      </c>
      <c r="BP27" s="92" t="n">
        <v>0</v>
      </c>
      <c r="BQ27" s="92" t="n">
        <v>0</v>
      </c>
      <c r="BR27" s="92" t="n">
        <v>0</v>
      </c>
      <c r="BS27" s="92" t="n">
        <v>0</v>
      </c>
      <c r="BT27" s="92" t="n">
        <v>0</v>
      </c>
      <c r="BU27" s="92" t="n">
        <v>0</v>
      </c>
      <c r="BV27" s="92" t="n">
        <v>0</v>
      </c>
      <c r="BW27" s="92" t="n">
        <v>0</v>
      </c>
      <c r="BX27" s="92" t="n">
        <v>0</v>
      </c>
      <c r="BY27" s="92" t="n">
        <v>0</v>
      </c>
      <c r="BZ27" s="92" t="n">
        <v>0</v>
      </c>
      <c r="CA27" s="92" t="n">
        <v>0</v>
      </c>
      <c r="CB27" s="92" t="n">
        <v>0</v>
      </c>
      <c r="CC27" s="92" t="n">
        <v>0</v>
      </c>
      <c r="CD27" s="92" t="n">
        <v>0</v>
      </c>
      <c r="CE27" s="92" t="n">
        <v>0</v>
      </c>
      <c r="CF27" s="92" t="n">
        <v>0</v>
      </c>
      <c r="CG27" s="92" t="n">
        <v>0</v>
      </c>
      <c r="CH27" s="92" t="n">
        <v>0</v>
      </c>
      <c r="CI27" s="92" t="n">
        <v>0</v>
      </c>
      <c r="CJ27" s="92" t="n">
        <v>0</v>
      </c>
      <c r="CK27" s="92" t="n">
        <v>0</v>
      </c>
      <c r="CL27" s="92" t="n">
        <v>0</v>
      </c>
      <c r="CM27" s="92" t="n">
        <v>0</v>
      </c>
      <c r="CN27" s="92" t="n">
        <v>0</v>
      </c>
      <c r="CO27" s="92" t="n">
        <v>0</v>
      </c>
      <c r="CP27" s="92" t="n">
        <v>0</v>
      </c>
      <c r="CQ27" s="92" t="n">
        <v>0</v>
      </c>
      <c r="CR27" s="92" t="n">
        <v>0</v>
      </c>
      <c r="CS27" s="92" t="n">
        <v>0</v>
      </c>
      <c r="CT27" s="92" t="n">
        <v>0</v>
      </c>
      <c r="CU27" s="92" t="n">
        <v>0</v>
      </c>
      <c r="CV27" s="92" t="n">
        <v>0</v>
      </c>
      <c r="CW27" s="92" t="n">
        <v>0</v>
      </c>
      <c r="CX27" s="92" t="n">
        <v>0</v>
      </c>
      <c r="CY27" s="92" t="n">
        <v>0</v>
      </c>
      <c r="CZ27" s="92" t="n">
        <v>0</v>
      </c>
      <c r="DA27" s="92" t="n">
        <v>0</v>
      </c>
      <c r="DB27" s="92" t="n">
        <v>0</v>
      </c>
    </row>
    <row r="28">
      <c r="A28" t="inlineStr">
        <is>
          <t>Yr 5 exit — Buyer Project CF</t>
        </is>
      </c>
      <c r="C28" s="92" t="n">
        <v>0</v>
      </c>
      <c r="D28" s="92" t="n">
        <v>0</v>
      </c>
      <c r="E28" s="92" t="n">
        <v>0</v>
      </c>
      <c r="F28" s="92" t="n">
        <v>0</v>
      </c>
      <c r="G28" s="92" t="n">
        <v>0</v>
      </c>
      <c r="H28" s="92" t="n">
        <v>0</v>
      </c>
      <c r="I28" s="92" t="n">
        <v>0</v>
      </c>
      <c r="J28" s="92" t="n">
        <v>0</v>
      </c>
      <c r="K28" s="92" t="n">
        <v>0</v>
      </c>
      <c r="L28" s="92" t="n">
        <v>0</v>
      </c>
      <c r="M28" s="92" t="n">
        <v>0</v>
      </c>
      <c r="N28" s="92" t="n">
        <v>0</v>
      </c>
      <c r="O28" s="92" t="n">
        <v>0</v>
      </c>
      <c r="P28" s="92" t="n">
        <v>0</v>
      </c>
      <c r="Q28" s="92" t="n">
        <v>0</v>
      </c>
      <c r="R28" s="92" t="n">
        <v>0</v>
      </c>
      <c r="S28" s="92" t="n">
        <v>0</v>
      </c>
      <c r="T28" s="92" t="n">
        <v>0</v>
      </c>
      <c r="U28" s="92" t="n">
        <v>0</v>
      </c>
      <c r="V28" s="92" t="n">
        <v>0</v>
      </c>
      <c r="W28" s="92" t="n">
        <v>0</v>
      </c>
      <c r="X28" s="92" t="n">
        <v>0</v>
      </c>
      <c r="Y28" s="92" t="n">
        <v>0</v>
      </c>
      <c r="Z28" s="92" t="n">
        <v>0</v>
      </c>
      <c r="AA28" s="92" t="n">
        <v>0</v>
      </c>
      <c r="AB28" s="92" t="n">
        <v>0</v>
      </c>
      <c r="AC28" s="92" t="n">
        <v>0</v>
      </c>
      <c r="AD28" s="92" t="n">
        <v>0</v>
      </c>
      <c r="AE28" s="92" t="n">
        <v>0</v>
      </c>
      <c r="AF28" s="92" t="n">
        <v>0</v>
      </c>
      <c r="AG28" s="92" t="n">
        <v>0</v>
      </c>
      <c r="AH28" s="92" t="n">
        <v>0</v>
      </c>
      <c r="AI28" s="92" t="n">
        <v>0</v>
      </c>
      <c r="AJ28" s="92" t="n">
        <v>0</v>
      </c>
      <c r="AK28" s="92" t="n">
        <v>0</v>
      </c>
      <c r="AL28" s="92" t="n">
        <v>0</v>
      </c>
      <c r="AM28" s="92" t="n">
        <v>0</v>
      </c>
      <c r="AN28" s="92" t="n">
        <v>0</v>
      </c>
      <c r="AO28" s="92" t="n">
        <v>0</v>
      </c>
      <c r="AP28" s="92" t="n">
        <v>0</v>
      </c>
      <c r="AQ28" s="92" t="n">
        <v>0</v>
      </c>
      <c r="AR28" s="92" t="n">
        <v>0</v>
      </c>
      <c r="AS28" s="92" t="n">
        <v>0</v>
      </c>
      <c r="AT28" s="92">
        <f>-G10</f>
        <v/>
      </c>
      <c r="AU28" s="92">
        <f>FS_Annual!AU14</f>
        <v/>
      </c>
      <c r="AV28" s="92">
        <f>FS_Annual!AV14</f>
        <v/>
      </c>
      <c r="AW28" s="92">
        <f>FS_Annual!AW14</f>
        <v/>
      </c>
      <c r="AX28" s="92">
        <f>FS_Annual!AX14</f>
        <v/>
      </c>
      <c r="AY28" s="92">
        <f>FS_Annual!AY14</f>
        <v/>
      </c>
      <c r="AZ28" s="92">
        <f>FS_Annual!AZ14</f>
        <v/>
      </c>
      <c r="BA28" s="92">
        <f>FS_Annual!BA14</f>
        <v/>
      </c>
      <c r="BB28" s="92">
        <f>FS_Annual!BB14</f>
        <v/>
      </c>
      <c r="BC28" s="92">
        <f>FS_Annual!BC14</f>
        <v/>
      </c>
      <c r="BD28" s="92">
        <f>FS_Annual!BD14</f>
        <v/>
      </c>
      <c r="BE28" s="92">
        <f>FS_Annual!BE14</f>
        <v/>
      </c>
      <c r="BF28" s="92">
        <f>FS_Annual!BF14</f>
        <v/>
      </c>
      <c r="BG28" s="92">
        <f>FS_Annual!BG14</f>
        <v/>
      </c>
      <c r="BH28" s="92">
        <f>FS_Annual!BH14</f>
        <v/>
      </c>
      <c r="BI28" s="92">
        <f>FS_Annual!BI14</f>
        <v/>
      </c>
      <c r="BJ28" s="92">
        <f>FS_Annual!BJ14</f>
        <v/>
      </c>
      <c r="BK28" s="92">
        <f>FS_Annual!BK14</f>
        <v/>
      </c>
      <c r="BL28" s="92">
        <f>FS_Annual!BL14</f>
        <v/>
      </c>
      <c r="BM28" s="92">
        <f>FS_Annual!BM14</f>
        <v/>
      </c>
      <c r="BN28" s="92">
        <f>FS_Annual!BN14</f>
        <v/>
      </c>
      <c r="BO28" s="92">
        <f>FS_Annual!BO14</f>
        <v/>
      </c>
      <c r="BP28" s="92">
        <f>FS_Annual!BP14</f>
        <v/>
      </c>
      <c r="BQ28" s="92">
        <f>FS_Annual!BQ14</f>
        <v/>
      </c>
      <c r="BR28" s="92">
        <f>FS_Annual!BR14</f>
        <v/>
      </c>
      <c r="BS28" s="92">
        <f>FS_Annual!BS14</f>
        <v/>
      </c>
      <c r="BT28" s="92">
        <f>FS_Annual!BT14</f>
        <v/>
      </c>
      <c r="BU28" s="92">
        <f>FS_Annual!BU14</f>
        <v/>
      </c>
      <c r="BV28" s="92">
        <f>FS_Annual!BV14</f>
        <v/>
      </c>
      <c r="BW28" s="92">
        <f>FS_Annual!BW14</f>
        <v/>
      </c>
      <c r="BX28" s="92">
        <f>FS_Annual!BX14</f>
        <v/>
      </c>
      <c r="BY28" s="92">
        <f>FS_Annual!BY14</f>
        <v/>
      </c>
      <c r="BZ28" s="92">
        <f>FS_Annual!BZ14</f>
        <v/>
      </c>
      <c r="CA28" s="92">
        <f>FS_Annual!CA14</f>
        <v/>
      </c>
      <c r="CB28" s="92">
        <f>FS_Annual!CB14</f>
        <v/>
      </c>
      <c r="CC28" s="92">
        <f>FS_Annual!CC14</f>
        <v/>
      </c>
      <c r="CD28" s="92">
        <f>FS_Annual!CD14</f>
        <v/>
      </c>
      <c r="CE28" s="92">
        <f>FS_Annual!CE14</f>
        <v/>
      </c>
      <c r="CF28" s="92">
        <f>FS_Annual!CF14</f>
        <v/>
      </c>
      <c r="CG28" s="92">
        <f>FS_Annual!CG14</f>
        <v/>
      </c>
      <c r="CH28" s="92">
        <f>FS_Annual!CH14</f>
        <v/>
      </c>
      <c r="CI28" s="92">
        <f>FS_Annual!CI14</f>
        <v/>
      </c>
      <c r="CJ28" s="92">
        <f>FS_Annual!CJ14</f>
        <v/>
      </c>
      <c r="CK28" s="92">
        <f>FS_Annual!CK14</f>
        <v/>
      </c>
      <c r="CL28" s="92">
        <f>FS_Annual!CL14</f>
        <v/>
      </c>
      <c r="CM28" s="92">
        <f>FS_Annual!CM14</f>
        <v/>
      </c>
      <c r="CN28" s="92">
        <f>FS_Annual!CN14</f>
        <v/>
      </c>
      <c r="CO28" s="92">
        <f>FS_Annual!CO14</f>
        <v/>
      </c>
      <c r="CP28" s="92">
        <f>FS_Annual!CP14</f>
        <v/>
      </c>
      <c r="CQ28" s="92">
        <f>FS_Annual!CQ14</f>
        <v/>
      </c>
      <c r="CR28" s="92">
        <f>FS_Annual!CR14</f>
        <v/>
      </c>
      <c r="CS28" s="92">
        <f>FS_Annual!CS14</f>
        <v/>
      </c>
      <c r="CT28" s="92">
        <f>FS_Annual!CT14</f>
        <v/>
      </c>
      <c r="CU28" s="92">
        <f>FS_Annual!CU14</f>
        <v/>
      </c>
      <c r="CV28" s="92">
        <f>FS_Annual!CV14</f>
        <v/>
      </c>
      <c r="CW28" s="92">
        <f>FS_Annual!CW14</f>
        <v/>
      </c>
      <c r="CX28" s="92">
        <f>FS_Annual!CX14</f>
        <v/>
      </c>
      <c r="CY28" s="92">
        <f>FS_Annual!CY14</f>
        <v/>
      </c>
      <c r="CZ28" s="92">
        <f>FS_Annual!CZ14</f>
        <v/>
      </c>
      <c r="DA28" s="92">
        <f>FS_Annual!DA14</f>
        <v/>
      </c>
      <c r="DB28" s="92">
        <f>FS_Annual!DB14</f>
        <v/>
      </c>
    </row>
    <row r="29">
      <c r="A29" t="inlineStr">
        <is>
          <t>Yr 6 exit — Seller Equity CF</t>
        </is>
      </c>
      <c r="C29" s="92">
        <f>FS_Annual!C15</f>
        <v/>
      </c>
      <c r="D29" s="92">
        <f>FS_Annual!D15</f>
        <v/>
      </c>
      <c r="E29" s="92">
        <f>FS_Annual!E15</f>
        <v/>
      </c>
      <c r="F29" s="92">
        <f>FS_Annual!F15</f>
        <v/>
      </c>
      <c r="G29" s="92">
        <f>FS_Annual!G15</f>
        <v/>
      </c>
      <c r="H29" s="92">
        <f>FS_Annual!H15</f>
        <v/>
      </c>
      <c r="I29" s="92">
        <f>FS_Annual!I15</f>
        <v/>
      </c>
      <c r="J29" s="92">
        <f>FS_Annual!J15</f>
        <v/>
      </c>
      <c r="K29" s="92">
        <f>FS_Annual!K15</f>
        <v/>
      </c>
      <c r="L29" s="92">
        <f>FS_Annual!L15</f>
        <v/>
      </c>
      <c r="M29" s="92">
        <f>FS_Annual!M15</f>
        <v/>
      </c>
      <c r="N29" s="92">
        <f>FS_Annual!N15</f>
        <v/>
      </c>
      <c r="O29" s="92">
        <f>FS_Annual!O15</f>
        <v/>
      </c>
      <c r="P29" s="92">
        <f>FS_Annual!P15</f>
        <v/>
      </c>
      <c r="Q29" s="92">
        <f>FS_Annual!Q15</f>
        <v/>
      </c>
      <c r="R29" s="92">
        <f>FS_Annual!R15</f>
        <v/>
      </c>
      <c r="S29" s="92">
        <f>FS_Annual!S15</f>
        <v/>
      </c>
      <c r="T29" s="92">
        <f>FS_Annual!T15</f>
        <v/>
      </c>
      <c r="U29" s="92">
        <f>FS_Annual!U15</f>
        <v/>
      </c>
      <c r="V29" s="92">
        <f>FS_Annual!V15</f>
        <v/>
      </c>
      <c r="W29" s="92">
        <f>FS_Annual!W15</f>
        <v/>
      </c>
      <c r="X29" s="92">
        <f>FS_Annual!X15</f>
        <v/>
      </c>
      <c r="Y29" s="92">
        <f>FS_Annual!Y15</f>
        <v/>
      </c>
      <c r="Z29" s="92">
        <f>FS_Annual!Z15</f>
        <v/>
      </c>
      <c r="AA29" s="92">
        <f>FS_Annual!AA15</f>
        <v/>
      </c>
      <c r="AB29" s="92">
        <f>FS_Annual!AB15</f>
        <v/>
      </c>
      <c r="AC29" s="92">
        <f>FS_Annual!AC15</f>
        <v/>
      </c>
      <c r="AD29" s="92">
        <f>FS_Annual!AD15</f>
        <v/>
      </c>
      <c r="AE29" s="92">
        <f>FS_Annual!AE15</f>
        <v/>
      </c>
      <c r="AF29" s="92">
        <f>FS_Annual!AF15</f>
        <v/>
      </c>
      <c r="AG29" s="92">
        <f>FS_Annual!AG15</f>
        <v/>
      </c>
      <c r="AH29" s="92">
        <f>FS_Annual!AH15</f>
        <v/>
      </c>
      <c r="AI29" s="92">
        <f>FS_Annual!AI15</f>
        <v/>
      </c>
      <c r="AJ29" s="92">
        <f>FS_Annual!AJ15</f>
        <v/>
      </c>
      <c r="AK29" s="92">
        <f>FS_Annual!AK15</f>
        <v/>
      </c>
      <c r="AL29" s="92">
        <f>FS_Annual!AL15</f>
        <v/>
      </c>
      <c r="AM29" s="92">
        <f>FS_Annual!AM15</f>
        <v/>
      </c>
      <c r="AN29" s="92">
        <f>FS_Annual!AN15</f>
        <v/>
      </c>
      <c r="AO29" s="92">
        <f>FS_Annual!AO15</f>
        <v/>
      </c>
      <c r="AP29" s="92">
        <f>FS_Annual!AP15</f>
        <v/>
      </c>
      <c r="AQ29" s="92">
        <f>FS_Annual!AQ15</f>
        <v/>
      </c>
      <c r="AR29" s="92">
        <f>FS_Annual!AR15</f>
        <v/>
      </c>
      <c r="AS29" s="92">
        <f>FS_Annual!AS15</f>
        <v/>
      </c>
      <c r="AT29" s="92">
        <f>FS_Annual!AT15</f>
        <v/>
      </c>
      <c r="AU29" s="92">
        <f>FS_Annual!AU15</f>
        <v/>
      </c>
      <c r="AV29" s="92">
        <f>FS_Annual!AV15</f>
        <v/>
      </c>
      <c r="AW29" s="92">
        <f>FS_Annual!AW15</f>
        <v/>
      </c>
      <c r="AX29" s="92">
        <f>FS_Annual!AX15+H8</f>
        <v/>
      </c>
      <c r="AY29" s="92" t="n">
        <v>0</v>
      </c>
      <c r="AZ29" s="92" t="n">
        <v>0</v>
      </c>
      <c r="BA29" s="92" t="n">
        <v>0</v>
      </c>
      <c r="BB29" s="92" t="n">
        <v>0</v>
      </c>
      <c r="BC29" s="92" t="n">
        <v>0</v>
      </c>
      <c r="BD29" s="92" t="n">
        <v>0</v>
      </c>
      <c r="BE29" s="92" t="n">
        <v>0</v>
      </c>
      <c r="BF29" s="92" t="n">
        <v>0</v>
      </c>
      <c r="BG29" s="92" t="n">
        <v>0</v>
      </c>
      <c r="BH29" s="92" t="n">
        <v>0</v>
      </c>
      <c r="BI29" s="92" t="n">
        <v>0</v>
      </c>
      <c r="BJ29" s="92" t="n">
        <v>0</v>
      </c>
      <c r="BK29" s="92" t="n">
        <v>0</v>
      </c>
      <c r="BL29" s="92" t="n">
        <v>0</v>
      </c>
      <c r="BM29" s="92" t="n">
        <v>0</v>
      </c>
      <c r="BN29" s="92" t="n">
        <v>0</v>
      </c>
      <c r="BO29" s="92" t="n">
        <v>0</v>
      </c>
      <c r="BP29" s="92" t="n">
        <v>0</v>
      </c>
      <c r="BQ29" s="92" t="n">
        <v>0</v>
      </c>
      <c r="BR29" s="92" t="n">
        <v>0</v>
      </c>
      <c r="BS29" s="92" t="n">
        <v>0</v>
      </c>
      <c r="BT29" s="92" t="n">
        <v>0</v>
      </c>
      <c r="BU29" s="92" t="n">
        <v>0</v>
      </c>
      <c r="BV29" s="92" t="n">
        <v>0</v>
      </c>
      <c r="BW29" s="92" t="n">
        <v>0</v>
      </c>
      <c r="BX29" s="92" t="n">
        <v>0</v>
      </c>
      <c r="BY29" s="92" t="n">
        <v>0</v>
      </c>
      <c r="BZ29" s="92" t="n">
        <v>0</v>
      </c>
      <c r="CA29" s="92" t="n">
        <v>0</v>
      </c>
      <c r="CB29" s="92" t="n">
        <v>0</v>
      </c>
      <c r="CC29" s="92" t="n">
        <v>0</v>
      </c>
      <c r="CD29" s="92" t="n">
        <v>0</v>
      </c>
      <c r="CE29" s="92" t="n">
        <v>0</v>
      </c>
      <c r="CF29" s="92" t="n">
        <v>0</v>
      </c>
      <c r="CG29" s="92" t="n">
        <v>0</v>
      </c>
      <c r="CH29" s="92" t="n">
        <v>0</v>
      </c>
      <c r="CI29" s="92" t="n">
        <v>0</v>
      </c>
      <c r="CJ29" s="92" t="n">
        <v>0</v>
      </c>
      <c r="CK29" s="92" t="n">
        <v>0</v>
      </c>
      <c r="CL29" s="92" t="n">
        <v>0</v>
      </c>
      <c r="CM29" s="92" t="n">
        <v>0</v>
      </c>
      <c r="CN29" s="92" t="n">
        <v>0</v>
      </c>
      <c r="CO29" s="92" t="n">
        <v>0</v>
      </c>
      <c r="CP29" s="92" t="n">
        <v>0</v>
      </c>
      <c r="CQ29" s="92" t="n">
        <v>0</v>
      </c>
      <c r="CR29" s="92" t="n">
        <v>0</v>
      </c>
      <c r="CS29" s="92" t="n">
        <v>0</v>
      </c>
      <c r="CT29" s="92" t="n">
        <v>0</v>
      </c>
      <c r="CU29" s="92" t="n">
        <v>0</v>
      </c>
      <c r="CV29" s="92" t="n">
        <v>0</v>
      </c>
      <c r="CW29" s="92" t="n">
        <v>0</v>
      </c>
      <c r="CX29" s="92" t="n">
        <v>0</v>
      </c>
      <c r="CY29" s="92" t="n">
        <v>0</v>
      </c>
      <c r="CZ29" s="92" t="n">
        <v>0</v>
      </c>
      <c r="DA29" s="92" t="n">
        <v>0</v>
      </c>
      <c r="DB29" s="92" t="n">
        <v>0</v>
      </c>
    </row>
    <row r="30">
      <c r="A30" t="inlineStr">
        <is>
          <t>Yr 6 exit — Buyer Project CF</t>
        </is>
      </c>
      <c r="C30" s="92" t="n">
        <v>0</v>
      </c>
      <c r="D30" s="92" t="n">
        <v>0</v>
      </c>
      <c r="E30" s="92" t="n">
        <v>0</v>
      </c>
      <c r="F30" s="92" t="n">
        <v>0</v>
      </c>
      <c r="G30" s="92" t="n">
        <v>0</v>
      </c>
      <c r="H30" s="92" t="n">
        <v>0</v>
      </c>
      <c r="I30" s="92" t="n">
        <v>0</v>
      </c>
      <c r="J30" s="92" t="n">
        <v>0</v>
      </c>
      <c r="K30" s="92" t="n">
        <v>0</v>
      </c>
      <c r="L30" s="92" t="n">
        <v>0</v>
      </c>
      <c r="M30" s="92" t="n">
        <v>0</v>
      </c>
      <c r="N30" s="92" t="n">
        <v>0</v>
      </c>
      <c r="O30" s="92" t="n">
        <v>0</v>
      </c>
      <c r="P30" s="92" t="n">
        <v>0</v>
      </c>
      <c r="Q30" s="92" t="n">
        <v>0</v>
      </c>
      <c r="R30" s="92" t="n">
        <v>0</v>
      </c>
      <c r="S30" s="92" t="n">
        <v>0</v>
      </c>
      <c r="T30" s="92" t="n">
        <v>0</v>
      </c>
      <c r="U30" s="92" t="n">
        <v>0</v>
      </c>
      <c r="V30" s="92" t="n">
        <v>0</v>
      </c>
      <c r="W30" s="92" t="n">
        <v>0</v>
      </c>
      <c r="X30" s="92" t="n">
        <v>0</v>
      </c>
      <c r="Y30" s="92" t="n">
        <v>0</v>
      </c>
      <c r="Z30" s="92" t="n">
        <v>0</v>
      </c>
      <c r="AA30" s="92" t="n">
        <v>0</v>
      </c>
      <c r="AB30" s="92" t="n">
        <v>0</v>
      </c>
      <c r="AC30" s="92" t="n">
        <v>0</v>
      </c>
      <c r="AD30" s="92" t="n">
        <v>0</v>
      </c>
      <c r="AE30" s="92" t="n">
        <v>0</v>
      </c>
      <c r="AF30" s="92" t="n">
        <v>0</v>
      </c>
      <c r="AG30" s="92" t="n">
        <v>0</v>
      </c>
      <c r="AH30" s="92" t="n">
        <v>0</v>
      </c>
      <c r="AI30" s="92" t="n">
        <v>0</v>
      </c>
      <c r="AJ30" s="92" t="n">
        <v>0</v>
      </c>
      <c r="AK30" s="92" t="n">
        <v>0</v>
      </c>
      <c r="AL30" s="92" t="n">
        <v>0</v>
      </c>
      <c r="AM30" s="92" t="n">
        <v>0</v>
      </c>
      <c r="AN30" s="92" t="n">
        <v>0</v>
      </c>
      <c r="AO30" s="92" t="n">
        <v>0</v>
      </c>
      <c r="AP30" s="92" t="n">
        <v>0</v>
      </c>
      <c r="AQ30" s="92" t="n">
        <v>0</v>
      </c>
      <c r="AR30" s="92" t="n">
        <v>0</v>
      </c>
      <c r="AS30" s="92" t="n">
        <v>0</v>
      </c>
      <c r="AT30" s="92" t="n">
        <v>0</v>
      </c>
      <c r="AU30" s="92" t="n">
        <v>0</v>
      </c>
      <c r="AV30" s="92" t="n">
        <v>0</v>
      </c>
      <c r="AW30" s="92" t="n">
        <v>0</v>
      </c>
      <c r="AX30" s="92">
        <f>-H10</f>
        <v/>
      </c>
      <c r="AY30" s="92">
        <f>FS_Annual!AY14</f>
        <v/>
      </c>
      <c r="AZ30" s="92">
        <f>FS_Annual!AZ14</f>
        <v/>
      </c>
      <c r="BA30" s="92">
        <f>FS_Annual!BA14</f>
        <v/>
      </c>
      <c r="BB30" s="92">
        <f>FS_Annual!BB14</f>
        <v/>
      </c>
      <c r="BC30" s="92">
        <f>FS_Annual!BC14</f>
        <v/>
      </c>
      <c r="BD30" s="92">
        <f>FS_Annual!BD14</f>
        <v/>
      </c>
      <c r="BE30" s="92">
        <f>FS_Annual!BE14</f>
        <v/>
      </c>
      <c r="BF30" s="92">
        <f>FS_Annual!BF14</f>
        <v/>
      </c>
      <c r="BG30" s="92">
        <f>FS_Annual!BG14</f>
        <v/>
      </c>
      <c r="BH30" s="92">
        <f>FS_Annual!BH14</f>
        <v/>
      </c>
      <c r="BI30" s="92">
        <f>FS_Annual!BI14</f>
        <v/>
      </c>
      <c r="BJ30" s="92">
        <f>FS_Annual!BJ14</f>
        <v/>
      </c>
      <c r="BK30" s="92">
        <f>FS_Annual!BK14</f>
        <v/>
      </c>
      <c r="BL30" s="92">
        <f>FS_Annual!BL14</f>
        <v/>
      </c>
      <c r="BM30" s="92">
        <f>FS_Annual!BM14</f>
        <v/>
      </c>
      <c r="BN30" s="92">
        <f>FS_Annual!BN14</f>
        <v/>
      </c>
      <c r="BO30" s="92">
        <f>FS_Annual!BO14</f>
        <v/>
      </c>
      <c r="BP30" s="92">
        <f>FS_Annual!BP14</f>
        <v/>
      </c>
      <c r="BQ30" s="92">
        <f>FS_Annual!BQ14</f>
        <v/>
      </c>
      <c r="BR30" s="92">
        <f>FS_Annual!BR14</f>
        <v/>
      </c>
      <c r="BS30" s="92">
        <f>FS_Annual!BS14</f>
        <v/>
      </c>
      <c r="BT30" s="92">
        <f>FS_Annual!BT14</f>
        <v/>
      </c>
      <c r="BU30" s="92">
        <f>FS_Annual!BU14</f>
        <v/>
      </c>
      <c r="BV30" s="92">
        <f>FS_Annual!BV14</f>
        <v/>
      </c>
      <c r="BW30" s="92">
        <f>FS_Annual!BW14</f>
        <v/>
      </c>
      <c r="BX30" s="92">
        <f>FS_Annual!BX14</f>
        <v/>
      </c>
      <c r="BY30" s="92">
        <f>FS_Annual!BY14</f>
        <v/>
      </c>
      <c r="BZ30" s="92">
        <f>FS_Annual!BZ14</f>
        <v/>
      </c>
      <c r="CA30" s="92">
        <f>FS_Annual!CA14</f>
        <v/>
      </c>
      <c r="CB30" s="92">
        <f>FS_Annual!CB14</f>
        <v/>
      </c>
      <c r="CC30" s="92">
        <f>FS_Annual!CC14</f>
        <v/>
      </c>
      <c r="CD30" s="92">
        <f>FS_Annual!CD14</f>
        <v/>
      </c>
      <c r="CE30" s="92">
        <f>FS_Annual!CE14</f>
        <v/>
      </c>
      <c r="CF30" s="92">
        <f>FS_Annual!CF14</f>
        <v/>
      </c>
      <c r="CG30" s="92">
        <f>FS_Annual!CG14</f>
        <v/>
      </c>
      <c r="CH30" s="92">
        <f>FS_Annual!CH14</f>
        <v/>
      </c>
      <c r="CI30" s="92">
        <f>FS_Annual!CI14</f>
        <v/>
      </c>
      <c r="CJ30" s="92">
        <f>FS_Annual!CJ14</f>
        <v/>
      </c>
      <c r="CK30" s="92">
        <f>FS_Annual!CK14</f>
        <v/>
      </c>
      <c r="CL30" s="92">
        <f>FS_Annual!CL14</f>
        <v/>
      </c>
      <c r="CM30" s="92">
        <f>FS_Annual!CM14</f>
        <v/>
      </c>
      <c r="CN30" s="92">
        <f>FS_Annual!CN14</f>
        <v/>
      </c>
      <c r="CO30" s="92">
        <f>FS_Annual!CO14</f>
        <v/>
      </c>
      <c r="CP30" s="92">
        <f>FS_Annual!CP14</f>
        <v/>
      </c>
      <c r="CQ30" s="92">
        <f>FS_Annual!CQ14</f>
        <v/>
      </c>
      <c r="CR30" s="92">
        <f>FS_Annual!CR14</f>
        <v/>
      </c>
      <c r="CS30" s="92">
        <f>FS_Annual!CS14</f>
        <v/>
      </c>
      <c r="CT30" s="92">
        <f>FS_Annual!CT14</f>
        <v/>
      </c>
      <c r="CU30" s="92">
        <f>FS_Annual!CU14</f>
        <v/>
      </c>
      <c r="CV30" s="92">
        <f>FS_Annual!CV14</f>
        <v/>
      </c>
      <c r="CW30" s="92">
        <f>FS_Annual!CW14</f>
        <v/>
      </c>
      <c r="CX30" s="92">
        <f>FS_Annual!CX14</f>
        <v/>
      </c>
      <c r="CY30" s="92">
        <f>FS_Annual!CY14</f>
        <v/>
      </c>
      <c r="CZ30" s="92">
        <f>FS_Annual!CZ14</f>
        <v/>
      </c>
      <c r="DA30" s="92">
        <f>FS_Annual!DA14</f>
        <v/>
      </c>
      <c r="DB30" s="92">
        <f>FS_Annual!DB14</f>
        <v/>
      </c>
    </row>
    <row r="31">
      <c r="A31" t="inlineStr">
        <is>
          <t>Yr 7 exit — Seller Equity CF</t>
        </is>
      </c>
      <c r="C31" s="92">
        <f>FS_Annual!C15</f>
        <v/>
      </c>
      <c r="D31" s="92">
        <f>FS_Annual!D15</f>
        <v/>
      </c>
      <c r="E31" s="92">
        <f>FS_Annual!E15</f>
        <v/>
      </c>
      <c r="F31" s="92">
        <f>FS_Annual!F15</f>
        <v/>
      </c>
      <c r="G31" s="92">
        <f>FS_Annual!G15</f>
        <v/>
      </c>
      <c r="H31" s="92">
        <f>FS_Annual!H15</f>
        <v/>
      </c>
      <c r="I31" s="92">
        <f>FS_Annual!I15</f>
        <v/>
      </c>
      <c r="J31" s="92">
        <f>FS_Annual!J15</f>
        <v/>
      </c>
      <c r="K31" s="92">
        <f>FS_Annual!K15</f>
        <v/>
      </c>
      <c r="L31" s="92">
        <f>FS_Annual!L15</f>
        <v/>
      </c>
      <c r="M31" s="92">
        <f>FS_Annual!M15</f>
        <v/>
      </c>
      <c r="N31" s="92">
        <f>FS_Annual!N15</f>
        <v/>
      </c>
      <c r="O31" s="92">
        <f>FS_Annual!O15</f>
        <v/>
      </c>
      <c r="P31" s="92">
        <f>FS_Annual!P15</f>
        <v/>
      </c>
      <c r="Q31" s="92">
        <f>FS_Annual!Q15</f>
        <v/>
      </c>
      <c r="R31" s="92">
        <f>FS_Annual!R15</f>
        <v/>
      </c>
      <c r="S31" s="92">
        <f>FS_Annual!S15</f>
        <v/>
      </c>
      <c r="T31" s="92">
        <f>FS_Annual!T15</f>
        <v/>
      </c>
      <c r="U31" s="92">
        <f>FS_Annual!U15</f>
        <v/>
      </c>
      <c r="V31" s="92">
        <f>FS_Annual!V15</f>
        <v/>
      </c>
      <c r="W31" s="92">
        <f>FS_Annual!W15</f>
        <v/>
      </c>
      <c r="X31" s="92">
        <f>FS_Annual!X15</f>
        <v/>
      </c>
      <c r="Y31" s="92">
        <f>FS_Annual!Y15</f>
        <v/>
      </c>
      <c r="Z31" s="92">
        <f>FS_Annual!Z15</f>
        <v/>
      </c>
      <c r="AA31" s="92">
        <f>FS_Annual!AA15</f>
        <v/>
      </c>
      <c r="AB31" s="92">
        <f>FS_Annual!AB15</f>
        <v/>
      </c>
      <c r="AC31" s="92">
        <f>FS_Annual!AC15</f>
        <v/>
      </c>
      <c r="AD31" s="92">
        <f>FS_Annual!AD15</f>
        <v/>
      </c>
      <c r="AE31" s="92">
        <f>FS_Annual!AE15</f>
        <v/>
      </c>
      <c r="AF31" s="92">
        <f>FS_Annual!AF15</f>
        <v/>
      </c>
      <c r="AG31" s="92">
        <f>FS_Annual!AG15</f>
        <v/>
      </c>
      <c r="AH31" s="92">
        <f>FS_Annual!AH15</f>
        <v/>
      </c>
      <c r="AI31" s="92">
        <f>FS_Annual!AI15</f>
        <v/>
      </c>
      <c r="AJ31" s="92">
        <f>FS_Annual!AJ15</f>
        <v/>
      </c>
      <c r="AK31" s="92">
        <f>FS_Annual!AK15</f>
        <v/>
      </c>
      <c r="AL31" s="92">
        <f>FS_Annual!AL15</f>
        <v/>
      </c>
      <c r="AM31" s="92">
        <f>FS_Annual!AM15</f>
        <v/>
      </c>
      <c r="AN31" s="92">
        <f>FS_Annual!AN15</f>
        <v/>
      </c>
      <c r="AO31" s="92">
        <f>FS_Annual!AO15</f>
        <v/>
      </c>
      <c r="AP31" s="92">
        <f>FS_Annual!AP15</f>
        <v/>
      </c>
      <c r="AQ31" s="92">
        <f>FS_Annual!AQ15</f>
        <v/>
      </c>
      <c r="AR31" s="92">
        <f>FS_Annual!AR15</f>
        <v/>
      </c>
      <c r="AS31" s="92">
        <f>FS_Annual!AS15</f>
        <v/>
      </c>
      <c r="AT31" s="92">
        <f>FS_Annual!AT15</f>
        <v/>
      </c>
      <c r="AU31" s="92">
        <f>FS_Annual!AU15</f>
        <v/>
      </c>
      <c r="AV31" s="92">
        <f>FS_Annual!AV15</f>
        <v/>
      </c>
      <c r="AW31" s="92">
        <f>FS_Annual!AW15</f>
        <v/>
      </c>
      <c r="AX31" s="92">
        <f>FS_Annual!AX15</f>
        <v/>
      </c>
      <c r="AY31" s="92">
        <f>FS_Annual!AY15</f>
        <v/>
      </c>
      <c r="AZ31" s="92">
        <f>FS_Annual!AZ15</f>
        <v/>
      </c>
      <c r="BA31" s="92">
        <f>FS_Annual!BA15</f>
        <v/>
      </c>
      <c r="BB31" s="92">
        <f>FS_Annual!BB15+I8</f>
        <v/>
      </c>
      <c r="BC31" s="92" t="n">
        <v>0</v>
      </c>
      <c r="BD31" s="92" t="n">
        <v>0</v>
      </c>
      <c r="BE31" s="92" t="n">
        <v>0</v>
      </c>
      <c r="BF31" s="92" t="n">
        <v>0</v>
      </c>
      <c r="BG31" s="92" t="n">
        <v>0</v>
      </c>
      <c r="BH31" s="92" t="n">
        <v>0</v>
      </c>
      <c r="BI31" s="92" t="n">
        <v>0</v>
      </c>
      <c r="BJ31" s="92" t="n">
        <v>0</v>
      </c>
      <c r="BK31" s="92" t="n">
        <v>0</v>
      </c>
      <c r="BL31" s="92" t="n">
        <v>0</v>
      </c>
      <c r="BM31" s="92" t="n">
        <v>0</v>
      </c>
      <c r="BN31" s="92" t="n">
        <v>0</v>
      </c>
      <c r="BO31" s="92" t="n">
        <v>0</v>
      </c>
      <c r="BP31" s="92" t="n">
        <v>0</v>
      </c>
      <c r="BQ31" s="92" t="n">
        <v>0</v>
      </c>
      <c r="BR31" s="92" t="n">
        <v>0</v>
      </c>
      <c r="BS31" s="92" t="n">
        <v>0</v>
      </c>
      <c r="BT31" s="92" t="n">
        <v>0</v>
      </c>
      <c r="BU31" s="92" t="n">
        <v>0</v>
      </c>
      <c r="BV31" s="92" t="n">
        <v>0</v>
      </c>
      <c r="BW31" s="92" t="n">
        <v>0</v>
      </c>
      <c r="BX31" s="92" t="n">
        <v>0</v>
      </c>
      <c r="BY31" s="92" t="n">
        <v>0</v>
      </c>
      <c r="BZ31" s="92" t="n">
        <v>0</v>
      </c>
      <c r="CA31" s="92" t="n">
        <v>0</v>
      </c>
      <c r="CB31" s="92" t="n">
        <v>0</v>
      </c>
      <c r="CC31" s="92" t="n">
        <v>0</v>
      </c>
      <c r="CD31" s="92" t="n">
        <v>0</v>
      </c>
      <c r="CE31" s="92" t="n">
        <v>0</v>
      </c>
      <c r="CF31" s="92" t="n">
        <v>0</v>
      </c>
      <c r="CG31" s="92" t="n">
        <v>0</v>
      </c>
      <c r="CH31" s="92" t="n">
        <v>0</v>
      </c>
      <c r="CI31" s="92" t="n">
        <v>0</v>
      </c>
      <c r="CJ31" s="92" t="n">
        <v>0</v>
      </c>
      <c r="CK31" s="92" t="n">
        <v>0</v>
      </c>
      <c r="CL31" s="92" t="n">
        <v>0</v>
      </c>
      <c r="CM31" s="92" t="n">
        <v>0</v>
      </c>
      <c r="CN31" s="92" t="n">
        <v>0</v>
      </c>
      <c r="CO31" s="92" t="n">
        <v>0</v>
      </c>
      <c r="CP31" s="92" t="n">
        <v>0</v>
      </c>
      <c r="CQ31" s="92" t="n">
        <v>0</v>
      </c>
      <c r="CR31" s="92" t="n">
        <v>0</v>
      </c>
      <c r="CS31" s="92" t="n">
        <v>0</v>
      </c>
      <c r="CT31" s="92" t="n">
        <v>0</v>
      </c>
      <c r="CU31" s="92" t="n">
        <v>0</v>
      </c>
      <c r="CV31" s="92" t="n">
        <v>0</v>
      </c>
      <c r="CW31" s="92" t="n">
        <v>0</v>
      </c>
      <c r="CX31" s="92" t="n">
        <v>0</v>
      </c>
      <c r="CY31" s="92" t="n">
        <v>0</v>
      </c>
      <c r="CZ31" s="92" t="n">
        <v>0</v>
      </c>
      <c r="DA31" s="92" t="n">
        <v>0</v>
      </c>
      <c r="DB31" s="92" t="n">
        <v>0</v>
      </c>
    </row>
    <row r="32">
      <c r="A32" t="inlineStr">
        <is>
          <t>Yr 7 exit — Buyer Project CF</t>
        </is>
      </c>
      <c r="C32" s="92" t="n">
        <v>0</v>
      </c>
      <c r="D32" s="92" t="n">
        <v>0</v>
      </c>
      <c r="E32" s="92" t="n">
        <v>0</v>
      </c>
      <c r="F32" s="92" t="n">
        <v>0</v>
      </c>
      <c r="G32" s="92" t="n">
        <v>0</v>
      </c>
      <c r="H32" s="92" t="n">
        <v>0</v>
      </c>
      <c r="I32" s="92" t="n">
        <v>0</v>
      </c>
      <c r="J32" s="92" t="n">
        <v>0</v>
      </c>
      <c r="K32" s="92" t="n">
        <v>0</v>
      </c>
      <c r="L32" s="92" t="n">
        <v>0</v>
      </c>
      <c r="M32" s="92" t="n">
        <v>0</v>
      </c>
      <c r="N32" s="92" t="n">
        <v>0</v>
      </c>
      <c r="O32" s="92" t="n">
        <v>0</v>
      </c>
      <c r="P32" s="92" t="n">
        <v>0</v>
      </c>
      <c r="Q32" s="92" t="n">
        <v>0</v>
      </c>
      <c r="R32" s="92" t="n">
        <v>0</v>
      </c>
      <c r="S32" s="92" t="n">
        <v>0</v>
      </c>
      <c r="T32" s="92" t="n">
        <v>0</v>
      </c>
      <c r="U32" s="92" t="n">
        <v>0</v>
      </c>
      <c r="V32" s="92" t="n">
        <v>0</v>
      </c>
      <c r="W32" s="92" t="n">
        <v>0</v>
      </c>
      <c r="X32" s="92" t="n">
        <v>0</v>
      </c>
      <c r="Y32" s="92" t="n">
        <v>0</v>
      </c>
      <c r="Z32" s="92" t="n">
        <v>0</v>
      </c>
      <c r="AA32" s="92" t="n">
        <v>0</v>
      </c>
      <c r="AB32" s="92" t="n">
        <v>0</v>
      </c>
      <c r="AC32" s="92" t="n">
        <v>0</v>
      </c>
      <c r="AD32" s="92" t="n">
        <v>0</v>
      </c>
      <c r="AE32" s="92" t="n">
        <v>0</v>
      </c>
      <c r="AF32" s="92" t="n">
        <v>0</v>
      </c>
      <c r="AG32" s="92" t="n">
        <v>0</v>
      </c>
      <c r="AH32" s="92" t="n">
        <v>0</v>
      </c>
      <c r="AI32" s="92" t="n">
        <v>0</v>
      </c>
      <c r="AJ32" s="92" t="n">
        <v>0</v>
      </c>
      <c r="AK32" s="92" t="n">
        <v>0</v>
      </c>
      <c r="AL32" s="92" t="n">
        <v>0</v>
      </c>
      <c r="AM32" s="92" t="n">
        <v>0</v>
      </c>
      <c r="AN32" s="92" t="n">
        <v>0</v>
      </c>
      <c r="AO32" s="92" t="n">
        <v>0</v>
      </c>
      <c r="AP32" s="92" t="n">
        <v>0</v>
      </c>
      <c r="AQ32" s="92" t="n">
        <v>0</v>
      </c>
      <c r="AR32" s="92" t="n">
        <v>0</v>
      </c>
      <c r="AS32" s="92" t="n">
        <v>0</v>
      </c>
      <c r="AT32" s="92" t="n">
        <v>0</v>
      </c>
      <c r="AU32" s="92" t="n">
        <v>0</v>
      </c>
      <c r="AV32" s="92" t="n">
        <v>0</v>
      </c>
      <c r="AW32" s="92" t="n">
        <v>0</v>
      </c>
      <c r="AX32" s="92" t="n">
        <v>0</v>
      </c>
      <c r="AY32" s="92" t="n">
        <v>0</v>
      </c>
      <c r="AZ32" s="92" t="n">
        <v>0</v>
      </c>
      <c r="BA32" s="92" t="n">
        <v>0</v>
      </c>
      <c r="BB32" s="92">
        <f>-I10</f>
        <v/>
      </c>
      <c r="BC32" s="92">
        <f>FS_Annual!BC14</f>
        <v/>
      </c>
      <c r="BD32" s="92">
        <f>FS_Annual!BD14</f>
        <v/>
      </c>
      <c r="BE32" s="92">
        <f>FS_Annual!BE14</f>
        <v/>
      </c>
      <c r="BF32" s="92">
        <f>FS_Annual!BF14</f>
        <v/>
      </c>
      <c r="BG32" s="92">
        <f>FS_Annual!BG14</f>
        <v/>
      </c>
      <c r="BH32" s="92">
        <f>FS_Annual!BH14</f>
        <v/>
      </c>
      <c r="BI32" s="92">
        <f>FS_Annual!BI14</f>
        <v/>
      </c>
      <c r="BJ32" s="92">
        <f>FS_Annual!BJ14</f>
        <v/>
      </c>
      <c r="BK32" s="92">
        <f>FS_Annual!BK14</f>
        <v/>
      </c>
      <c r="BL32" s="92">
        <f>FS_Annual!BL14</f>
        <v/>
      </c>
      <c r="BM32" s="92">
        <f>FS_Annual!BM14</f>
        <v/>
      </c>
      <c r="BN32" s="92">
        <f>FS_Annual!BN14</f>
        <v/>
      </c>
      <c r="BO32" s="92">
        <f>FS_Annual!BO14</f>
        <v/>
      </c>
      <c r="BP32" s="92">
        <f>FS_Annual!BP14</f>
        <v/>
      </c>
      <c r="BQ32" s="92">
        <f>FS_Annual!BQ14</f>
        <v/>
      </c>
      <c r="BR32" s="92">
        <f>FS_Annual!BR14</f>
        <v/>
      </c>
      <c r="BS32" s="92">
        <f>FS_Annual!BS14</f>
        <v/>
      </c>
      <c r="BT32" s="92">
        <f>FS_Annual!BT14</f>
        <v/>
      </c>
      <c r="BU32" s="92">
        <f>FS_Annual!BU14</f>
        <v/>
      </c>
      <c r="BV32" s="92">
        <f>FS_Annual!BV14</f>
        <v/>
      </c>
      <c r="BW32" s="92">
        <f>FS_Annual!BW14</f>
        <v/>
      </c>
      <c r="BX32" s="92">
        <f>FS_Annual!BX14</f>
        <v/>
      </c>
      <c r="BY32" s="92">
        <f>FS_Annual!BY14</f>
        <v/>
      </c>
      <c r="BZ32" s="92">
        <f>FS_Annual!BZ14</f>
        <v/>
      </c>
      <c r="CA32" s="92">
        <f>FS_Annual!CA14</f>
        <v/>
      </c>
      <c r="CB32" s="92">
        <f>FS_Annual!CB14</f>
        <v/>
      </c>
      <c r="CC32" s="92">
        <f>FS_Annual!CC14</f>
        <v/>
      </c>
      <c r="CD32" s="92">
        <f>FS_Annual!CD14</f>
        <v/>
      </c>
      <c r="CE32" s="92">
        <f>FS_Annual!CE14</f>
        <v/>
      </c>
      <c r="CF32" s="92">
        <f>FS_Annual!CF14</f>
        <v/>
      </c>
      <c r="CG32" s="92">
        <f>FS_Annual!CG14</f>
        <v/>
      </c>
      <c r="CH32" s="92">
        <f>FS_Annual!CH14</f>
        <v/>
      </c>
      <c r="CI32" s="92">
        <f>FS_Annual!CI14</f>
        <v/>
      </c>
      <c r="CJ32" s="92">
        <f>FS_Annual!CJ14</f>
        <v/>
      </c>
      <c r="CK32" s="92">
        <f>FS_Annual!CK14</f>
        <v/>
      </c>
      <c r="CL32" s="92">
        <f>FS_Annual!CL14</f>
        <v/>
      </c>
      <c r="CM32" s="92">
        <f>FS_Annual!CM14</f>
        <v/>
      </c>
      <c r="CN32" s="92">
        <f>FS_Annual!CN14</f>
        <v/>
      </c>
      <c r="CO32" s="92">
        <f>FS_Annual!CO14</f>
        <v/>
      </c>
      <c r="CP32" s="92">
        <f>FS_Annual!CP14</f>
        <v/>
      </c>
      <c r="CQ32" s="92">
        <f>FS_Annual!CQ14</f>
        <v/>
      </c>
      <c r="CR32" s="92">
        <f>FS_Annual!CR14</f>
        <v/>
      </c>
      <c r="CS32" s="92">
        <f>FS_Annual!CS14</f>
        <v/>
      </c>
      <c r="CT32" s="92">
        <f>FS_Annual!CT14</f>
        <v/>
      </c>
      <c r="CU32" s="92">
        <f>FS_Annual!CU14</f>
        <v/>
      </c>
      <c r="CV32" s="92">
        <f>FS_Annual!CV14</f>
        <v/>
      </c>
      <c r="CW32" s="92">
        <f>FS_Annual!CW14</f>
        <v/>
      </c>
      <c r="CX32" s="92">
        <f>FS_Annual!CX14</f>
        <v/>
      </c>
      <c r="CY32" s="92">
        <f>FS_Annual!CY14</f>
        <v/>
      </c>
      <c r="CZ32" s="92">
        <f>FS_Annual!CZ14</f>
        <v/>
      </c>
      <c r="DA32" s="92">
        <f>FS_Annual!DA14</f>
        <v/>
      </c>
      <c r="DB32" s="92">
        <f>FS_Annual!DB14</f>
        <v/>
      </c>
    </row>
    <row r="33">
      <c r="A33" t="inlineStr">
        <is>
          <t>Yr 8 exit — Seller Equity CF</t>
        </is>
      </c>
      <c r="C33" s="92">
        <f>FS_Annual!C15</f>
        <v/>
      </c>
      <c r="D33" s="92">
        <f>FS_Annual!D15</f>
        <v/>
      </c>
      <c r="E33" s="92">
        <f>FS_Annual!E15</f>
        <v/>
      </c>
      <c r="F33" s="92">
        <f>FS_Annual!F15</f>
        <v/>
      </c>
      <c r="G33" s="92">
        <f>FS_Annual!G15</f>
        <v/>
      </c>
      <c r="H33" s="92">
        <f>FS_Annual!H15</f>
        <v/>
      </c>
      <c r="I33" s="92">
        <f>FS_Annual!I15</f>
        <v/>
      </c>
      <c r="J33" s="92">
        <f>FS_Annual!J15</f>
        <v/>
      </c>
      <c r="K33" s="92">
        <f>FS_Annual!K15</f>
        <v/>
      </c>
      <c r="L33" s="92">
        <f>FS_Annual!L15</f>
        <v/>
      </c>
      <c r="M33" s="92">
        <f>FS_Annual!M15</f>
        <v/>
      </c>
      <c r="N33" s="92">
        <f>FS_Annual!N15</f>
        <v/>
      </c>
      <c r="O33" s="92">
        <f>FS_Annual!O15</f>
        <v/>
      </c>
      <c r="P33" s="92">
        <f>FS_Annual!P15</f>
        <v/>
      </c>
      <c r="Q33" s="92">
        <f>FS_Annual!Q15</f>
        <v/>
      </c>
      <c r="R33" s="92">
        <f>FS_Annual!R15</f>
        <v/>
      </c>
      <c r="S33" s="92">
        <f>FS_Annual!S15</f>
        <v/>
      </c>
      <c r="T33" s="92">
        <f>FS_Annual!T15</f>
        <v/>
      </c>
      <c r="U33" s="92">
        <f>FS_Annual!U15</f>
        <v/>
      </c>
      <c r="V33" s="92">
        <f>FS_Annual!V15</f>
        <v/>
      </c>
      <c r="W33" s="92">
        <f>FS_Annual!W15</f>
        <v/>
      </c>
      <c r="X33" s="92">
        <f>FS_Annual!X15</f>
        <v/>
      </c>
      <c r="Y33" s="92">
        <f>FS_Annual!Y15</f>
        <v/>
      </c>
      <c r="Z33" s="92">
        <f>FS_Annual!Z15</f>
        <v/>
      </c>
      <c r="AA33" s="92">
        <f>FS_Annual!AA15</f>
        <v/>
      </c>
      <c r="AB33" s="92">
        <f>FS_Annual!AB15</f>
        <v/>
      </c>
      <c r="AC33" s="92">
        <f>FS_Annual!AC15</f>
        <v/>
      </c>
      <c r="AD33" s="92">
        <f>FS_Annual!AD15</f>
        <v/>
      </c>
      <c r="AE33" s="92">
        <f>FS_Annual!AE15</f>
        <v/>
      </c>
      <c r="AF33" s="92">
        <f>FS_Annual!AF15</f>
        <v/>
      </c>
      <c r="AG33" s="92">
        <f>FS_Annual!AG15</f>
        <v/>
      </c>
      <c r="AH33" s="92">
        <f>FS_Annual!AH15</f>
        <v/>
      </c>
      <c r="AI33" s="92">
        <f>FS_Annual!AI15</f>
        <v/>
      </c>
      <c r="AJ33" s="92">
        <f>FS_Annual!AJ15</f>
        <v/>
      </c>
      <c r="AK33" s="92">
        <f>FS_Annual!AK15</f>
        <v/>
      </c>
      <c r="AL33" s="92">
        <f>FS_Annual!AL15</f>
        <v/>
      </c>
      <c r="AM33" s="92">
        <f>FS_Annual!AM15</f>
        <v/>
      </c>
      <c r="AN33" s="92">
        <f>FS_Annual!AN15</f>
        <v/>
      </c>
      <c r="AO33" s="92">
        <f>FS_Annual!AO15</f>
        <v/>
      </c>
      <c r="AP33" s="92">
        <f>FS_Annual!AP15</f>
        <v/>
      </c>
      <c r="AQ33" s="92">
        <f>FS_Annual!AQ15</f>
        <v/>
      </c>
      <c r="AR33" s="92">
        <f>FS_Annual!AR15</f>
        <v/>
      </c>
      <c r="AS33" s="92">
        <f>FS_Annual!AS15</f>
        <v/>
      </c>
      <c r="AT33" s="92">
        <f>FS_Annual!AT15</f>
        <v/>
      </c>
      <c r="AU33" s="92">
        <f>FS_Annual!AU15</f>
        <v/>
      </c>
      <c r="AV33" s="92">
        <f>FS_Annual!AV15</f>
        <v/>
      </c>
      <c r="AW33" s="92">
        <f>FS_Annual!AW15</f>
        <v/>
      </c>
      <c r="AX33" s="92">
        <f>FS_Annual!AX15</f>
        <v/>
      </c>
      <c r="AY33" s="92">
        <f>FS_Annual!AY15</f>
        <v/>
      </c>
      <c r="AZ33" s="92">
        <f>FS_Annual!AZ15</f>
        <v/>
      </c>
      <c r="BA33" s="92">
        <f>FS_Annual!BA15</f>
        <v/>
      </c>
      <c r="BB33" s="92">
        <f>FS_Annual!BB15</f>
        <v/>
      </c>
      <c r="BC33" s="92">
        <f>FS_Annual!BC15</f>
        <v/>
      </c>
      <c r="BD33" s="92">
        <f>FS_Annual!BD15</f>
        <v/>
      </c>
      <c r="BE33" s="92">
        <f>FS_Annual!BE15</f>
        <v/>
      </c>
      <c r="BF33" s="92">
        <f>FS_Annual!BF15+J8</f>
        <v/>
      </c>
      <c r="BG33" s="92" t="n">
        <v>0</v>
      </c>
      <c r="BH33" s="92" t="n">
        <v>0</v>
      </c>
      <c r="BI33" s="92" t="n">
        <v>0</v>
      </c>
      <c r="BJ33" s="92" t="n">
        <v>0</v>
      </c>
      <c r="BK33" s="92" t="n">
        <v>0</v>
      </c>
      <c r="BL33" s="92" t="n">
        <v>0</v>
      </c>
      <c r="BM33" s="92" t="n">
        <v>0</v>
      </c>
      <c r="BN33" s="92" t="n">
        <v>0</v>
      </c>
      <c r="BO33" s="92" t="n">
        <v>0</v>
      </c>
      <c r="BP33" s="92" t="n">
        <v>0</v>
      </c>
      <c r="BQ33" s="92" t="n">
        <v>0</v>
      </c>
      <c r="BR33" s="92" t="n">
        <v>0</v>
      </c>
      <c r="BS33" s="92" t="n">
        <v>0</v>
      </c>
      <c r="BT33" s="92" t="n">
        <v>0</v>
      </c>
      <c r="BU33" s="92" t="n">
        <v>0</v>
      </c>
      <c r="BV33" s="92" t="n">
        <v>0</v>
      </c>
      <c r="BW33" s="92" t="n">
        <v>0</v>
      </c>
      <c r="BX33" s="92" t="n">
        <v>0</v>
      </c>
      <c r="BY33" s="92" t="n">
        <v>0</v>
      </c>
      <c r="BZ33" s="92" t="n">
        <v>0</v>
      </c>
      <c r="CA33" s="92" t="n">
        <v>0</v>
      </c>
      <c r="CB33" s="92" t="n">
        <v>0</v>
      </c>
      <c r="CC33" s="92" t="n">
        <v>0</v>
      </c>
      <c r="CD33" s="92" t="n">
        <v>0</v>
      </c>
      <c r="CE33" s="92" t="n">
        <v>0</v>
      </c>
      <c r="CF33" s="92" t="n">
        <v>0</v>
      </c>
      <c r="CG33" s="92" t="n">
        <v>0</v>
      </c>
      <c r="CH33" s="92" t="n">
        <v>0</v>
      </c>
      <c r="CI33" s="92" t="n">
        <v>0</v>
      </c>
      <c r="CJ33" s="92" t="n">
        <v>0</v>
      </c>
      <c r="CK33" s="92" t="n">
        <v>0</v>
      </c>
      <c r="CL33" s="92" t="n">
        <v>0</v>
      </c>
      <c r="CM33" s="92" t="n">
        <v>0</v>
      </c>
      <c r="CN33" s="92" t="n">
        <v>0</v>
      </c>
      <c r="CO33" s="92" t="n">
        <v>0</v>
      </c>
      <c r="CP33" s="92" t="n">
        <v>0</v>
      </c>
      <c r="CQ33" s="92" t="n">
        <v>0</v>
      </c>
      <c r="CR33" s="92" t="n">
        <v>0</v>
      </c>
      <c r="CS33" s="92" t="n">
        <v>0</v>
      </c>
      <c r="CT33" s="92" t="n">
        <v>0</v>
      </c>
      <c r="CU33" s="92" t="n">
        <v>0</v>
      </c>
      <c r="CV33" s="92" t="n">
        <v>0</v>
      </c>
      <c r="CW33" s="92" t="n">
        <v>0</v>
      </c>
      <c r="CX33" s="92" t="n">
        <v>0</v>
      </c>
      <c r="CY33" s="92" t="n">
        <v>0</v>
      </c>
      <c r="CZ33" s="92" t="n">
        <v>0</v>
      </c>
      <c r="DA33" s="92" t="n">
        <v>0</v>
      </c>
      <c r="DB33" s="92" t="n">
        <v>0</v>
      </c>
    </row>
    <row r="34">
      <c r="A34" t="inlineStr">
        <is>
          <t>Yr 8 exit — Buyer Project CF</t>
        </is>
      </c>
      <c r="C34" s="92" t="n">
        <v>0</v>
      </c>
      <c r="D34" s="92" t="n">
        <v>0</v>
      </c>
      <c r="E34" s="92" t="n">
        <v>0</v>
      </c>
      <c r="F34" s="92" t="n">
        <v>0</v>
      </c>
      <c r="G34" s="92" t="n">
        <v>0</v>
      </c>
      <c r="H34" s="92" t="n">
        <v>0</v>
      </c>
      <c r="I34" s="92" t="n">
        <v>0</v>
      </c>
      <c r="J34" s="92" t="n">
        <v>0</v>
      </c>
      <c r="K34" s="92" t="n">
        <v>0</v>
      </c>
      <c r="L34" s="92" t="n">
        <v>0</v>
      </c>
      <c r="M34" s="92" t="n">
        <v>0</v>
      </c>
      <c r="N34" s="92" t="n">
        <v>0</v>
      </c>
      <c r="O34" s="92" t="n">
        <v>0</v>
      </c>
      <c r="P34" s="92" t="n">
        <v>0</v>
      </c>
      <c r="Q34" s="92" t="n">
        <v>0</v>
      </c>
      <c r="R34" s="92" t="n">
        <v>0</v>
      </c>
      <c r="S34" s="92" t="n">
        <v>0</v>
      </c>
      <c r="T34" s="92" t="n">
        <v>0</v>
      </c>
      <c r="U34" s="92" t="n">
        <v>0</v>
      </c>
      <c r="V34" s="92" t="n">
        <v>0</v>
      </c>
      <c r="W34" s="92" t="n">
        <v>0</v>
      </c>
      <c r="X34" s="92" t="n">
        <v>0</v>
      </c>
      <c r="Y34" s="92" t="n">
        <v>0</v>
      </c>
      <c r="Z34" s="92" t="n">
        <v>0</v>
      </c>
      <c r="AA34" s="92" t="n">
        <v>0</v>
      </c>
      <c r="AB34" s="92" t="n">
        <v>0</v>
      </c>
      <c r="AC34" s="92" t="n">
        <v>0</v>
      </c>
      <c r="AD34" s="92" t="n">
        <v>0</v>
      </c>
      <c r="AE34" s="92" t="n">
        <v>0</v>
      </c>
      <c r="AF34" s="92" t="n">
        <v>0</v>
      </c>
      <c r="AG34" s="92" t="n">
        <v>0</v>
      </c>
      <c r="AH34" s="92" t="n">
        <v>0</v>
      </c>
      <c r="AI34" s="92" t="n">
        <v>0</v>
      </c>
      <c r="AJ34" s="92" t="n">
        <v>0</v>
      </c>
      <c r="AK34" s="92" t="n">
        <v>0</v>
      </c>
      <c r="AL34" s="92" t="n">
        <v>0</v>
      </c>
      <c r="AM34" s="92" t="n">
        <v>0</v>
      </c>
      <c r="AN34" s="92" t="n">
        <v>0</v>
      </c>
      <c r="AO34" s="92" t="n">
        <v>0</v>
      </c>
      <c r="AP34" s="92" t="n">
        <v>0</v>
      </c>
      <c r="AQ34" s="92" t="n">
        <v>0</v>
      </c>
      <c r="AR34" s="92" t="n">
        <v>0</v>
      </c>
      <c r="AS34" s="92" t="n">
        <v>0</v>
      </c>
      <c r="AT34" s="92" t="n">
        <v>0</v>
      </c>
      <c r="AU34" s="92" t="n">
        <v>0</v>
      </c>
      <c r="AV34" s="92" t="n">
        <v>0</v>
      </c>
      <c r="AW34" s="92" t="n">
        <v>0</v>
      </c>
      <c r="AX34" s="92" t="n">
        <v>0</v>
      </c>
      <c r="AY34" s="92" t="n">
        <v>0</v>
      </c>
      <c r="AZ34" s="92" t="n">
        <v>0</v>
      </c>
      <c r="BA34" s="92" t="n">
        <v>0</v>
      </c>
      <c r="BB34" s="92" t="n">
        <v>0</v>
      </c>
      <c r="BC34" s="92" t="n">
        <v>0</v>
      </c>
      <c r="BD34" s="92" t="n">
        <v>0</v>
      </c>
      <c r="BE34" s="92" t="n">
        <v>0</v>
      </c>
      <c r="BF34" s="92">
        <f>-J10</f>
        <v/>
      </c>
      <c r="BG34" s="92">
        <f>FS_Annual!BG14</f>
        <v/>
      </c>
      <c r="BH34" s="92">
        <f>FS_Annual!BH14</f>
        <v/>
      </c>
      <c r="BI34" s="92">
        <f>FS_Annual!BI14</f>
        <v/>
      </c>
      <c r="BJ34" s="92">
        <f>FS_Annual!BJ14</f>
        <v/>
      </c>
      <c r="BK34" s="92">
        <f>FS_Annual!BK14</f>
        <v/>
      </c>
      <c r="BL34" s="92">
        <f>FS_Annual!BL14</f>
        <v/>
      </c>
      <c r="BM34" s="92">
        <f>FS_Annual!BM14</f>
        <v/>
      </c>
      <c r="BN34" s="92">
        <f>FS_Annual!BN14</f>
        <v/>
      </c>
      <c r="BO34" s="92">
        <f>FS_Annual!BO14</f>
        <v/>
      </c>
      <c r="BP34" s="92">
        <f>FS_Annual!BP14</f>
        <v/>
      </c>
      <c r="BQ34" s="92">
        <f>FS_Annual!BQ14</f>
        <v/>
      </c>
      <c r="BR34" s="92">
        <f>FS_Annual!BR14</f>
        <v/>
      </c>
      <c r="BS34" s="92">
        <f>FS_Annual!BS14</f>
        <v/>
      </c>
      <c r="BT34" s="92">
        <f>FS_Annual!BT14</f>
        <v/>
      </c>
      <c r="BU34" s="92">
        <f>FS_Annual!BU14</f>
        <v/>
      </c>
      <c r="BV34" s="92">
        <f>FS_Annual!BV14</f>
        <v/>
      </c>
      <c r="BW34" s="92">
        <f>FS_Annual!BW14</f>
        <v/>
      </c>
      <c r="BX34" s="92">
        <f>FS_Annual!BX14</f>
        <v/>
      </c>
      <c r="BY34" s="92">
        <f>FS_Annual!BY14</f>
        <v/>
      </c>
      <c r="BZ34" s="92">
        <f>FS_Annual!BZ14</f>
        <v/>
      </c>
      <c r="CA34" s="92">
        <f>FS_Annual!CA14</f>
        <v/>
      </c>
      <c r="CB34" s="92">
        <f>FS_Annual!CB14</f>
        <v/>
      </c>
      <c r="CC34" s="92">
        <f>FS_Annual!CC14</f>
        <v/>
      </c>
      <c r="CD34" s="92">
        <f>FS_Annual!CD14</f>
        <v/>
      </c>
      <c r="CE34" s="92">
        <f>FS_Annual!CE14</f>
        <v/>
      </c>
      <c r="CF34" s="92">
        <f>FS_Annual!CF14</f>
        <v/>
      </c>
      <c r="CG34" s="92">
        <f>FS_Annual!CG14</f>
        <v/>
      </c>
      <c r="CH34" s="92">
        <f>FS_Annual!CH14</f>
        <v/>
      </c>
      <c r="CI34" s="92">
        <f>FS_Annual!CI14</f>
        <v/>
      </c>
      <c r="CJ34" s="92">
        <f>FS_Annual!CJ14</f>
        <v/>
      </c>
      <c r="CK34" s="92">
        <f>FS_Annual!CK14</f>
        <v/>
      </c>
      <c r="CL34" s="92">
        <f>FS_Annual!CL14</f>
        <v/>
      </c>
      <c r="CM34" s="92">
        <f>FS_Annual!CM14</f>
        <v/>
      </c>
      <c r="CN34" s="92">
        <f>FS_Annual!CN14</f>
        <v/>
      </c>
      <c r="CO34" s="92">
        <f>FS_Annual!CO14</f>
        <v/>
      </c>
      <c r="CP34" s="92">
        <f>FS_Annual!CP14</f>
        <v/>
      </c>
      <c r="CQ34" s="92">
        <f>FS_Annual!CQ14</f>
        <v/>
      </c>
      <c r="CR34" s="92">
        <f>FS_Annual!CR14</f>
        <v/>
      </c>
      <c r="CS34" s="92">
        <f>FS_Annual!CS14</f>
        <v/>
      </c>
      <c r="CT34" s="92">
        <f>FS_Annual!CT14</f>
        <v/>
      </c>
      <c r="CU34" s="92">
        <f>FS_Annual!CU14</f>
        <v/>
      </c>
      <c r="CV34" s="92">
        <f>FS_Annual!CV14</f>
        <v/>
      </c>
      <c r="CW34" s="92">
        <f>FS_Annual!CW14</f>
        <v/>
      </c>
      <c r="CX34" s="92">
        <f>FS_Annual!CX14</f>
        <v/>
      </c>
      <c r="CY34" s="92">
        <f>FS_Annual!CY14</f>
        <v/>
      </c>
      <c r="CZ34" s="92">
        <f>FS_Annual!CZ14</f>
        <v/>
      </c>
      <c r="DA34" s="92">
        <f>FS_Annual!DA14</f>
        <v/>
      </c>
      <c r="DB34" s="92">
        <f>FS_Annual!DB14</f>
        <v/>
      </c>
    </row>
    <row r="35">
      <c r="A35" t="inlineStr">
        <is>
          <t>Yr 9 exit — Seller Equity CF</t>
        </is>
      </c>
      <c r="C35" s="92">
        <f>FS_Annual!C15</f>
        <v/>
      </c>
      <c r="D35" s="92">
        <f>FS_Annual!D15</f>
        <v/>
      </c>
      <c r="E35" s="92">
        <f>FS_Annual!E15</f>
        <v/>
      </c>
      <c r="F35" s="92">
        <f>FS_Annual!F15</f>
        <v/>
      </c>
      <c r="G35" s="92">
        <f>FS_Annual!G15</f>
        <v/>
      </c>
      <c r="H35" s="92">
        <f>FS_Annual!H15</f>
        <v/>
      </c>
      <c r="I35" s="92">
        <f>FS_Annual!I15</f>
        <v/>
      </c>
      <c r="J35" s="92">
        <f>FS_Annual!J15</f>
        <v/>
      </c>
      <c r="K35" s="92">
        <f>FS_Annual!K15</f>
        <v/>
      </c>
      <c r="L35" s="92">
        <f>FS_Annual!L15</f>
        <v/>
      </c>
      <c r="M35" s="92">
        <f>FS_Annual!M15</f>
        <v/>
      </c>
      <c r="N35" s="92">
        <f>FS_Annual!N15</f>
        <v/>
      </c>
      <c r="O35" s="92">
        <f>FS_Annual!O15</f>
        <v/>
      </c>
      <c r="P35" s="92">
        <f>FS_Annual!P15</f>
        <v/>
      </c>
      <c r="Q35" s="92">
        <f>FS_Annual!Q15</f>
        <v/>
      </c>
      <c r="R35" s="92">
        <f>FS_Annual!R15</f>
        <v/>
      </c>
      <c r="S35" s="92">
        <f>FS_Annual!S15</f>
        <v/>
      </c>
      <c r="T35" s="92">
        <f>FS_Annual!T15</f>
        <v/>
      </c>
      <c r="U35" s="92">
        <f>FS_Annual!U15</f>
        <v/>
      </c>
      <c r="V35" s="92">
        <f>FS_Annual!V15</f>
        <v/>
      </c>
      <c r="W35" s="92">
        <f>FS_Annual!W15</f>
        <v/>
      </c>
      <c r="X35" s="92">
        <f>FS_Annual!X15</f>
        <v/>
      </c>
      <c r="Y35" s="92">
        <f>FS_Annual!Y15</f>
        <v/>
      </c>
      <c r="Z35" s="92">
        <f>FS_Annual!Z15</f>
        <v/>
      </c>
      <c r="AA35" s="92">
        <f>FS_Annual!AA15</f>
        <v/>
      </c>
      <c r="AB35" s="92">
        <f>FS_Annual!AB15</f>
        <v/>
      </c>
      <c r="AC35" s="92">
        <f>FS_Annual!AC15</f>
        <v/>
      </c>
      <c r="AD35" s="92">
        <f>FS_Annual!AD15</f>
        <v/>
      </c>
      <c r="AE35" s="92">
        <f>FS_Annual!AE15</f>
        <v/>
      </c>
      <c r="AF35" s="92">
        <f>FS_Annual!AF15</f>
        <v/>
      </c>
      <c r="AG35" s="92">
        <f>FS_Annual!AG15</f>
        <v/>
      </c>
      <c r="AH35" s="92">
        <f>FS_Annual!AH15</f>
        <v/>
      </c>
      <c r="AI35" s="92">
        <f>FS_Annual!AI15</f>
        <v/>
      </c>
      <c r="AJ35" s="92">
        <f>FS_Annual!AJ15</f>
        <v/>
      </c>
      <c r="AK35" s="92">
        <f>FS_Annual!AK15</f>
        <v/>
      </c>
      <c r="AL35" s="92">
        <f>FS_Annual!AL15</f>
        <v/>
      </c>
      <c r="AM35" s="92">
        <f>FS_Annual!AM15</f>
        <v/>
      </c>
      <c r="AN35" s="92">
        <f>FS_Annual!AN15</f>
        <v/>
      </c>
      <c r="AO35" s="92">
        <f>FS_Annual!AO15</f>
        <v/>
      </c>
      <c r="AP35" s="92">
        <f>FS_Annual!AP15</f>
        <v/>
      </c>
      <c r="AQ35" s="92">
        <f>FS_Annual!AQ15</f>
        <v/>
      </c>
      <c r="AR35" s="92">
        <f>FS_Annual!AR15</f>
        <v/>
      </c>
      <c r="AS35" s="92">
        <f>FS_Annual!AS15</f>
        <v/>
      </c>
      <c r="AT35" s="92">
        <f>FS_Annual!AT15</f>
        <v/>
      </c>
      <c r="AU35" s="92">
        <f>FS_Annual!AU15</f>
        <v/>
      </c>
      <c r="AV35" s="92">
        <f>FS_Annual!AV15</f>
        <v/>
      </c>
      <c r="AW35" s="92">
        <f>FS_Annual!AW15</f>
        <v/>
      </c>
      <c r="AX35" s="92">
        <f>FS_Annual!AX15</f>
        <v/>
      </c>
      <c r="AY35" s="92">
        <f>FS_Annual!AY15</f>
        <v/>
      </c>
      <c r="AZ35" s="92">
        <f>FS_Annual!AZ15</f>
        <v/>
      </c>
      <c r="BA35" s="92">
        <f>FS_Annual!BA15</f>
        <v/>
      </c>
      <c r="BB35" s="92">
        <f>FS_Annual!BB15</f>
        <v/>
      </c>
      <c r="BC35" s="92">
        <f>FS_Annual!BC15</f>
        <v/>
      </c>
      <c r="BD35" s="92">
        <f>FS_Annual!BD15</f>
        <v/>
      </c>
      <c r="BE35" s="92">
        <f>FS_Annual!BE15</f>
        <v/>
      </c>
      <c r="BF35" s="92">
        <f>FS_Annual!BF15</f>
        <v/>
      </c>
      <c r="BG35" s="92">
        <f>FS_Annual!BG15</f>
        <v/>
      </c>
      <c r="BH35" s="92">
        <f>FS_Annual!BH15</f>
        <v/>
      </c>
      <c r="BI35" s="92">
        <f>FS_Annual!BI15</f>
        <v/>
      </c>
      <c r="BJ35" s="92">
        <f>FS_Annual!BJ15+K8</f>
        <v/>
      </c>
      <c r="BK35" s="92" t="n">
        <v>0</v>
      </c>
      <c r="BL35" s="92" t="n">
        <v>0</v>
      </c>
      <c r="BM35" s="92" t="n">
        <v>0</v>
      </c>
      <c r="BN35" s="92" t="n">
        <v>0</v>
      </c>
      <c r="BO35" s="92" t="n">
        <v>0</v>
      </c>
      <c r="BP35" s="92" t="n">
        <v>0</v>
      </c>
      <c r="BQ35" s="92" t="n">
        <v>0</v>
      </c>
      <c r="BR35" s="92" t="n">
        <v>0</v>
      </c>
      <c r="BS35" s="92" t="n">
        <v>0</v>
      </c>
      <c r="BT35" s="92" t="n">
        <v>0</v>
      </c>
      <c r="BU35" s="92" t="n">
        <v>0</v>
      </c>
      <c r="BV35" s="92" t="n">
        <v>0</v>
      </c>
      <c r="BW35" s="92" t="n">
        <v>0</v>
      </c>
      <c r="BX35" s="92" t="n">
        <v>0</v>
      </c>
      <c r="BY35" s="92" t="n">
        <v>0</v>
      </c>
      <c r="BZ35" s="92" t="n">
        <v>0</v>
      </c>
      <c r="CA35" s="92" t="n">
        <v>0</v>
      </c>
      <c r="CB35" s="92" t="n">
        <v>0</v>
      </c>
      <c r="CC35" s="92" t="n">
        <v>0</v>
      </c>
      <c r="CD35" s="92" t="n">
        <v>0</v>
      </c>
      <c r="CE35" s="92" t="n">
        <v>0</v>
      </c>
      <c r="CF35" s="92" t="n">
        <v>0</v>
      </c>
      <c r="CG35" s="92" t="n">
        <v>0</v>
      </c>
      <c r="CH35" s="92" t="n">
        <v>0</v>
      </c>
      <c r="CI35" s="92" t="n">
        <v>0</v>
      </c>
      <c r="CJ35" s="92" t="n">
        <v>0</v>
      </c>
      <c r="CK35" s="92" t="n">
        <v>0</v>
      </c>
      <c r="CL35" s="92" t="n">
        <v>0</v>
      </c>
      <c r="CM35" s="92" t="n">
        <v>0</v>
      </c>
      <c r="CN35" s="92" t="n">
        <v>0</v>
      </c>
      <c r="CO35" s="92" t="n">
        <v>0</v>
      </c>
      <c r="CP35" s="92" t="n">
        <v>0</v>
      </c>
      <c r="CQ35" s="92" t="n">
        <v>0</v>
      </c>
      <c r="CR35" s="92" t="n">
        <v>0</v>
      </c>
      <c r="CS35" s="92" t="n">
        <v>0</v>
      </c>
      <c r="CT35" s="92" t="n">
        <v>0</v>
      </c>
      <c r="CU35" s="92" t="n">
        <v>0</v>
      </c>
      <c r="CV35" s="92" t="n">
        <v>0</v>
      </c>
      <c r="CW35" s="92" t="n">
        <v>0</v>
      </c>
      <c r="CX35" s="92" t="n">
        <v>0</v>
      </c>
      <c r="CY35" s="92" t="n">
        <v>0</v>
      </c>
      <c r="CZ35" s="92" t="n">
        <v>0</v>
      </c>
      <c r="DA35" s="92" t="n">
        <v>0</v>
      </c>
      <c r="DB35" s="92" t="n">
        <v>0</v>
      </c>
    </row>
    <row r="36">
      <c r="A36" t="inlineStr">
        <is>
          <t>Yr 9 exit — Buyer Project CF</t>
        </is>
      </c>
      <c r="C36" s="92" t="n">
        <v>0</v>
      </c>
      <c r="D36" s="92" t="n">
        <v>0</v>
      </c>
      <c r="E36" s="92" t="n">
        <v>0</v>
      </c>
      <c r="F36" s="92" t="n">
        <v>0</v>
      </c>
      <c r="G36" s="92" t="n">
        <v>0</v>
      </c>
      <c r="H36" s="92" t="n">
        <v>0</v>
      </c>
      <c r="I36" s="92" t="n">
        <v>0</v>
      </c>
      <c r="J36" s="92" t="n">
        <v>0</v>
      </c>
      <c r="K36" s="92" t="n">
        <v>0</v>
      </c>
      <c r="L36" s="92" t="n">
        <v>0</v>
      </c>
      <c r="M36" s="92" t="n">
        <v>0</v>
      </c>
      <c r="N36" s="92" t="n">
        <v>0</v>
      </c>
      <c r="O36" s="92" t="n">
        <v>0</v>
      </c>
      <c r="P36" s="92" t="n">
        <v>0</v>
      </c>
      <c r="Q36" s="92" t="n">
        <v>0</v>
      </c>
      <c r="R36" s="92" t="n">
        <v>0</v>
      </c>
      <c r="S36" s="92" t="n">
        <v>0</v>
      </c>
      <c r="T36" s="92" t="n">
        <v>0</v>
      </c>
      <c r="U36" s="92" t="n">
        <v>0</v>
      </c>
      <c r="V36" s="92" t="n">
        <v>0</v>
      </c>
      <c r="W36" s="92" t="n">
        <v>0</v>
      </c>
      <c r="X36" s="92" t="n">
        <v>0</v>
      </c>
      <c r="Y36" s="92" t="n">
        <v>0</v>
      </c>
      <c r="Z36" s="92" t="n">
        <v>0</v>
      </c>
      <c r="AA36" s="92" t="n">
        <v>0</v>
      </c>
      <c r="AB36" s="92" t="n">
        <v>0</v>
      </c>
      <c r="AC36" s="92" t="n">
        <v>0</v>
      </c>
      <c r="AD36" s="92" t="n">
        <v>0</v>
      </c>
      <c r="AE36" s="92" t="n">
        <v>0</v>
      </c>
      <c r="AF36" s="92" t="n">
        <v>0</v>
      </c>
      <c r="AG36" s="92" t="n">
        <v>0</v>
      </c>
      <c r="AH36" s="92" t="n">
        <v>0</v>
      </c>
      <c r="AI36" s="92" t="n">
        <v>0</v>
      </c>
      <c r="AJ36" s="92" t="n">
        <v>0</v>
      </c>
      <c r="AK36" s="92" t="n">
        <v>0</v>
      </c>
      <c r="AL36" s="92" t="n">
        <v>0</v>
      </c>
      <c r="AM36" s="92" t="n">
        <v>0</v>
      </c>
      <c r="AN36" s="92" t="n">
        <v>0</v>
      </c>
      <c r="AO36" s="92" t="n">
        <v>0</v>
      </c>
      <c r="AP36" s="92" t="n">
        <v>0</v>
      </c>
      <c r="AQ36" s="92" t="n">
        <v>0</v>
      </c>
      <c r="AR36" s="92" t="n">
        <v>0</v>
      </c>
      <c r="AS36" s="92" t="n">
        <v>0</v>
      </c>
      <c r="AT36" s="92" t="n">
        <v>0</v>
      </c>
      <c r="AU36" s="92" t="n">
        <v>0</v>
      </c>
      <c r="AV36" s="92" t="n">
        <v>0</v>
      </c>
      <c r="AW36" s="92" t="n">
        <v>0</v>
      </c>
      <c r="AX36" s="92" t="n">
        <v>0</v>
      </c>
      <c r="AY36" s="92" t="n">
        <v>0</v>
      </c>
      <c r="AZ36" s="92" t="n">
        <v>0</v>
      </c>
      <c r="BA36" s="92" t="n">
        <v>0</v>
      </c>
      <c r="BB36" s="92" t="n">
        <v>0</v>
      </c>
      <c r="BC36" s="92" t="n">
        <v>0</v>
      </c>
      <c r="BD36" s="92" t="n">
        <v>0</v>
      </c>
      <c r="BE36" s="92" t="n">
        <v>0</v>
      </c>
      <c r="BF36" s="92" t="n">
        <v>0</v>
      </c>
      <c r="BG36" s="92" t="n">
        <v>0</v>
      </c>
      <c r="BH36" s="92" t="n">
        <v>0</v>
      </c>
      <c r="BI36" s="92" t="n">
        <v>0</v>
      </c>
      <c r="BJ36" s="92">
        <f>-K10</f>
        <v/>
      </c>
      <c r="BK36" s="92">
        <f>FS_Annual!BK14</f>
        <v/>
      </c>
      <c r="BL36" s="92">
        <f>FS_Annual!BL14</f>
        <v/>
      </c>
      <c r="BM36" s="92">
        <f>FS_Annual!BM14</f>
        <v/>
      </c>
      <c r="BN36" s="92">
        <f>FS_Annual!BN14</f>
        <v/>
      </c>
      <c r="BO36" s="92">
        <f>FS_Annual!BO14</f>
        <v/>
      </c>
      <c r="BP36" s="92">
        <f>FS_Annual!BP14</f>
        <v/>
      </c>
      <c r="BQ36" s="92">
        <f>FS_Annual!BQ14</f>
        <v/>
      </c>
      <c r="BR36" s="92">
        <f>FS_Annual!BR14</f>
        <v/>
      </c>
      <c r="BS36" s="92">
        <f>FS_Annual!BS14</f>
        <v/>
      </c>
      <c r="BT36" s="92">
        <f>FS_Annual!BT14</f>
        <v/>
      </c>
      <c r="BU36" s="92">
        <f>FS_Annual!BU14</f>
        <v/>
      </c>
      <c r="BV36" s="92">
        <f>FS_Annual!BV14</f>
        <v/>
      </c>
      <c r="BW36" s="92">
        <f>FS_Annual!BW14</f>
        <v/>
      </c>
      <c r="BX36" s="92">
        <f>FS_Annual!BX14</f>
        <v/>
      </c>
      <c r="BY36" s="92">
        <f>FS_Annual!BY14</f>
        <v/>
      </c>
      <c r="BZ36" s="92">
        <f>FS_Annual!BZ14</f>
        <v/>
      </c>
      <c r="CA36" s="92">
        <f>FS_Annual!CA14</f>
        <v/>
      </c>
      <c r="CB36" s="92">
        <f>FS_Annual!CB14</f>
        <v/>
      </c>
      <c r="CC36" s="92">
        <f>FS_Annual!CC14</f>
        <v/>
      </c>
      <c r="CD36" s="92">
        <f>FS_Annual!CD14</f>
        <v/>
      </c>
      <c r="CE36" s="92">
        <f>FS_Annual!CE14</f>
        <v/>
      </c>
      <c r="CF36" s="92">
        <f>FS_Annual!CF14</f>
        <v/>
      </c>
      <c r="CG36" s="92">
        <f>FS_Annual!CG14</f>
        <v/>
      </c>
      <c r="CH36" s="92">
        <f>FS_Annual!CH14</f>
        <v/>
      </c>
      <c r="CI36" s="92">
        <f>FS_Annual!CI14</f>
        <v/>
      </c>
      <c r="CJ36" s="92">
        <f>FS_Annual!CJ14</f>
        <v/>
      </c>
      <c r="CK36" s="92">
        <f>FS_Annual!CK14</f>
        <v/>
      </c>
      <c r="CL36" s="92">
        <f>FS_Annual!CL14</f>
        <v/>
      </c>
      <c r="CM36" s="92">
        <f>FS_Annual!CM14</f>
        <v/>
      </c>
      <c r="CN36" s="92">
        <f>FS_Annual!CN14</f>
        <v/>
      </c>
      <c r="CO36" s="92">
        <f>FS_Annual!CO14</f>
        <v/>
      </c>
      <c r="CP36" s="92">
        <f>FS_Annual!CP14</f>
        <v/>
      </c>
      <c r="CQ36" s="92">
        <f>FS_Annual!CQ14</f>
        <v/>
      </c>
      <c r="CR36" s="92">
        <f>FS_Annual!CR14</f>
        <v/>
      </c>
      <c r="CS36" s="92">
        <f>FS_Annual!CS14</f>
        <v/>
      </c>
      <c r="CT36" s="92">
        <f>FS_Annual!CT14</f>
        <v/>
      </c>
      <c r="CU36" s="92">
        <f>FS_Annual!CU14</f>
        <v/>
      </c>
      <c r="CV36" s="92">
        <f>FS_Annual!CV14</f>
        <v/>
      </c>
      <c r="CW36" s="92">
        <f>FS_Annual!CW14</f>
        <v/>
      </c>
      <c r="CX36" s="92">
        <f>FS_Annual!CX14</f>
        <v/>
      </c>
      <c r="CY36" s="92">
        <f>FS_Annual!CY14</f>
        <v/>
      </c>
      <c r="CZ36" s="92">
        <f>FS_Annual!CZ14</f>
        <v/>
      </c>
      <c r="DA36" s="92">
        <f>FS_Annual!DA14</f>
        <v/>
      </c>
      <c r="DB36" s="92">
        <f>FS_Annual!DB14</f>
        <v/>
      </c>
    </row>
    <row r="37">
      <c r="A37" t="inlineStr">
        <is>
          <t>Yr 10 exit — Seller Equity CF</t>
        </is>
      </c>
      <c r="C37" s="92">
        <f>FS_Annual!C15</f>
        <v/>
      </c>
      <c r="D37" s="92">
        <f>FS_Annual!D15</f>
        <v/>
      </c>
      <c r="E37" s="92">
        <f>FS_Annual!E15</f>
        <v/>
      </c>
      <c r="F37" s="92">
        <f>FS_Annual!F15</f>
        <v/>
      </c>
      <c r="G37" s="92">
        <f>FS_Annual!G15</f>
        <v/>
      </c>
      <c r="H37" s="92">
        <f>FS_Annual!H15</f>
        <v/>
      </c>
      <c r="I37" s="92">
        <f>FS_Annual!I15</f>
        <v/>
      </c>
      <c r="J37" s="92">
        <f>FS_Annual!J15</f>
        <v/>
      </c>
      <c r="K37" s="92">
        <f>FS_Annual!K15</f>
        <v/>
      </c>
      <c r="L37" s="92">
        <f>FS_Annual!L15</f>
        <v/>
      </c>
      <c r="M37" s="92">
        <f>FS_Annual!M15</f>
        <v/>
      </c>
      <c r="N37" s="92">
        <f>FS_Annual!N15</f>
        <v/>
      </c>
      <c r="O37" s="92">
        <f>FS_Annual!O15</f>
        <v/>
      </c>
      <c r="P37" s="92">
        <f>FS_Annual!P15</f>
        <v/>
      </c>
      <c r="Q37" s="92">
        <f>FS_Annual!Q15</f>
        <v/>
      </c>
      <c r="R37" s="92">
        <f>FS_Annual!R15</f>
        <v/>
      </c>
      <c r="S37" s="92">
        <f>FS_Annual!S15</f>
        <v/>
      </c>
      <c r="T37" s="92">
        <f>FS_Annual!T15</f>
        <v/>
      </c>
      <c r="U37" s="92">
        <f>FS_Annual!U15</f>
        <v/>
      </c>
      <c r="V37" s="92">
        <f>FS_Annual!V15</f>
        <v/>
      </c>
      <c r="W37" s="92">
        <f>FS_Annual!W15</f>
        <v/>
      </c>
      <c r="X37" s="92">
        <f>FS_Annual!X15</f>
        <v/>
      </c>
      <c r="Y37" s="92">
        <f>FS_Annual!Y15</f>
        <v/>
      </c>
      <c r="Z37" s="92">
        <f>FS_Annual!Z15</f>
        <v/>
      </c>
      <c r="AA37" s="92">
        <f>FS_Annual!AA15</f>
        <v/>
      </c>
      <c r="AB37" s="92">
        <f>FS_Annual!AB15</f>
        <v/>
      </c>
      <c r="AC37" s="92">
        <f>FS_Annual!AC15</f>
        <v/>
      </c>
      <c r="AD37" s="92">
        <f>FS_Annual!AD15</f>
        <v/>
      </c>
      <c r="AE37" s="92">
        <f>FS_Annual!AE15</f>
        <v/>
      </c>
      <c r="AF37" s="92">
        <f>FS_Annual!AF15</f>
        <v/>
      </c>
      <c r="AG37" s="92">
        <f>FS_Annual!AG15</f>
        <v/>
      </c>
      <c r="AH37" s="92">
        <f>FS_Annual!AH15</f>
        <v/>
      </c>
      <c r="AI37" s="92">
        <f>FS_Annual!AI15</f>
        <v/>
      </c>
      <c r="AJ37" s="92">
        <f>FS_Annual!AJ15</f>
        <v/>
      </c>
      <c r="AK37" s="92">
        <f>FS_Annual!AK15</f>
        <v/>
      </c>
      <c r="AL37" s="92">
        <f>FS_Annual!AL15</f>
        <v/>
      </c>
      <c r="AM37" s="92">
        <f>FS_Annual!AM15</f>
        <v/>
      </c>
      <c r="AN37" s="92">
        <f>FS_Annual!AN15</f>
        <v/>
      </c>
      <c r="AO37" s="92">
        <f>FS_Annual!AO15</f>
        <v/>
      </c>
      <c r="AP37" s="92">
        <f>FS_Annual!AP15</f>
        <v/>
      </c>
      <c r="AQ37" s="92">
        <f>FS_Annual!AQ15</f>
        <v/>
      </c>
      <c r="AR37" s="92">
        <f>FS_Annual!AR15</f>
        <v/>
      </c>
      <c r="AS37" s="92">
        <f>FS_Annual!AS15</f>
        <v/>
      </c>
      <c r="AT37" s="92">
        <f>FS_Annual!AT15</f>
        <v/>
      </c>
      <c r="AU37" s="92">
        <f>FS_Annual!AU15</f>
        <v/>
      </c>
      <c r="AV37" s="92">
        <f>FS_Annual!AV15</f>
        <v/>
      </c>
      <c r="AW37" s="92">
        <f>FS_Annual!AW15</f>
        <v/>
      </c>
      <c r="AX37" s="92">
        <f>FS_Annual!AX15</f>
        <v/>
      </c>
      <c r="AY37" s="92">
        <f>FS_Annual!AY15</f>
        <v/>
      </c>
      <c r="AZ37" s="92">
        <f>FS_Annual!AZ15</f>
        <v/>
      </c>
      <c r="BA37" s="92">
        <f>FS_Annual!BA15</f>
        <v/>
      </c>
      <c r="BB37" s="92">
        <f>FS_Annual!BB15</f>
        <v/>
      </c>
      <c r="BC37" s="92">
        <f>FS_Annual!BC15</f>
        <v/>
      </c>
      <c r="BD37" s="92">
        <f>FS_Annual!BD15</f>
        <v/>
      </c>
      <c r="BE37" s="92">
        <f>FS_Annual!BE15</f>
        <v/>
      </c>
      <c r="BF37" s="92">
        <f>FS_Annual!BF15</f>
        <v/>
      </c>
      <c r="BG37" s="92">
        <f>FS_Annual!BG15</f>
        <v/>
      </c>
      <c r="BH37" s="92">
        <f>FS_Annual!BH15</f>
        <v/>
      </c>
      <c r="BI37" s="92">
        <f>FS_Annual!BI15</f>
        <v/>
      </c>
      <c r="BJ37" s="92">
        <f>FS_Annual!BJ15</f>
        <v/>
      </c>
      <c r="BK37" s="92">
        <f>FS_Annual!BK15</f>
        <v/>
      </c>
      <c r="BL37" s="92">
        <f>FS_Annual!BL15</f>
        <v/>
      </c>
      <c r="BM37" s="92">
        <f>FS_Annual!BM15</f>
        <v/>
      </c>
      <c r="BN37" s="92">
        <f>FS_Annual!BN15+L8</f>
        <v/>
      </c>
      <c r="BO37" s="92" t="n">
        <v>0</v>
      </c>
      <c r="BP37" s="92" t="n">
        <v>0</v>
      </c>
      <c r="BQ37" s="92" t="n">
        <v>0</v>
      </c>
      <c r="BR37" s="92" t="n">
        <v>0</v>
      </c>
      <c r="BS37" s="92" t="n">
        <v>0</v>
      </c>
      <c r="BT37" s="92" t="n">
        <v>0</v>
      </c>
      <c r="BU37" s="92" t="n">
        <v>0</v>
      </c>
      <c r="BV37" s="92" t="n">
        <v>0</v>
      </c>
      <c r="BW37" s="92" t="n">
        <v>0</v>
      </c>
      <c r="BX37" s="92" t="n">
        <v>0</v>
      </c>
      <c r="BY37" s="92" t="n">
        <v>0</v>
      </c>
      <c r="BZ37" s="92" t="n">
        <v>0</v>
      </c>
      <c r="CA37" s="92" t="n">
        <v>0</v>
      </c>
      <c r="CB37" s="92" t="n">
        <v>0</v>
      </c>
      <c r="CC37" s="92" t="n">
        <v>0</v>
      </c>
      <c r="CD37" s="92" t="n">
        <v>0</v>
      </c>
      <c r="CE37" s="92" t="n">
        <v>0</v>
      </c>
      <c r="CF37" s="92" t="n">
        <v>0</v>
      </c>
      <c r="CG37" s="92" t="n">
        <v>0</v>
      </c>
      <c r="CH37" s="92" t="n">
        <v>0</v>
      </c>
      <c r="CI37" s="92" t="n">
        <v>0</v>
      </c>
      <c r="CJ37" s="92" t="n">
        <v>0</v>
      </c>
      <c r="CK37" s="92" t="n">
        <v>0</v>
      </c>
      <c r="CL37" s="92" t="n">
        <v>0</v>
      </c>
      <c r="CM37" s="92" t="n">
        <v>0</v>
      </c>
      <c r="CN37" s="92" t="n">
        <v>0</v>
      </c>
      <c r="CO37" s="92" t="n">
        <v>0</v>
      </c>
      <c r="CP37" s="92" t="n">
        <v>0</v>
      </c>
      <c r="CQ37" s="92" t="n">
        <v>0</v>
      </c>
      <c r="CR37" s="92" t="n">
        <v>0</v>
      </c>
      <c r="CS37" s="92" t="n">
        <v>0</v>
      </c>
      <c r="CT37" s="92" t="n">
        <v>0</v>
      </c>
      <c r="CU37" s="92" t="n">
        <v>0</v>
      </c>
      <c r="CV37" s="92" t="n">
        <v>0</v>
      </c>
      <c r="CW37" s="92" t="n">
        <v>0</v>
      </c>
      <c r="CX37" s="92" t="n">
        <v>0</v>
      </c>
      <c r="CY37" s="92" t="n">
        <v>0</v>
      </c>
      <c r="CZ37" s="92" t="n">
        <v>0</v>
      </c>
      <c r="DA37" s="92" t="n">
        <v>0</v>
      </c>
      <c r="DB37" s="92" t="n">
        <v>0</v>
      </c>
    </row>
    <row r="38">
      <c r="A38" t="inlineStr">
        <is>
          <t>Yr 10 exit — Buyer Project CF</t>
        </is>
      </c>
      <c r="C38" s="92" t="n">
        <v>0</v>
      </c>
      <c r="D38" s="92" t="n">
        <v>0</v>
      </c>
      <c r="E38" s="92" t="n">
        <v>0</v>
      </c>
      <c r="F38" s="92" t="n">
        <v>0</v>
      </c>
      <c r="G38" s="92" t="n">
        <v>0</v>
      </c>
      <c r="H38" s="92" t="n">
        <v>0</v>
      </c>
      <c r="I38" s="92" t="n">
        <v>0</v>
      </c>
      <c r="J38" s="92" t="n">
        <v>0</v>
      </c>
      <c r="K38" s="92" t="n">
        <v>0</v>
      </c>
      <c r="L38" s="92" t="n">
        <v>0</v>
      </c>
      <c r="M38" s="92" t="n">
        <v>0</v>
      </c>
      <c r="N38" s="92" t="n">
        <v>0</v>
      </c>
      <c r="O38" s="92" t="n">
        <v>0</v>
      </c>
      <c r="P38" s="92" t="n">
        <v>0</v>
      </c>
      <c r="Q38" s="92" t="n">
        <v>0</v>
      </c>
      <c r="R38" s="92" t="n">
        <v>0</v>
      </c>
      <c r="S38" s="92" t="n">
        <v>0</v>
      </c>
      <c r="T38" s="92" t="n">
        <v>0</v>
      </c>
      <c r="U38" s="92" t="n">
        <v>0</v>
      </c>
      <c r="V38" s="92" t="n">
        <v>0</v>
      </c>
      <c r="W38" s="92" t="n">
        <v>0</v>
      </c>
      <c r="X38" s="92" t="n">
        <v>0</v>
      </c>
      <c r="Y38" s="92" t="n">
        <v>0</v>
      </c>
      <c r="Z38" s="92" t="n">
        <v>0</v>
      </c>
      <c r="AA38" s="92" t="n">
        <v>0</v>
      </c>
      <c r="AB38" s="92" t="n">
        <v>0</v>
      </c>
      <c r="AC38" s="92" t="n">
        <v>0</v>
      </c>
      <c r="AD38" s="92" t="n">
        <v>0</v>
      </c>
      <c r="AE38" s="92" t="n">
        <v>0</v>
      </c>
      <c r="AF38" s="92" t="n">
        <v>0</v>
      </c>
      <c r="AG38" s="92" t="n">
        <v>0</v>
      </c>
      <c r="AH38" s="92" t="n">
        <v>0</v>
      </c>
      <c r="AI38" s="92" t="n">
        <v>0</v>
      </c>
      <c r="AJ38" s="92" t="n">
        <v>0</v>
      </c>
      <c r="AK38" s="92" t="n">
        <v>0</v>
      </c>
      <c r="AL38" s="92" t="n">
        <v>0</v>
      </c>
      <c r="AM38" s="92" t="n">
        <v>0</v>
      </c>
      <c r="AN38" s="92" t="n">
        <v>0</v>
      </c>
      <c r="AO38" s="92" t="n">
        <v>0</v>
      </c>
      <c r="AP38" s="92" t="n">
        <v>0</v>
      </c>
      <c r="AQ38" s="92" t="n">
        <v>0</v>
      </c>
      <c r="AR38" s="92" t="n">
        <v>0</v>
      </c>
      <c r="AS38" s="92" t="n">
        <v>0</v>
      </c>
      <c r="AT38" s="92" t="n">
        <v>0</v>
      </c>
      <c r="AU38" s="92" t="n">
        <v>0</v>
      </c>
      <c r="AV38" s="92" t="n">
        <v>0</v>
      </c>
      <c r="AW38" s="92" t="n">
        <v>0</v>
      </c>
      <c r="AX38" s="92" t="n">
        <v>0</v>
      </c>
      <c r="AY38" s="92" t="n">
        <v>0</v>
      </c>
      <c r="AZ38" s="92" t="n">
        <v>0</v>
      </c>
      <c r="BA38" s="92" t="n">
        <v>0</v>
      </c>
      <c r="BB38" s="92" t="n">
        <v>0</v>
      </c>
      <c r="BC38" s="92" t="n">
        <v>0</v>
      </c>
      <c r="BD38" s="92" t="n">
        <v>0</v>
      </c>
      <c r="BE38" s="92" t="n">
        <v>0</v>
      </c>
      <c r="BF38" s="92" t="n">
        <v>0</v>
      </c>
      <c r="BG38" s="92" t="n">
        <v>0</v>
      </c>
      <c r="BH38" s="92" t="n">
        <v>0</v>
      </c>
      <c r="BI38" s="92" t="n">
        <v>0</v>
      </c>
      <c r="BJ38" s="92" t="n">
        <v>0</v>
      </c>
      <c r="BK38" s="92" t="n">
        <v>0</v>
      </c>
      <c r="BL38" s="92" t="n">
        <v>0</v>
      </c>
      <c r="BM38" s="92" t="n">
        <v>0</v>
      </c>
      <c r="BN38" s="92">
        <f>-L10</f>
        <v/>
      </c>
      <c r="BO38" s="92">
        <f>FS_Annual!BO14</f>
        <v/>
      </c>
      <c r="BP38" s="92">
        <f>FS_Annual!BP14</f>
        <v/>
      </c>
      <c r="BQ38" s="92">
        <f>FS_Annual!BQ14</f>
        <v/>
      </c>
      <c r="BR38" s="92">
        <f>FS_Annual!BR14</f>
        <v/>
      </c>
      <c r="BS38" s="92">
        <f>FS_Annual!BS14</f>
        <v/>
      </c>
      <c r="BT38" s="92">
        <f>FS_Annual!BT14</f>
        <v/>
      </c>
      <c r="BU38" s="92">
        <f>FS_Annual!BU14</f>
        <v/>
      </c>
      <c r="BV38" s="92">
        <f>FS_Annual!BV14</f>
        <v/>
      </c>
      <c r="BW38" s="92">
        <f>FS_Annual!BW14</f>
        <v/>
      </c>
      <c r="BX38" s="92">
        <f>FS_Annual!BX14</f>
        <v/>
      </c>
      <c r="BY38" s="92">
        <f>FS_Annual!BY14</f>
        <v/>
      </c>
      <c r="BZ38" s="92">
        <f>FS_Annual!BZ14</f>
        <v/>
      </c>
      <c r="CA38" s="92">
        <f>FS_Annual!CA14</f>
        <v/>
      </c>
      <c r="CB38" s="92">
        <f>FS_Annual!CB14</f>
        <v/>
      </c>
      <c r="CC38" s="92">
        <f>FS_Annual!CC14</f>
        <v/>
      </c>
      <c r="CD38" s="92">
        <f>FS_Annual!CD14</f>
        <v/>
      </c>
      <c r="CE38" s="92">
        <f>FS_Annual!CE14</f>
        <v/>
      </c>
      <c r="CF38" s="92">
        <f>FS_Annual!CF14</f>
        <v/>
      </c>
      <c r="CG38" s="92">
        <f>FS_Annual!CG14</f>
        <v/>
      </c>
      <c r="CH38" s="92">
        <f>FS_Annual!CH14</f>
        <v/>
      </c>
      <c r="CI38" s="92">
        <f>FS_Annual!CI14</f>
        <v/>
      </c>
      <c r="CJ38" s="92">
        <f>FS_Annual!CJ14</f>
        <v/>
      </c>
      <c r="CK38" s="92">
        <f>FS_Annual!CK14</f>
        <v/>
      </c>
      <c r="CL38" s="92">
        <f>FS_Annual!CL14</f>
        <v/>
      </c>
      <c r="CM38" s="92">
        <f>FS_Annual!CM14</f>
        <v/>
      </c>
      <c r="CN38" s="92">
        <f>FS_Annual!CN14</f>
        <v/>
      </c>
      <c r="CO38" s="92">
        <f>FS_Annual!CO14</f>
        <v/>
      </c>
      <c r="CP38" s="92">
        <f>FS_Annual!CP14</f>
        <v/>
      </c>
      <c r="CQ38" s="92">
        <f>FS_Annual!CQ14</f>
        <v/>
      </c>
      <c r="CR38" s="92">
        <f>FS_Annual!CR14</f>
        <v/>
      </c>
      <c r="CS38" s="92">
        <f>FS_Annual!CS14</f>
        <v/>
      </c>
      <c r="CT38" s="92">
        <f>FS_Annual!CT14</f>
        <v/>
      </c>
      <c r="CU38" s="92">
        <f>FS_Annual!CU14</f>
        <v/>
      </c>
      <c r="CV38" s="92">
        <f>FS_Annual!CV14</f>
        <v/>
      </c>
      <c r="CW38" s="92">
        <f>FS_Annual!CW14</f>
        <v/>
      </c>
      <c r="CX38" s="92">
        <f>FS_Annual!CX14</f>
        <v/>
      </c>
      <c r="CY38" s="92">
        <f>FS_Annual!CY14</f>
        <v/>
      </c>
      <c r="CZ38" s="92">
        <f>FS_Annual!CZ14</f>
        <v/>
      </c>
      <c r="DA38" s="92">
        <f>FS_Annual!DA14</f>
        <v/>
      </c>
      <c r="DB38" s="92">
        <f>FS_Annual!DB14</f>
        <v/>
      </c>
    </row>
    <row r="39">
      <c r="A39" t="inlineStr">
        <is>
          <t>Yr 11 exit — Seller Equity CF</t>
        </is>
      </c>
      <c r="C39" s="92">
        <f>FS_Annual!C15</f>
        <v/>
      </c>
      <c r="D39" s="92">
        <f>FS_Annual!D15</f>
        <v/>
      </c>
      <c r="E39" s="92">
        <f>FS_Annual!E15</f>
        <v/>
      </c>
      <c r="F39" s="92">
        <f>FS_Annual!F15</f>
        <v/>
      </c>
      <c r="G39" s="92">
        <f>FS_Annual!G15</f>
        <v/>
      </c>
      <c r="H39" s="92">
        <f>FS_Annual!H15</f>
        <v/>
      </c>
      <c r="I39" s="92">
        <f>FS_Annual!I15</f>
        <v/>
      </c>
      <c r="J39" s="92">
        <f>FS_Annual!J15</f>
        <v/>
      </c>
      <c r="K39" s="92">
        <f>FS_Annual!K15</f>
        <v/>
      </c>
      <c r="L39" s="92">
        <f>FS_Annual!L15</f>
        <v/>
      </c>
      <c r="M39" s="92">
        <f>FS_Annual!M15</f>
        <v/>
      </c>
      <c r="N39" s="92">
        <f>FS_Annual!N15</f>
        <v/>
      </c>
      <c r="O39" s="92">
        <f>FS_Annual!O15</f>
        <v/>
      </c>
      <c r="P39" s="92">
        <f>FS_Annual!P15</f>
        <v/>
      </c>
      <c r="Q39" s="92">
        <f>FS_Annual!Q15</f>
        <v/>
      </c>
      <c r="R39" s="92">
        <f>FS_Annual!R15</f>
        <v/>
      </c>
      <c r="S39" s="92">
        <f>FS_Annual!S15</f>
        <v/>
      </c>
      <c r="T39" s="92">
        <f>FS_Annual!T15</f>
        <v/>
      </c>
      <c r="U39" s="92">
        <f>FS_Annual!U15</f>
        <v/>
      </c>
      <c r="V39" s="92">
        <f>FS_Annual!V15</f>
        <v/>
      </c>
      <c r="W39" s="92">
        <f>FS_Annual!W15</f>
        <v/>
      </c>
      <c r="X39" s="92">
        <f>FS_Annual!X15</f>
        <v/>
      </c>
      <c r="Y39" s="92">
        <f>FS_Annual!Y15</f>
        <v/>
      </c>
      <c r="Z39" s="92">
        <f>FS_Annual!Z15</f>
        <v/>
      </c>
      <c r="AA39" s="92">
        <f>FS_Annual!AA15</f>
        <v/>
      </c>
      <c r="AB39" s="92">
        <f>FS_Annual!AB15</f>
        <v/>
      </c>
      <c r="AC39" s="92">
        <f>FS_Annual!AC15</f>
        <v/>
      </c>
      <c r="AD39" s="92">
        <f>FS_Annual!AD15</f>
        <v/>
      </c>
      <c r="AE39" s="92">
        <f>FS_Annual!AE15</f>
        <v/>
      </c>
      <c r="AF39" s="92">
        <f>FS_Annual!AF15</f>
        <v/>
      </c>
      <c r="AG39" s="92">
        <f>FS_Annual!AG15</f>
        <v/>
      </c>
      <c r="AH39" s="92">
        <f>FS_Annual!AH15</f>
        <v/>
      </c>
      <c r="AI39" s="92">
        <f>FS_Annual!AI15</f>
        <v/>
      </c>
      <c r="AJ39" s="92">
        <f>FS_Annual!AJ15</f>
        <v/>
      </c>
      <c r="AK39" s="92">
        <f>FS_Annual!AK15</f>
        <v/>
      </c>
      <c r="AL39" s="92">
        <f>FS_Annual!AL15</f>
        <v/>
      </c>
      <c r="AM39" s="92">
        <f>FS_Annual!AM15</f>
        <v/>
      </c>
      <c r="AN39" s="92">
        <f>FS_Annual!AN15</f>
        <v/>
      </c>
      <c r="AO39" s="92">
        <f>FS_Annual!AO15</f>
        <v/>
      </c>
      <c r="AP39" s="92">
        <f>FS_Annual!AP15</f>
        <v/>
      </c>
      <c r="AQ39" s="92">
        <f>FS_Annual!AQ15</f>
        <v/>
      </c>
      <c r="AR39" s="92">
        <f>FS_Annual!AR15</f>
        <v/>
      </c>
      <c r="AS39" s="92">
        <f>FS_Annual!AS15</f>
        <v/>
      </c>
      <c r="AT39" s="92">
        <f>FS_Annual!AT15</f>
        <v/>
      </c>
      <c r="AU39" s="92">
        <f>FS_Annual!AU15</f>
        <v/>
      </c>
      <c r="AV39" s="92">
        <f>FS_Annual!AV15</f>
        <v/>
      </c>
      <c r="AW39" s="92">
        <f>FS_Annual!AW15</f>
        <v/>
      </c>
      <c r="AX39" s="92">
        <f>FS_Annual!AX15</f>
        <v/>
      </c>
      <c r="AY39" s="92">
        <f>FS_Annual!AY15</f>
        <v/>
      </c>
      <c r="AZ39" s="92">
        <f>FS_Annual!AZ15</f>
        <v/>
      </c>
      <c r="BA39" s="92">
        <f>FS_Annual!BA15</f>
        <v/>
      </c>
      <c r="BB39" s="92">
        <f>FS_Annual!BB15</f>
        <v/>
      </c>
      <c r="BC39" s="92">
        <f>FS_Annual!BC15</f>
        <v/>
      </c>
      <c r="BD39" s="92">
        <f>FS_Annual!BD15</f>
        <v/>
      </c>
      <c r="BE39" s="92">
        <f>FS_Annual!BE15</f>
        <v/>
      </c>
      <c r="BF39" s="92">
        <f>FS_Annual!BF15</f>
        <v/>
      </c>
      <c r="BG39" s="92">
        <f>FS_Annual!BG15</f>
        <v/>
      </c>
      <c r="BH39" s="92">
        <f>FS_Annual!BH15</f>
        <v/>
      </c>
      <c r="BI39" s="92">
        <f>FS_Annual!BI15</f>
        <v/>
      </c>
      <c r="BJ39" s="92">
        <f>FS_Annual!BJ15</f>
        <v/>
      </c>
      <c r="BK39" s="92">
        <f>FS_Annual!BK15</f>
        <v/>
      </c>
      <c r="BL39" s="92">
        <f>FS_Annual!BL15</f>
        <v/>
      </c>
      <c r="BM39" s="92">
        <f>FS_Annual!BM15</f>
        <v/>
      </c>
      <c r="BN39" s="92">
        <f>FS_Annual!BN15</f>
        <v/>
      </c>
      <c r="BO39" s="92">
        <f>FS_Annual!BO15</f>
        <v/>
      </c>
      <c r="BP39" s="92">
        <f>FS_Annual!BP15</f>
        <v/>
      </c>
      <c r="BQ39" s="92">
        <f>FS_Annual!BQ15</f>
        <v/>
      </c>
      <c r="BR39" s="92">
        <f>FS_Annual!BR15+M8</f>
        <v/>
      </c>
      <c r="BS39" s="92" t="n">
        <v>0</v>
      </c>
      <c r="BT39" s="92" t="n">
        <v>0</v>
      </c>
      <c r="BU39" s="92" t="n">
        <v>0</v>
      </c>
      <c r="BV39" s="92" t="n">
        <v>0</v>
      </c>
      <c r="BW39" s="92" t="n">
        <v>0</v>
      </c>
      <c r="BX39" s="92" t="n">
        <v>0</v>
      </c>
      <c r="BY39" s="92" t="n">
        <v>0</v>
      </c>
      <c r="BZ39" s="92" t="n">
        <v>0</v>
      </c>
      <c r="CA39" s="92" t="n">
        <v>0</v>
      </c>
      <c r="CB39" s="92" t="n">
        <v>0</v>
      </c>
      <c r="CC39" s="92" t="n">
        <v>0</v>
      </c>
      <c r="CD39" s="92" t="n">
        <v>0</v>
      </c>
      <c r="CE39" s="92" t="n">
        <v>0</v>
      </c>
      <c r="CF39" s="92" t="n">
        <v>0</v>
      </c>
      <c r="CG39" s="92" t="n">
        <v>0</v>
      </c>
      <c r="CH39" s="92" t="n">
        <v>0</v>
      </c>
      <c r="CI39" s="92" t="n">
        <v>0</v>
      </c>
      <c r="CJ39" s="92" t="n">
        <v>0</v>
      </c>
      <c r="CK39" s="92" t="n">
        <v>0</v>
      </c>
      <c r="CL39" s="92" t="n">
        <v>0</v>
      </c>
      <c r="CM39" s="92" t="n">
        <v>0</v>
      </c>
      <c r="CN39" s="92" t="n">
        <v>0</v>
      </c>
      <c r="CO39" s="92" t="n">
        <v>0</v>
      </c>
      <c r="CP39" s="92" t="n">
        <v>0</v>
      </c>
      <c r="CQ39" s="92" t="n">
        <v>0</v>
      </c>
      <c r="CR39" s="92" t="n">
        <v>0</v>
      </c>
      <c r="CS39" s="92" t="n">
        <v>0</v>
      </c>
      <c r="CT39" s="92" t="n">
        <v>0</v>
      </c>
      <c r="CU39" s="92" t="n">
        <v>0</v>
      </c>
      <c r="CV39" s="92" t="n">
        <v>0</v>
      </c>
      <c r="CW39" s="92" t="n">
        <v>0</v>
      </c>
      <c r="CX39" s="92" t="n">
        <v>0</v>
      </c>
      <c r="CY39" s="92" t="n">
        <v>0</v>
      </c>
      <c r="CZ39" s="92" t="n">
        <v>0</v>
      </c>
      <c r="DA39" s="92" t="n">
        <v>0</v>
      </c>
      <c r="DB39" s="92" t="n">
        <v>0</v>
      </c>
    </row>
    <row r="40">
      <c r="A40" t="inlineStr">
        <is>
          <t>Yr 11 exit — Buyer Project CF</t>
        </is>
      </c>
      <c r="C40" s="92" t="n">
        <v>0</v>
      </c>
      <c r="D40" s="92" t="n">
        <v>0</v>
      </c>
      <c r="E40" s="92" t="n">
        <v>0</v>
      </c>
      <c r="F40" s="92" t="n">
        <v>0</v>
      </c>
      <c r="G40" s="92" t="n">
        <v>0</v>
      </c>
      <c r="H40" s="92" t="n">
        <v>0</v>
      </c>
      <c r="I40" s="92" t="n">
        <v>0</v>
      </c>
      <c r="J40" s="92" t="n">
        <v>0</v>
      </c>
      <c r="K40" s="92" t="n">
        <v>0</v>
      </c>
      <c r="L40" s="92" t="n">
        <v>0</v>
      </c>
      <c r="M40" s="92" t="n">
        <v>0</v>
      </c>
      <c r="N40" s="92" t="n">
        <v>0</v>
      </c>
      <c r="O40" s="92" t="n">
        <v>0</v>
      </c>
      <c r="P40" s="92" t="n">
        <v>0</v>
      </c>
      <c r="Q40" s="92" t="n">
        <v>0</v>
      </c>
      <c r="R40" s="92" t="n">
        <v>0</v>
      </c>
      <c r="S40" s="92" t="n">
        <v>0</v>
      </c>
      <c r="T40" s="92" t="n">
        <v>0</v>
      </c>
      <c r="U40" s="92" t="n">
        <v>0</v>
      </c>
      <c r="V40" s="92" t="n">
        <v>0</v>
      </c>
      <c r="W40" s="92" t="n">
        <v>0</v>
      </c>
      <c r="X40" s="92" t="n">
        <v>0</v>
      </c>
      <c r="Y40" s="92" t="n">
        <v>0</v>
      </c>
      <c r="Z40" s="92" t="n">
        <v>0</v>
      </c>
      <c r="AA40" s="92" t="n">
        <v>0</v>
      </c>
      <c r="AB40" s="92" t="n">
        <v>0</v>
      </c>
      <c r="AC40" s="92" t="n">
        <v>0</v>
      </c>
      <c r="AD40" s="92" t="n">
        <v>0</v>
      </c>
      <c r="AE40" s="92" t="n">
        <v>0</v>
      </c>
      <c r="AF40" s="92" t="n">
        <v>0</v>
      </c>
      <c r="AG40" s="92" t="n">
        <v>0</v>
      </c>
      <c r="AH40" s="92" t="n">
        <v>0</v>
      </c>
      <c r="AI40" s="92" t="n">
        <v>0</v>
      </c>
      <c r="AJ40" s="92" t="n">
        <v>0</v>
      </c>
      <c r="AK40" s="92" t="n">
        <v>0</v>
      </c>
      <c r="AL40" s="92" t="n">
        <v>0</v>
      </c>
      <c r="AM40" s="92" t="n">
        <v>0</v>
      </c>
      <c r="AN40" s="92" t="n">
        <v>0</v>
      </c>
      <c r="AO40" s="92" t="n">
        <v>0</v>
      </c>
      <c r="AP40" s="92" t="n">
        <v>0</v>
      </c>
      <c r="AQ40" s="92" t="n">
        <v>0</v>
      </c>
      <c r="AR40" s="92" t="n">
        <v>0</v>
      </c>
      <c r="AS40" s="92" t="n">
        <v>0</v>
      </c>
      <c r="AT40" s="92" t="n">
        <v>0</v>
      </c>
      <c r="AU40" s="92" t="n">
        <v>0</v>
      </c>
      <c r="AV40" s="92" t="n">
        <v>0</v>
      </c>
      <c r="AW40" s="92" t="n">
        <v>0</v>
      </c>
      <c r="AX40" s="92" t="n">
        <v>0</v>
      </c>
      <c r="AY40" s="92" t="n">
        <v>0</v>
      </c>
      <c r="AZ40" s="92" t="n">
        <v>0</v>
      </c>
      <c r="BA40" s="92" t="n">
        <v>0</v>
      </c>
      <c r="BB40" s="92" t="n">
        <v>0</v>
      </c>
      <c r="BC40" s="92" t="n">
        <v>0</v>
      </c>
      <c r="BD40" s="92" t="n">
        <v>0</v>
      </c>
      <c r="BE40" s="92" t="n">
        <v>0</v>
      </c>
      <c r="BF40" s="92" t="n">
        <v>0</v>
      </c>
      <c r="BG40" s="92" t="n">
        <v>0</v>
      </c>
      <c r="BH40" s="92" t="n">
        <v>0</v>
      </c>
      <c r="BI40" s="92" t="n">
        <v>0</v>
      </c>
      <c r="BJ40" s="92" t="n">
        <v>0</v>
      </c>
      <c r="BK40" s="92" t="n">
        <v>0</v>
      </c>
      <c r="BL40" s="92" t="n">
        <v>0</v>
      </c>
      <c r="BM40" s="92" t="n">
        <v>0</v>
      </c>
      <c r="BN40" s="92" t="n">
        <v>0</v>
      </c>
      <c r="BO40" s="92" t="n">
        <v>0</v>
      </c>
      <c r="BP40" s="92" t="n">
        <v>0</v>
      </c>
      <c r="BQ40" s="92" t="n">
        <v>0</v>
      </c>
      <c r="BR40" s="92">
        <f>-M10</f>
        <v/>
      </c>
      <c r="BS40" s="92">
        <f>FS_Annual!BS14</f>
        <v/>
      </c>
      <c r="BT40" s="92">
        <f>FS_Annual!BT14</f>
        <v/>
      </c>
      <c r="BU40" s="92">
        <f>FS_Annual!BU14</f>
        <v/>
      </c>
      <c r="BV40" s="92">
        <f>FS_Annual!BV14</f>
        <v/>
      </c>
      <c r="BW40" s="92">
        <f>FS_Annual!BW14</f>
        <v/>
      </c>
      <c r="BX40" s="92">
        <f>FS_Annual!BX14</f>
        <v/>
      </c>
      <c r="BY40" s="92">
        <f>FS_Annual!BY14</f>
        <v/>
      </c>
      <c r="BZ40" s="92">
        <f>FS_Annual!BZ14</f>
        <v/>
      </c>
      <c r="CA40" s="92">
        <f>FS_Annual!CA14</f>
        <v/>
      </c>
      <c r="CB40" s="92">
        <f>FS_Annual!CB14</f>
        <v/>
      </c>
      <c r="CC40" s="92">
        <f>FS_Annual!CC14</f>
        <v/>
      </c>
      <c r="CD40" s="92">
        <f>FS_Annual!CD14</f>
        <v/>
      </c>
      <c r="CE40" s="92">
        <f>FS_Annual!CE14</f>
        <v/>
      </c>
      <c r="CF40" s="92">
        <f>FS_Annual!CF14</f>
        <v/>
      </c>
      <c r="CG40" s="92">
        <f>FS_Annual!CG14</f>
        <v/>
      </c>
      <c r="CH40" s="92">
        <f>FS_Annual!CH14</f>
        <v/>
      </c>
      <c r="CI40" s="92">
        <f>FS_Annual!CI14</f>
        <v/>
      </c>
      <c r="CJ40" s="92">
        <f>FS_Annual!CJ14</f>
        <v/>
      </c>
      <c r="CK40" s="92">
        <f>FS_Annual!CK14</f>
        <v/>
      </c>
      <c r="CL40" s="92">
        <f>FS_Annual!CL14</f>
        <v/>
      </c>
      <c r="CM40" s="92">
        <f>FS_Annual!CM14</f>
        <v/>
      </c>
      <c r="CN40" s="92">
        <f>FS_Annual!CN14</f>
        <v/>
      </c>
      <c r="CO40" s="92">
        <f>FS_Annual!CO14</f>
        <v/>
      </c>
      <c r="CP40" s="92">
        <f>FS_Annual!CP14</f>
        <v/>
      </c>
      <c r="CQ40" s="92">
        <f>FS_Annual!CQ14</f>
        <v/>
      </c>
      <c r="CR40" s="92">
        <f>FS_Annual!CR14</f>
        <v/>
      </c>
      <c r="CS40" s="92">
        <f>FS_Annual!CS14</f>
        <v/>
      </c>
      <c r="CT40" s="92">
        <f>FS_Annual!CT14</f>
        <v/>
      </c>
      <c r="CU40" s="92">
        <f>FS_Annual!CU14</f>
        <v/>
      </c>
      <c r="CV40" s="92">
        <f>FS_Annual!CV14</f>
        <v/>
      </c>
      <c r="CW40" s="92">
        <f>FS_Annual!CW14</f>
        <v/>
      </c>
      <c r="CX40" s="92">
        <f>FS_Annual!CX14</f>
        <v/>
      </c>
      <c r="CY40" s="92">
        <f>FS_Annual!CY14</f>
        <v/>
      </c>
      <c r="CZ40" s="92">
        <f>FS_Annual!CZ14</f>
        <v/>
      </c>
      <c r="DA40" s="92">
        <f>FS_Annual!DA14</f>
        <v/>
      </c>
      <c r="DB40" s="92">
        <f>FS_Annual!DB14</f>
        <v/>
      </c>
    </row>
    <row r="41">
      <c r="A41" t="inlineStr">
        <is>
          <t>Yr 12 exit — Seller Equity CF</t>
        </is>
      </c>
      <c r="C41" s="92">
        <f>FS_Annual!C15</f>
        <v/>
      </c>
      <c r="D41" s="92">
        <f>FS_Annual!D15</f>
        <v/>
      </c>
      <c r="E41" s="92">
        <f>FS_Annual!E15</f>
        <v/>
      </c>
      <c r="F41" s="92">
        <f>FS_Annual!F15</f>
        <v/>
      </c>
      <c r="G41" s="92">
        <f>FS_Annual!G15</f>
        <v/>
      </c>
      <c r="H41" s="92">
        <f>FS_Annual!H15</f>
        <v/>
      </c>
      <c r="I41" s="92">
        <f>FS_Annual!I15</f>
        <v/>
      </c>
      <c r="J41" s="92">
        <f>FS_Annual!J15</f>
        <v/>
      </c>
      <c r="K41" s="92">
        <f>FS_Annual!K15</f>
        <v/>
      </c>
      <c r="L41" s="92">
        <f>FS_Annual!L15</f>
        <v/>
      </c>
      <c r="M41" s="92">
        <f>FS_Annual!M15</f>
        <v/>
      </c>
      <c r="N41" s="92">
        <f>FS_Annual!N15</f>
        <v/>
      </c>
      <c r="O41" s="92">
        <f>FS_Annual!O15</f>
        <v/>
      </c>
      <c r="P41" s="92">
        <f>FS_Annual!P15</f>
        <v/>
      </c>
      <c r="Q41" s="92">
        <f>FS_Annual!Q15</f>
        <v/>
      </c>
      <c r="R41" s="92">
        <f>FS_Annual!R15</f>
        <v/>
      </c>
      <c r="S41" s="92">
        <f>FS_Annual!S15</f>
        <v/>
      </c>
      <c r="T41" s="92">
        <f>FS_Annual!T15</f>
        <v/>
      </c>
      <c r="U41" s="92">
        <f>FS_Annual!U15</f>
        <v/>
      </c>
      <c r="V41" s="92">
        <f>FS_Annual!V15</f>
        <v/>
      </c>
      <c r="W41" s="92">
        <f>FS_Annual!W15</f>
        <v/>
      </c>
      <c r="X41" s="92">
        <f>FS_Annual!X15</f>
        <v/>
      </c>
      <c r="Y41" s="92">
        <f>FS_Annual!Y15</f>
        <v/>
      </c>
      <c r="Z41" s="92">
        <f>FS_Annual!Z15</f>
        <v/>
      </c>
      <c r="AA41" s="92">
        <f>FS_Annual!AA15</f>
        <v/>
      </c>
      <c r="AB41" s="92">
        <f>FS_Annual!AB15</f>
        <v/>
      </c>
      <c r="AC41" s="92">
        <f>FS_Annual!AC15</f>
        <v/>
      </c>
      <c r="AD41" s="92">
        <f>FS_Annual!AD15</f>
        <v/>
      </c>
      <c r="AE41" s="92">
        <f>FS_Annual!AE15</f>
        <v/>
      </c>
      <c r="AF41" s="92">
        <f>FS_Annual!AF15</f>
        <v/>
      </c>
      <c r="AG41" s="92">
        <f>FS_Annual!AG15</f>
        <v/>
      </c>
      <c r="AH41" s="92">
        <f>FS_Annual!AH15</f>
        <v/>
      </c>
      <c r="AI41" s="92">
        <f>FS_Annual!AI15</f>
        <v/>
      </c>
      <c r="AJ41" s="92">
        <f>FS_Annual!AJ15</f>
        <v/>
      </c>
      <c r="AK41" s="92">
        <f>FS_Annual!AK15</f>
        <v/>
      </c>
      <c r="AL41" s="92">
        <f>FS_Annual!AL15</f>
        <v/>
      </c>
      <c r="AM41" s="92">
        <f>FS_Annual!AM15</f>
        <v/>
      </c>
      <c r="AN41" s="92">
        <f>FS_Annual!AN15</f>
        <v/>
      </c>
      <c r="AO41" s="92">
        <f>FS_Annual!AO15</f>
        <v/>
      </c>
      <c r="AP41" s="92">
        <f>FS_Annual!AP15</f>
        <v/>
      </c>
      <c r="AQ41" s="92">
        <f>FS_Annual!AQ15</f>
        <v/>
      </c>
      <c r="AR41" s="92">
        <f>FS_Annual!AR15</f>
        <v/>
      </c>
      <c r="AS41" s="92">
        <f>FS_Annual!AS15</f>
        <v/>
      </c>
      <c r="AT41" s="92">
        <f>FS_Annual!AT15</f>
        <v/>
      </c>
      <c r="AU41" s="92">
        <f>FS_Annual!AU15</f>
        <v/>
      </c>
      <c r="AV41" s="92">
        <f>FS_Annual!AV15</f>
        <v/>
      </c>
      <c r="AW41" s="92">
        <f>FS_Annual!AW15</f>
        <v/>
      </c>
      <c r="AX41" s="92">
        <f>FS_Annual!AX15</f>
        <v/>
      </c>
      <c r="AY41" s="92">
        <f>FS_Annual!AY15</f>
        <v/>
      </c>
      <c r="AZ41" s="92">
        <f>FS_Annual!AZ15</f>
        <v/>
      </c>
      <c r="BA41" s="92">
        <f>FS_Annual!BA15</f>
        <v/>
      </c>
      <c r="BB41" s="92">
        <f>FS_Annual!BB15</f>
        <v/>
      </c>
      <c r="BC41" s="92">
        <f>FS_Annual!BC15</f>
        <v/>
      </c>
      <c r="BD41" s="92">
        <f>FS_Annual!BD15</f>
        <v/>
      </c>
      <c r="BE41" s="92">
        <f>FS_Annual!BE15</f>
        <v/>
      </c>
      <c r="BF41" s="92">
        <f>FS_Annual!BF15</f>
        <v/>
      </c>
      <c r="BG41" s="92">
        <f>FS_Annual!BG15</f>
        <v/>
      </c>
      <c r="BH41" s="92">
        <f>FS_Annual!BH15</f>
        <v/>
      </c>
      <c r="BI41" s="92">
        <f>FS_Annual!BI15</f>
        <v/>
      </c>
      <c r="BJ41" s="92">
        <f>FS_Annual!BJ15</f>
        <v/>
      </c>
      <c r="BK41" s="92">
        <f>FS_Annual!BK15</f>
        <v/>
      </c>
      <c r="BL41" s="92">
        <f>FS_Annual!BL15</f>
        <v/>
      </c>
      <c r="BM41" s="92">
        <f>FS_Annual!BM15</f>
        <v/>
      </c>
      <c r="BN41" s="92">
        <f>FS_Annual!BN15</f>
        <v/>
      </c>
      <c r="BO41" s="92">
        <f>FS_Annual!BO15</f>
        <v/>
      </c>
      <c r="BP41" s="92">
        <f>FS_Annual!BP15</f>
        <v/>
      </c>
      <c r="BQ41" s="92">
        <f>FS_Annual!BQ15</f>
        <v/>
      </c>
      <c r="BR41" s="92">
        <f>FS_Annual!BR15</f>
        <v/>
      </c>
      <c r="BS41" s="92">
        <f>FS_Annual!BS15</f>
        <v/>
      </c>
      <c r="BT41" s="92">
        <f>FS_Annual!BT15</f>
        <v/>
      </c>
      <c r="BU41" s="92">
        <f>FS_Annual!BU15</f>
        <v/>
      </c>
      <c r="BV41" s="92">
        <f>FS_Annual!BV15+N8</f>
        <v/>
      </c>
      <c r="BW41" s="92" t="n">
        <v>0</v>
      </c>
      <c r="BX41" s="92" t="n">
        <v>0</v>
      </c>
      <c r="BY41" s="92" t="n">
        <v>0</v>
      </c>
      <c r="BZ41" s="92" t="n">
        <v>0</v>
      </c>
      <c r="CA41" s="92" t="n">
        <v>0</v>
      </c>
      <c r="CB41" s="92" t="n">
        <v>0</v>
      </c>
      <c r="CC41" s="92" t="n">
        <v>0</v>
      </c>
      <c r="CD41" s="92" t="n">
        <v>0</v>
      </c>
      <c r="CE41" s="92" t="n">
        <v>0</v>
      </c>
      <c r="CF41" s="92" t="n">
        <v>0</v>
      </c>
      <c r="CG41" s="92" t="n">
        <v>0</v>
      </c>
      <c r="CH41" s="92" t="n">
        <v>0</v>
      </c>
      <c r="CI41" s="92" t="n">
        <v>0</v>
      </c>
      <c r="CJ41" s="92" t="n">
        <v>0</v>
      </c>
      <c r="CK41" s="92" t="n">
        <v>0</v>
      </c>
      <c r="CL41" s="92" t="n">
        <v>0</v>
      </c>
      <c r="CM41" s="92" t="n">
        <v>0</v>
      </c>
      <c r="CN41" s="92" t="n">
        <v>0</v>
      </c>
      <c r="CO41" s="92" t="n">
        <v>0</v>
      </c>
      <c r="CP41" s="92" t="n">
        <v>0</v>
      </c>
      <c r="CQ41" s="92" t="n">
        <v>0</v>
      </c>
      <c r="CR41" s="92" t="n">
        <v>0</v>
      </c>
      <c r="CS41" s="92" t="n">
        <v>0</v>
      </c>
      <c r="CT41" s="92" t="n">
        <v>0</v>
      </c>
      <c r="CU41" s="92" t="n">
        <v>0</v>
      </c>
      <c r="CV41" s="92" t="n">
        <v>0</v>
      </c>
      <c r="CW41" s="92" t="n">
        <v>0</v>
      </c>
      <c r="CX41" s="92" t="n">
        <v>0</v>
      </c>
      <c r="CY41" s="92" t="n">
        <v>0</v>
      </c>
      <c r="CZ41" s="92" t="n">
        <v>0</v>
      </c>
      <c r="DA41" s="92" t="n">
        <v>0</v>
      </c>
      <c r="DB41" s="92" t="n">
        <v>0</v>
      </c>
    </row>
    <row r="42">
      <c r="A42" t="inlineStr">
        <is>
          <t>Yr 12 exit — Buyer Project CF</t>
        </is>
      </c>
      <c r="C42" s="92" t="n">
        <v>0</v>
      </c>
      <c r="D42" s="92" t="n">
        <v>0</v>
      </c>
      <c r="E42" s="92" t="n">
        <v>0</v>
      </c>
      <c r="F42" s="92" t="n">
        <v>0</v>
      </c>
      <c r="G42" s="92" t="n">
        <v>0</v>
      </c>
      <c r="H42" s="92" t="n">
        <v>0</v>
      </c>
      <c r="I42" s="92" t="n">
        <v>0</v>
      </c>
      <c r="J42" s="92" t="n">
        <v>0</v>
      </c>
      <c r="K42" s="92" t="n">
        <v>0</v>
      </c>
      <c r="L42" s="92" t="n">
        <v>0</v>
      </c>
      <c r="M42" s="92" t="n">
        <v>0</v>
      </c>
      <c r="N42" s="92" t="n">
        <v>0</v>
      </c>
      <c r="O42" s="92" t="n">
        <v>0</v>
      </c>
      <c r="P42" s="92" t="n">
        <v>0</v>
      </c>
      <c r="Q42" s="92" t="n">
        <v>0</v>
      </c>
      <c r="R42" s="92" t="n">
        <v>0</v>
      </c>
      <c r="S42" s="92" t="n">
        <v>0</v>
      </c>
      <c r="T42" s="92" t="n">
        <v>0</v>
      </c>
      <c r="U42" s="92" t="n">
        <v>0</v>
      </c>
      <c r="V42" s="92" t="n">
        <v>0</v>
      </c>
      <c r="W42" s="92" t="n">
        <v>0</v>
      </c>
      <c r="X42" s="92" t="n">
        <v>0</v>
      </c>
      <c r="Y42" s="92" t="n">
        <v>0</v>
      </c>
      <c r="Z42" s="92" t="n">
        <v>0</v>
      </c>
      <c r="AA42" s="92" t="n">
        <v>0</v>
      </c>
      <c r="AB42" s="92" t="n">
        <v>0</v>
      </c>
      <c r="AC42" s="92" t="n">
        <v>0</v>
      </c>
      <c r="AD42" s="92" t="n">
        <v>0</v>
      </c>
      <c r="AE42" s="92" t="n">
        <v>0</v>
      </c>
      <c r="AF42" s="92" t="n">
        <v>0</v>
      </c>
      <c r="AG42" s="92" t="n">
        <v>0</v>
      </c>
      <c r="AH42" s="92" t="n">
        <v>0</v>
      </c>
      <c r="AI42" s="92" t="n">
        <v>0</v>
      </c>
      <c r="AJ42" s="92" t="n">
        <v>0</v>
      </c>
      <c r="AK42" s="92" t="n">
        <v>0</v>
      </c>
      <c r="AL42" s="92" t="n">
        <v>0</v>
      </c>
      <c r="AM42" s="92" t="n">
        <v>0</v>
      </c>
      <c r="AN42" s="92" t="n">
        <v>0</v>
      </c>
      <c r="AO42" s="92" t="n">
        <v>0</v>
      </c>
      <c r="AP42" s="92" t="n">
        <v>0</v>
      </c>
      <c r="AQ42" s="92" t="n">
        <v>0</v>
      </c>
      <c r="AR42" s="92" t="n">
        <v>0</v>
      </c>
      <c r="AS42" s="92" t="n">
        <v>0</v>
      </c>
      <c r="AT42" s="92" t="n">
        <v>0</v>
      </c>
      <c r="AU42" s="92" t="n">
        <v>0</v>
      </c>
      <c r="AV42" s="92" t="n">
        <v>0</v>
      </c>
      <c r="AW42" s="92" t="n">
        <v>0</v>
      </c>
      <c r="AX42" s="92" t="n">
        <v>0</v>
      </c>
      <c r="AY42" s="92" t="n">
        <v>0</v>
      </c>
      <c r="AZ42" s="92" t="n">
        <v>0</v>
      </c>
      <c r="BA42" s="92" t="n">
        <v>0</v>
      </c>
      <c r="BB42" s="92" t="n">
        <v>0</v>
      </c>
      <c r="BC42" s="92" t="n">
        <v>0</v>
      </c>
      <c r="BD42" s="92" t="n">
        <v>0</v>
      </c>
      <c r="BE42" s="92" t="n">
        <v>0</v>
      </c>
      <c r="BF42" s="92" t="n">
        <v>0</v>
      </c>
      <c r="BG42" s="92" t="n">
        <v>0</v>
      </c>
      <c r="BH42" s="92" t="n">
        <v>0</v>
      </c>
      <c r="BI42" s="92" t="n">
        <v>0</v>
      </c>
      <c r="BJ42" s="92" t="n">
        <v>0</v>
      </c>
      <c r="BK42" s="92" t="n">
        <v>0</v>
      </c>
      <c r="BL42" s="92" t="n">
        <v>0</v>
      </c>
      <c r="BM42" s="92" t="n">
        <v>0</v>
      </c>
      <c r="BN42" s="92" t="n">
        <v>0</v>
      </c>
      <c r="BO42" s="92" t="n">
        <v>0</v>
      </c>
      <c r="BP42" s="92" t="n">
        <v>0</v>
      </c>
      <c r="BQ42" s="92" t="n">
        <v>0</v>
      </c>
      <c r="BR42" s="92" t="n">
        <v>0</v>
      </c>
      <c r="BS42" s="92" t="n">
        <v>0</v>
      </c>
      <c r="BT42" s="92" t="n">
        <v>0</v>
      </c>
      <c r="BU42" s="92" t="n">
        <v>0</v>
      </c>
      <c r="BV42" s="92">
        <f>-N10</f>
        <v/>
      </c>
      <c r="BW42" s="92">
        <f>FS_Annual!BW14</f>
        <v/>
      </c>
      <c r="BX42" s="92">
        <f>FS_Annual!BX14</f>
        <v/>
      </c>
      <c r="BY42" s="92">
        <f>FS_Annual!BY14</f>
        <v/>
      </c>
      <c r="BZ42" s="92">
        <f>FS_Annual!BZ14</f>
        <v/>
      </c>
      <c r="CA42" s="92">
        <f>FS_Annual!CA14</f>
        <v/>
      </c>
      <c r="CB42" s="92">
        <f>FS_Annual!CB14</f>
        <v/>
      </c>
      <c r="CC42" s="92">
        <f>FS_Annual!CC14</f>
        <v/>
      </c>
      <c r="CD42" s="92">
        <f>FS_Annual!CD14</f>
        <v/>
      </c>
      <c r="CE42" s="92">
        <f>FS_Annual!CE14</f>
        <v/>
      </c>
      <c r="CF42" s="92">
        <f>FS_Annual!CF14</f>
        <v/>
      </c>
      <c r="CG42" s="92">
        <f>FS_Annual!CG14</f>
        <v/>
      </c>
      <c r="CH42" s="92">
        <f>FS_Annual!CH14</f>
        <v/>
      </c>
      <c r="CI42" s="92">
        <f>FS_Annual!CI14</f>
        <v/>
      </c>
      <c r="CJ42" s="92">
        <f>FS_Annual!CJ14</f>
        <v/>
      </c>
      <c r="CK42" s="92">
        <f>FS_Annual!CK14</f>
        <v/>
      </c>
      <c r="CL42" s="92">
        <f>FS_Annual!CL14</f>
        <v/>
      </c>
      <c r="CM42" s="92">
        <f>FS_Annual!CM14</f>
        <v/>
      </c>
      <c r="CN42" s="92">
        <f>FS_Annual!CN14</f>
        <v/>
      </c>
      <c r="CO42" s="92">
        <f>FS_Annual!CO14</f>
        <v/>
      </c>
      <c r="CP42" s="92">
        <f>FS_Annual!CP14</f>
        <v/>
      </c>
      <c r="CQ42" s="92">
        <f>FS_Annual!CQ14</f>
        <v/>
      </c>
      <c r="CR42" s="92">
        <f>FS_Annual!CR14</f>
        <v/>
      </c>
      <c r="CS42" s="92">
        <f>FS_Annual!CS14</f>
        <v/>
      </c>
      <c r="CT42" s="92">
        <f>FS_Annual!CT14</f>
        <v/>
      </c>
      <c r="CU42" s="92">
        <f>FS_Annual!CU14</f>
        <v/>
      </c>
      <c r="CV42" s="92">
        <f>FS_Annual!CV14</f>
        <v/>
      </c>
      <c r="CW42" s="92">
        <f>FS_Annual!CW14</f>
        <v/>
      </c>
      <c r="CX42" s="92">
        <f>FS_Annual!CX14</f>
        <v/>
      </c>
      <c r="CY42" s="92">
        <f>FS_Annual!CY14</f>
        <v/>
      </c>
      <c r="CZ42" s="92">
        <f>FS_Annual!CZ14</f>
        <v/>
      </c>
      <c r="DA42" s="92">
        <f>FS_Annual!DA14</f>
        <v/>
      </c>
      <c r="DB42" s="92">
        <f>FS_Annual!DB14</f>
        <v/>
      </c>
    </row>
    <row r="43">
      <c r="A43" t="inlineStr">
        <is>
          <t>Yr 13 exit — Seller Equity CF</t>
        </is>
      </c>
      <c r="C43" s="92">
        <f>FS_Annual!C15</f>
        <v/>
      </c>
      <c r="D43" s="92">
        <f>FS_Annual!D15</f>
        <v/>
      </c>
      <c r="E43" s="92">
        <f>FS_Annual!E15</f>
        <v/>
      </c>
      <c r="F43" s="92">
        <f>FS_Annual!F15</f>
        <v/>
      </c>
      <c r="G43" s="92">
        <f>FS_Annual!G15</f>
        <v/>
      </c>
      <c r="H43" s="92">
        <f>FS_Annual!H15</f>
        <v/>
      </c>
      <c r="I43" s="92">
        <f>FS_Annual!I15</f>
        <v/>
      </c>
      <c r="J43" s="92">
        <f>FS_Annual!J15</f>
        <v/>
      </c>
      <c r="K43" s="92">
        <f>FS_Annual!K15</f>
        <v/>
      </c>
      <c r="L43" s="92">
        <f>FS_Annual!L15</f>
        <v/>
      </c>
      <c r="M43" s="92">
        <f>FS_Annual!M15</f>
        <v/>
      </c>
      <c r="N43" s="92">
        <f>FS_Annual!N15</f>
        <v/>
      </c>
      <c r="O43" s="92">
        <f>FS_Annual!O15</f>
        <v/>
      </c>
      <c r="P43" s="92">
        <f>FS_Annual!P15</f>
        <v/>
      </c>
      <c r="Q43" s="92">
        <f>FS_Annual!Q15</f>
        <v/>
      </c>
      <c r="R43" s="92">
        <f>FS_Annual!R15</f>
        <v/>
      </c>
      <c r="S43" s="92">
        <f>FS_Annual!S15</f>
        <v/>
      </c>
      <c r="T43" s="92">
        <f>FS_Annual!T15</f>
        <v/>
      </c>
      <c r="U43" s="92">
        <f>FS_Annual!U15</f>
        <v/>
      </c>
      <c r="V43" s="92">
        <f>FS_Annual!V15</f>
        <v/>
      </c>
      <c r="W43" s="92">
        <f>FS_Annual!W15</f>
        <v/>
      </c>
      <c r="X43" s="92">
        <f>FS_Annual!X15</f>
        <v/>
      </c>
      <c r="Y43" s="92">
        <f>FS_Annual!Y15</f>
        <v/>
      </c>
      <c r="Z43" s="92">
        <f>FS_Annual!Z15</f>
        <v/>
      </c>
      <c r="AA43" s="92">
        <f>FS_Annual!AA15</f>
        <v/>
      </c>
      <c r="AB43" s="92">
        <f>FS_Annual!AB15</f>
        <v/>
      </c>
      <c r="AC43" s="92">
        <f>FS_Annual!AC15</f>
        <v/>
      </c>
      <c r="AD43" s="92">
        <f>FS_Annual!AD15</f>
        <v/>
      </c>
      <c r="AE43" s="92">
        <f>FS_Annual!AE15</f>
        <v/>
      </c>
      <c r="AF43" s="92">
        <f>FS_Annual!AF15</f>
        <v/>
      </c>
      <c r="AG43" s="92">
        <f>FS_Annual!AG15</f>
        <v/>
      </c>
      <c r="AH43" s="92">
        <f>FS_Annual!AH15</f>
        <v/>
      </c>
      <c r="AI43" s="92">
        <f>FS_Annual!AI15</f>
        <v/>
      </c>
      <c r="AJ43" s="92">
        <f>FS_Annual!AJ15</f>
        <v/>
      </c>
      <c r="AK43" s="92">
        <f>FS_Annual!AK15</f>
        <v/>
      </c>
      <c r="AL43" s="92">
        <f>FS_Annual!AL15</f>
        <v/>
      </c>
      <c r="AM43" s="92">
        <f>FS_Annual!AM15</f>
        <v/>
      </c>
      <c r="AN43" s="92">
        <f>FS_Annual!AN15</f>
        <v/>
      </c>
      <c r="AO43" s="92">
        <f>FS_Annual!AO15</f>
        <v/>
      </c>
      <c r="AP43" s="92">
        <f>FS_Annual!AP15</f>
        <v/>
      </c>
      <c r="AQ43" s="92">
        <f>FS_Annual!AQ15</f>
        <v/>
      </c>
      <c r="AR43" s="92">
        <f>FS_Annual!AR15</f>
        <v/>
      </c>
      <c r="AS43" s="92">
        <f>FS_Annual!AS15</f>
        <v/>
      </c>
      <c r="AT43" s="92">
        <f>FS_Annual!AT15</f>
        <v/>
      </c>
      <c r="AU43" s="92">
        <f>FS_Annual!AU15</f>
        <v/>
      </c>
      <c r="AV43" s="92">
        <f>FS_Annual!AV15</f>
        <v/>
      </c>
      <c r="AW43" s="92">
        <f>FS_Annual!AW15</f>
        <v/>
      </c>
      <c r="AX43" s="92">
        <f>FS_Annual!AX15</f>
        <v/>
      </c>
      <c r="AY43" s="92">
        <f>FS_Annual!AY15</f>
        <v/>
      </c>
      <c r="AZ43" s="92">
        <f>FS_Annual!AZ15</f>
        <v/>
      </c>
      <c r="BA43" s="92">
        <f>FS_Annual!BA15</f>
        <v/>
      </c>
      <c r="BB43" s="92">
        <f>FS_Annual!BB15</f>
        <v/>
      </c>
      <c r="BC43" s="92">
        <f>FS_Annual!BC15</f>
        <v/>
      </c>
      <c r="BD43" s="92">
        <f>FS_Annual!BD15</f>
        <v/>
      </c>
      <c r="BE43" s="92">
        <f>FS_Annual!BE15</f>
        <v/>
      </c>
      <c r="BF43" s="92">
        <f>FS_Annual!BF15</f>
        <v/>
      </c>
      <c r="BG43" s="92">
        <f>FS_Annual!BG15</f>
        <v/>
      </c>
      <c r="BH43" s="92">
        <f>FS_Annual!BH15</f>
        <v/>
      </c>
      <c r="BI43" s="92">
        <f>FS_Annual!BI15</f>
        <v/>
      </c>
      <c r="BJ43" s="92">
        <f>FS_Annual!BJ15</f>
        <v/>
      </c>
      <c r="BK43" s="92">
        <f>FS_Annual!BK15</f>
        <v/>
      </c>
      <c r="BL43" s="92">
        <f>FS_Annual!BL15</f>
        <v/>
      </c>
      <c r="BM43" s="92">
        <f>FS_Annual!BM15</f>
        <v/>
      </c>
      <c r="BN43" s="92">
        <f>FS_Annual!BN15</f>
        <v/>
      </c>
      <c r="BO43" s="92">
        <f>FS_Annual!BO15</f>
        <v/>
      </c>
      <c r="BP43" s="92">
        <f>FS_Annual!BP15</f>
        <v/>
      </c>
      <c r="BQ43" s="92">
        <f>FS_Annual!BQ15</f>
        <v/>
      </c>
      <c r="BR43" s="92">
        <f>FS_Annual!BR15</f>
        <v/>
      </c>
      <c r="BS43" s="92">
        <f>FS_Annual!BS15</f>
        <v/>
      </c>
      <c r="BT43" s="92">
        <f>FS_Annual!BT15</f>
        <v/>
      </c>
      <c r="BU43" s="92">
        <f>FS_Annual!BU15</f>
        <v/>
      </c>
      <c r="BV43" s="92">
        <f>FS_Annual!BV15</f>
        <v/>
      </c>
      <c r="BW43" s="92">
        <f>FS_Annual!BW15</f>
        <v/>
      </c>
      <c r="BX43" s="92">
        <f>FS_Annual!BX15</f>
        <v/>
      </c>
      <c r="BY43" s="92">
        <f>FS_Annual!BY15</f>
        <v/>
      </c>
      <c r="BZ43" s="92">
        <f>FS_Annual!BZ15+O8</f>
        <v/>
      </c>
      <c r="CA43" s="92" t="n">
        <v>0</v>
      </c>
      <c r="CB43" s="92" t="n">
        <v>0</v>
      </c>
      <c r="CC43" s="92" t="n">
        <v>0</v>
      </c>
      <c r="CD43" s="92" t="n">
        <v>0</v>
      </c>
      <c r="CE43" s="92" t="n">
        <v>0</v>
      </c>
      <c r="CF43" s="92" t="n">
        <v>0</v>
      </c>
      <c r="CG43" s="92" t="n">
        <v>0</v>
      </c>
      <c r="CH43" s="92" t="n">
        <v>0</v>
      </c>
      <c r="CI43" s="92" t="n">
        <v>0</v>
      </c>
      <c r="CJ43" s="92" t="n">
        <v>0</v>
      </c>
      <c r="CK43" s="92" t="n">
        <v>0</v>
      </c>
      <c r="CL43" s="92" t="n">
        <v>0</v>
      </c>
      <c r="CM43" s="92" t="n">
        <v>0</v>
      </c>
      <c r="CN43" s="92" t="n">
        <v>0</v>
      </c>
      <c r="CO43" s="92" t="n">
        <v>0</v>
      </c>
      <c r="CP43" s="92" t="n">
        <v>0</v>
      </c>
      <c r="CQ43" s="92" t="n">
        <v>0</v>
      </c>
      <c r="CR43" s="92" t="n">
        <v>0</v>
      </c>
      <c r="CS43" s="92" t="n">
        <v>0</v>
      </c>
      <c r="CT43" s="92" t="n">
        <v>0</v>
      </c>
      <c r="CU43" s="92" t="n">
        <v>0</v>
      </c>
      <c r="CV43" s="92" t="n">
        <v>0</v>
      </c>
      <c r="CW43" s="92" t="n">
        <v>0</v>
      </c>
      <c r="CX43" s="92" t="n">
        <v>0</v>
      </c>
      <c r="CY43" s="92" t="n">
        <v>0</v>
      </c>
      <c r="CZ43" s="92" t="n">
        <v>0</v>
      </c>
      <c r="DA43" s="92" t="n">
        <v>0</v>
      </c>
      <c r="DB43" s="92" t="n">
        <v>0</v>
      </c>
    </row>
    <row r="44">
      <c r="A44" t="inlineStr">
        <is>
          <t>Yr 13 exit — Buyer Project CF</t>
        </is>
      </c>
      <c r="C44" s="92" t="n">
        <v>0</v>
      </c>
      <c r="D44" s="92" t="n">
        <v>0</v>
      </c>
      <c r="E44" s="92" t="n">
        <v>0</v>
      </c>
      <c r="F44" s="92" t="n">
        <v>0</v>
      </c>
      <c r="G44" s="92" t="n">
        <v>0</v>
      </c>
      <c r="H44" s="92" t="n">
        <v>0</v>
      </c>
      <c r="I44" s="92" t="n">
        <v>0</v>
      </c>
      <c r="J44" s="92" t="n">
        <v>0</v>
      </c>
      <c r="K44" s="92" t="n">
        <v>0</v>
      </c>
      <c r="L44" s="92" t="n">
        <v>0</v>
      </c>
      <c r="M44" s="92" t="n">
        <v>0</v>
      </c>
      <c r="N44" s="92" t="n">
        <v>0</v>
      </c>
      <c r="O44" s="92" t="n">
        <v>0</v>
      </c>
      <c r="P44" s="92" t="n">
        <v>0</v>
      </c>
      <c r="Q44" s="92" t="n">
        <v>0</v>
      </c>
      <c r="R44" s="92" t="n">
        <v>0</v>
      </c>
      <c r="S44" s="92" t="n">
        <v>0</v>
      </c>
      <c r="T44" s="92" t="n">
        <v>0</v>
      </c>
      <c r="U44" s="92" t="n">
        <v>0</v>
      </c>
      <c r="V44" s="92" t="n">
        <v>0</v>
      </c>
      <c r="W44" s="92" t="n">
        <v>0</v>
      </c>
      <c r="X44" s="92" t="n">
        <v>0</v>
      </c>
      <c r="Y44" s="92" t="n">
        <v>0</v>
      </c>
      <c r="Z44" s="92" t="n">
        <v>0</v>
      </c>
      <c r="AA44" s="92" t="n">
        <v>0</v>
      </c>
      <c r="AB44" s="92" t="n">
        <v>0</v>
      </c>
      <c r="AC44" s="92" t="n">
        <v>0</v>
      </c>
      <c r="AD44" s="92" t="n">
        <v>0</v>
      </c>
      <c r="AE44" s="92" t="n">
        <v>0</v>
      </c>
      <c r="AF44" s="92" t="n">
        <v>0</v>
      </c>
      <c r="AG44" s="92" t="n">
        <v>0</v>
      </c>
      <c r="AH44" s="92" t="n">
        <v>0</v>
      </c>
      <c r="AI44" s="92" t="n">
        <v>0</v>
      </c>
      <c r="AJ44" s="92" t="n">
        <v>0</v>
      </c>
      <c r="AK44" s="92" t="n">
        <v>0</v>
      </c>
      <c r="AL44" s="92" t="n">
        <v>0</v>
      </c>
      <c r="AM44" s="92" t="n">
        <v>0</v>
      </c>
      <c r="AN44" s="92" t="n">
        <v>0</v>
      </c>
      <c r="AO44" s="92" t="n">
        <v>0</v>
      </c>
      <c r="AP44" s="92" t="n">
        <v>0</v>
      </c>
      <c r="AQ44" s="92" t="n">
        <v>0</v>
      </c>
      <c r="AR44" s="92" t="n">
        <v>0</v>
      </c>
      <c r="AS44" s="92" t="n">
        <v>0</v>
      </c>
      <c r="AT44" s="92" t="n">
        <v>0</v>
      </c>
      <c r="AU44" s="92" t="n">
        <v>0</v>
      </c>
      <c r="AV44" s="92" t="n">
        <v>0</v>
      </c>
      <c r="AW44" s="92" t="n">
        <v>0</v>
      </c>
      <c r="AX44" s="92" t="n">
        <v>0</v>
      </c>
      <c r="AY44" s="92" t="n">
        <v>0</v>
      </c>
      <c r="AZ44" s="92" t="n">
        <v>0</v>
      </c>
      <c r="BA44" s="92" t="n">
        <v>0</v>
      </c>
      <c r="BB44" s="92" t="n">
        <v>0</v>
      </c>
      <c r="BC44" s="92" t="n">
        <v>0</v>
      </c>
      <c r="BD44" s="92" t="n">
        <v>0</v>
      </c>
      <c r="BE44" s="92" t="n">
        <v>0</v>
      </c>
      <c r="BF44" s="92" t="n">
        <v>0</v>
      </c>
      <c r="BG44" s="92" t="n">
        <v>0</v>
      </c>
      <c r="BH44" s="92" t="n">
        <v>0</v>
      </c>
      <c r="BI44" s="92" t="n">
        <v>0</v>
      </c>
      <c r="BJ44" s="92" t="n">
        <v>0</v>
      </c>
      <c r="BK44" s="92" t="n">
        <v>0</v>
      </c>
      <c r="BL44" s="92" t="n">
        <v>0</v>
      </c>
      <c r="BM44" s="92" t="n">
        <v>0</v>
      </c>
      <c r="BN44" s="92" t="n">
        <v>0</v>
      </c>
      <c r="BO44" s="92" t="n">
        <v>0</v>
      </c>
      <c r="BP44" s="92" t="n">
        <v>0</v>
      </c>
      <c r="BQ44" s="92" t="n">
        <v>0</v>
      </c>
      <c r="BR44" s="92" t="n">
        <v>0</v>
      </c>
      <c r="BS44" s="92" t="n">
        <v>0</v>
      </c>
      <c r="BT44" s="92" t="n">
        <v>0</v>
      </c>
      <c r="BU44" s="92" t="n">
        <v>0</v>
      </c>
      <c r="BV44" s="92" t="n">
        <v>0</v>
      </c>
      <c r="BW44" s="92" t="n">
        <v>0</v>
      </c>
      <c r="BX44" s="92" t="n">
        <v>0</v>
      </c>
      <c r="BY44" s="92" t="n">
        <v>0</v>
      </c>
      <c r="BZ44" s="92">
        <f>-O10</f>
        <v/>
      </c>
      <c r="CA44" s="92">
        <f>FS_Annual!CA14</f>
        <v/>
      </c>
      <c r="CB44" s="92">
        <f>FS_Annual!CB14</f>
        <v/>
      </c>
      <c r="CC44" s="92">
        <f>FS_Annual!CC14</f>
        <v/>
      </c>
      <c r="CD44" s="92">
        <f>FS_Annual!CD14</f>
        <v/>
      </c>
      <c r="CE44" s="92">
        <f>FS_Annual!CE14</f>
        <v/>
      </c>
      <c r="CF44" s="92">
        <f>FS_Annual!CF14</f>
        <v/>
      </c>
      <c r="CG44" s="92">
        <f>FS_Annual!CG14</f>
        <v/>
      </c>
      <c r="CH44" s="92">
        <f>FS_Annual!CH14</f>
        <v/>
      </c>
      <c r="CI44" s="92">
        <f>FS_Annual!CI14</f>
        <v/>
      </c>
      <c r="CJ44" s="92">
        <f>FS_Annual!CJ14</f>
        <v/>
      </c>
      <c r="CK44" s="92">
        <f>FS_Annual!CK14</f>
        <v/>
      </c>
      <c r="CL44" s="92">
        <f>FS_Annual!CL14</f>
        <v/>
      </c>
      <c r="CM44" s="92">
        <f>FS_Annual!CM14</f>
        <v/>
      </c>
      <c r="CN44" s="92">
        <f>FS_Annual!CN14</f>
        <v/>
      </c>
      <c r="CO44" s="92">
        <f>FS_Annual!CO14</f>
        <v/>
      </c>
      <c r="CP44" s="92">
        <f>FS_Annual!CP14</f>
        <v/>
      </c>
      <c r="CQ44" s="92">
        <f>FS_Annual!CQ14</f>
        <v/>
      </c>
      <c r="CR44" s="92">
        <f>FS_Annual!CR14</f>
        <v/>
      </c>
      <c r="CS44" s="92">
        <f>FS_Annual!CS14</f>
        <v/>
      </c>
      <c r="CT44" s="92">
        <f>FS_Annual!CT14</f>
        <v/>
      </c>
      <c r="CU44" s="92">
        <f>FS_Annual!CU14</f>
        <v/>
      </c>
      <c r="CV44" s="92">
        <f>FS_Annual!CV14</f>
        <v/>
      </c>
      <c r="CW44" s="92">
        <f>FS_Annual!CW14</f>
        <v/>
      </c>
      <c r="CX44" s="92">
        <f>FS_Annual!CX14</f>
        <v/>
      </c>
      <c r="CY44" s="92">
        <f>FS_Annual!CY14</f>
        <v/>
      </c>
      <c r="CZ44" s="92">
        <f>FS_Annual!CZ14</f>
        <v/>
      </c>
      <c r="DA44" s="92">
        <f>FS_Annual!DA14</f>
        <v/>
      </c>
      <c r="DB44" s="92">
        <f>FS_Annual!DB14</f>
        <v/>
      </c>
    </row>
    <row r="45">
      <c r="A45" t="inlineStr">
        <is>
          <t>Yr 14 exit — Seller Equity CF</t>
        </is>
      </c>
      <c r="C45" s="92">
        <f>FS_Annual!C15</f>
        <v/>
      </c>
      <c r="D45" s="92">
        <f>FS_Annual!D15</f>
        <v/>
      </c>
      <c r="E45" s="92">
        <f>FS_Annual!E15</f>
        <v/>
      </c>
      <c r="F45" s="92">
        <f>FS_Annual!F15</f>
        <v/>
      </c>
      <c r="G45" s="92">
        <f>FS_Annual!G15</f>
        <v/>
      </c>
      <c r="H45" s="92">
        <f>FS_Annual!H15</f>
        <v/>
      </c>
      <c r="I45" s="92">
        <f>FS_Annual!I15</f>
        <v/>
      </c>
      <c r="J45" s="92">
        <f>FS_Annual!J15</f>
        <v/>
      </c>
      <c r="K45" s="92">
        <f>FS_Annual!K15</f>
        <v/>
      </c>
      <c r="L45" s="92">
        <f>FS_Annual!L15</f>
        <v/>
      </c>
      <c r="M45" s="92">
        <f>FS_Annual!M15</f>
        <v/>
      </c>
      <c r="N45" s="92">
        <f>FS_Annual!N15</f>
        <v/>
      </c>
      <c r="O45" s="92">
        <f>FS_Annual!O15</f>
        <v/>
      </c>
      <c r="P45" s="92">
        <f>FS_Annual!P15</f>
        <v/>
      </c>
      <c r="Q45" s="92">
        <f>FS_Annual!Q15</f>
        <v/>
      </c>
      <c r="R45" s="92">
        <f>FS_Annual!R15</f>
        <v/>
      </c>
      <c r="S45" s="92">
        <f>FS_Annual!S15</f>
        <v/>
      </c>
      <c r="T45" s="92">
        <f>FS_Annual!T15</f>
        <v/>
      </c>
      <c r="U45" s="92">
        <f>FS_Annual!U15</f>
        <v/>
      </c>
      <c r="V45" s="92">
        <f>FS_Annual!V15</f>
        <v/>
      </c>
      <c r="W45" s="92">
        <f>FS_Annual!W15</f>
        <v/>
      </c>
      <c r="X45" s="92">
        <f>FS_Annual!X15</f>
        <v/>
      </c>
      <c r="Y45" s="92">
        <f>FS_Annual!Y15</f>
        <v/>
      </c>
      <c r="Z45" s="92">
        <f>FS_Annual!Z15</f>
        <v/>
      </c>
      <c r="AA45" s="92">
        <f>FS_Annual!AA15</f>
        <v/>
      </c>
      <c r="AB45" s="92">
        <f>FS_Annual!AB15</f>
        <v/>
      </c>
      <c r="AC45" s="92">
        <f>FS_Annual!AC15</f>
        <v/>
      </c>
      <c r="AD45" s="92">
        <f>FS_Annual!AD15</f>
        <v/>
      </c>
      <c r="AE45" s="92">
        <f>FS_Annual!AE15</f>
        <v/>
      </c>
      <c r="AF45" s="92">
        <f>FS_Annual!AF15</f>
        <v/>
      </c>
      <c r="AG45" s="92">
        <f>FS_Annual!AG15</f>
        <v/>
      </c>
      <c r="AH45" s="92">
        <f>FS_Annual!AH15</f>
        <v/>
      </c>
      <c r="AI45" s="92">
        <f>FS_Annual!AI15</f>
        <v/>
      </c>
      <c r="AJ45" s="92">
        <f>FS_Annual!AJ15</f>
        <v/>
      </c>
      <c r="AK45" s="92">
        <f>FS_Annual!AK15</f>
        <v/>
      </c>
      <c r="AL45" s="92">
        <f>FS_Annual!AL15</f>
        <v/>
      </c>
      <c r="AM45" s="92">
        <f>FS_Annual!AM15</f>
        <v/>
      </c>
      <c r="AN45" s="92">
        <f>FS_Annual!AN15</f>
        <v/>
      </c>
      <c r="AO45" s="92">
        <f>FS_Annual!AO15</f>
        <v/>
      </c>
      <c r="AP45" s="92">
        <f>FS_Annual!AP15</f>
        <v/>
      </c>
      <c r="AQ45" s="92">
        <f>FS_Annual!AQ15</f>
        <v/>
      </c>
      <c r="AR45" s="92">
        <f>FS_Annual!AR15</f>
        <v/>
      </c>
      <c r="AS45" s="92">
        <f>FS_Annual!AS15</f>
        <v/>
      </c>
      <c r="AT45" s="92">
        <f>FS_Annual!AT15</f>
        <v/>
      </c>
      <c r="AU45" s="92">
        <f>FS_Annual!AU15</f>
        <v/>
      </c>
      <c r="AV45" s="92">
        <f>FS_Annual!AV15</f>
        <v/>
      </c>
      <c r="AW45" s="92">
        <f>FS_Annual!AW15</f>
        <v/>
      </c>
      <c r="AX45" s="92">
        <f>FS_Annual!AX15</f>
        <v/>
      </c>
      <c r="AY45" s="92">
        <f>FS_Annual!AY15</f>
        <v/>
      </c>
      <c r="AZ45" s="92">
        <f>FS_Annual!AZ15</f>
        <v/>
      </c>
      <c r="BA45" s="92">
        <f>FS_Annual!BA15</f>
        <v/>
      </c>
      <c r="BB45" s="92">
        <f>FS_Annual!BB15</f>
        <v/>
      </c>
      <c r="BC45" s="92">
        <f>FS_Annual!BC15</f>
        <v/>
      </c>
      <c r="BD45" s="92">
        <f>FS_Annual!BD15</f>
        <v/>
      </c>
      <c r="BE45" s="92">
        <f>FS_Annual!BE15</f>
        <v/>
      </c>
      <c r="BF45" s="92">
        <f>FS_Annual!BF15</f>
        <v/>
      </c>
      <c r="BG45" s="92">
        <f>FS_Annual!BG15</f>
        <v/>
      </c>
      <c r="BH45" s="92">
        <f>FS_Annual!BH15</f>
        <v/>
      </c>
      <c r="BI45" s="92">
        <f>FS_Annual!BI15</f>
        <v/>
      </c>
      <c r="BJ45" s="92">
        <f>FS_Annual!BJ15</f>
        <v/>
      </c>
      <c r="BK45" s="92">
        <f>FS_Annual!BK15</f>
        <v/>
      </c>
      <c r="BL45" s="92">
        <f>FS_Annual!BL15</f>
        <v/>
      </c>
      <c r="BM45" s="92">
        <f>FS_Annual!BM15</f>
        <v/>
      </c>
      <c r="BN45" s="92">
        <f>FS_Annual!BN15</f>
        <v/>
      </c>
      <c r="BO45" s="92">
        <f>FS_Annual!BO15</f>
        <v/>
      </c>
      <c r="BP45" s="92">
        <f>FS_Annual!BP15</f>
        <v/>
      </c>
      <c r="BQ45" s="92">
        <f>FS_Annual!BQ15</f>
        <v/>
      </c>
      <c r="BR45" s="92">
        <f>FS_Annual!BR15</f>
        <v/>
      </c>
      <c r="BS45" s="92">
        <f>FS_Annual!BS15</f>
        <v/>
      </c>
      <c r="BT45" s="92">
        <f>FS_Annual!BT15</f>
        <v/>
      </c>
      <c r="BU45" s="92">
        <f>FS_Annual!BU15</f>
        <v/>
      </c>
      <c r="BV45" s="92">
        <f>FS_Annual!BV15</f>
        <v/>
      </c>
      <c r="BW45" s="92">
        <f>FS_Annual!BW15</f>
        <v/>
      </c>
      <c r="BX45" s="92">
        <f>FS_Annual!BX15</f>
        <v/>
      </c>
      <c r="BY45" s="92">
        <f>FS_Annual!BY15</f>
        <v/>
      </c>
      <c r="BZ45" s="92">
        <f>FS_Annual!BZ15</f>
        <v/>
      </c>
      <c r="CA45" s="92">
        <f>FS_Annual!CA15</f>
        <v/>
      </c>
      <c r="CB45" s="92">
        <f>FS_Annual!CB15</f>
        <v/>
      </c>
      <c r="CC45" s="92">
        <f>FS_Annual!CC15</f>
        <v/>
      </c>
      <c r="CD45" s="92">
        <f>FS_Annual!CD15+P8</f>
        <v/>
      </c>
      <c r="CE45" s="92" t="n">
        <v>0</v>
      </c>
      <c r="CF45" s="92" t="n">
        <v>0</v>
      </c>
      <c r="CG45" s="92" t="n">
        <v>0</v>
      </c>
      <c r="CH45" s="92" t="n">
        <v>0</v>
      </c>
      <c r="CI45" s="92" t="n">
        <v>0</v>
      </c>
      <c r="CJ45" s="92" t="n">
        <v>0</v>
      </c>
      <c r="CK45" s="92" t="n">
        <v>0</v>
      </c>
      <c r="CL45" s="92" t="n">
        <v>0</v>
      </c>
      <c r="CM45" s="92" t="n">
        <v>0</v>
      </c>
      <c r="CN45" s="92" t="n">
        <v>0</v>
      </c>
      <c r="CO45" s="92" t="n">
        <v>0</v>
      </c>
      <c r="CP45" s="92" t="n">
        <v>0</v>
      </c>
      <c r="CQ45" s="92" t="n">
        <v>0</v>
      </c>
      <c r="CR45" s="92" t="n">
        <v>0</v>
      </c>
      <c r="CS45" s="92" t="n">
        <v>0</v>
      </c>
      <c r="CT45" s="92" t="n">
        <v>0</v>
      </c>
      <c r="CU45" s="92" t="n">
        <v>0</v>
      </c>
      <c r="CV45" s="92" t="n">
        <v>0</v>
      </c>
      <c r="CW45" s="92" t="n">
        <v>0</v>
      </c>
      <c r="CX45" s="92" t="n">
        <v>0</v>
      </c>
      <c r="CY45" s="92" t="n">
        <v>0</v>
      </c>
      <c r="CZ45" s="92" t="n">
        <v>0</v>
      </c>
      <c r="DA45" s="92" t="n">
        <v>0</v>
      </c>
      <c r="DB45" s="92" t="n">
        <v>0</v>
      </c>
    </row>
    <row r="46">
      <c r="A46" t="inlineStr">
        <is>
          <t>Yr 14 exit — Buyer Project CF</t>
        </is>
      </c>
      <c r="C46" s="92" t="n">
        <v>0</v>
      </c>
      <c r="D46" s="92" t="n">
        <v>0</v>
      </c>
      <c r="E46" s="92" t="n">
        <v>0</v>
      </c>
      <c r="F46" s="92" t="n">
        <v>0</v>
      </c>
      <c r="G46" s="92" t="n">
        <v>0</v>
      </c>
      <c r="H46" s="92" t="n">
        <v>0</v>
      </c>
      <c r="I46" s="92" t="n">
        <v>0</v>
      </c>
      <c r="J46" s="92" t="n">
        <v>0</v>
      </c>
      <c r="K46" s="92" t="n">
        <v>0</v>
      </c>
      <c r="L46" s="92" t="n">
        <v>0</v>
      </c>
      <c r="M46" s="92" t="n">
        <v>0</v>
      </c>
      <c r="N46" s="92" t="n">
        <v>0</v>
      </c>
      <c r="O46" s="92" t="n">
        <v>0</v>
      </c>
      <c r="P46" s="92" t="n">
        <v>0</v>
      </c>
      <c r="Q46" s="92" t="n">
        <v>0</v>
      </c>
      <c r="R46" s="92" t="n">
        <v>0</v>
      </c>
      <c r="S46" s="92" t="n">
        <v>0</v>
      </c>
      <c r="T46" s="92" t="n">
        <v>0</v>
      </c>
      <c r="U46" s="92" t="n">
        <v>0</v>
      </c>
      <c r="V46" s="92" t="n">
        <v>0</v>
      </c>
      <c r="W46" s="92" t="n">
        <v>0</v>
      </c>
      <c r="X46" s="92" t="n">
        <v>0</v>
      </c>
      <c r="Y46" s="92" t="n">
        <v>0</v>
      </c>
      <c r="Z46" s="92" t="n">
        <v>0</v>
      </c>
      <c r="AA46" s="92" t="n">
        <v>0</v>
      </c>
      <c r="AB46" s="92" t="n">
        <v>0</v>
      </c>
      <c r="AC46" s="92" t="n">
        <v>0</v>
      </c>
      <c r="AD46" s="92" t="n">
        <v>0</v>
      </c>
      <c r="AE46" s="92" t="n">
        <v>0</v>
      </c>
      <c r="AF46" s="92" t="n">
        <v>0</v>
      </c>
      <c r="AG46" s="92" t="n">
        <v>0</v>
      </c>
      <c r="AH46" s="92" t="n">
        <v>0</v>
      </c>
      <c r="AI46" s="92" t="n">
        <v>0</v>
      </c>
      <c r="AJ46" s="92" t="n">
        <v>0</v>
      </c>
      <c r="AK46" s="92" t="n">
        <v>0</v>
      </c>
      <c r="AL46" s="92" t="n">
        <v>0</v>
      </c>
      <c r="AM46" s="92" t="n">
        <v>0</v>
      </c>
      <c r="AN46" s="92" t="n">
        <v>0</v>
      </c>
      <c r="AO46" s="92" t="n">
        <v>0</v>
      </c>
      <c r="AP46" s="92" t="n">
        <v>0</v>
      </c>
      <c r="AQ46" s="92" t="n">
        <v>0</v>
      </c>
      <c r="AR46" s="92" t="n">
        <v>0</v>
      </c>
      <c r="AS46" s="92" t="n">
        <v>0</v>
      </c>
      <c r="AT46" s="92" t="n">
        <v>0</v>
      </c>
      <c r="AU46" s="92" t="n">
        <v>0</v>
      </c>
      <c r="AV46" s="92" t="n">
        <v>0</v>
      </c>
      <c r="AW46" s="92" t="n">
        <v>0</v>
      </c>
      <c r="AX46" s="92" t="n">
        <v>0</v>
      </c>
      <c r="AY46" s="92" t="n">
        <v>0</v>
      </c>
      <c r="AZ46" s="92" t="n">
        <v>0</v>
      </c>
      <c r="BA46" s="92" t="n">
        <v>0</v>
      </c>
      <c r="BB46" s="92" t="n">
        <v>0</v>
      </c>
      <c r="BC46" s="92" t="n">
        <v>0</v>
      </c>
      <c r="BD46" s="92" t="n">
        <v>0</v>
      </c>
      <c r="BE46" s="92" t="n">
        <v>0</v>
      </c>
      <c r="BF46" s="92" t="n">
        <v>0</v>
      </c>
      <c r="BG46" s="92" t="n">
        <v>0</v>
      </c>
      <c r="BH46" s="92" t="n">
        <v>0</v>
      </c>
      <c r="BI46" s="92" t="n">
        <v>0</v>
      </c>
      <c r="BJ46" s="92" t="n">
        <v>0</v>
      </c>
      <c r="BK46" s="92" t="n">
        <v>0</v>
      </c>
      <c r="BL46" s="92" t="n">
        <v>0</v>
      </c>
      <c r="BM46" s="92" t="n">
        <v>0</v>
      </c>
      <c r="BN46" s="92" t="n">
        <v>0</v>
      </c>
      <c r="BO46" s="92" t="n">
        <v>0</v>
      </c>
      <c r="BP46" s="92" t="n">
        <v>0</v>
      </c>
      <c r="BQ46" s="92" t="n">
        <v>0</v>
      </c>
      <c r="BR46" s="92" t="n">
        <v>0</v>
      </c>
      <c r="BS46" s="92" t="n">
        <v>0</v>
      </c>
      <c r="BT46" s="92" t="n">
        <v>0</v>
      </c>
      <c r="BU46" s="92" t="n">
        <v>0</v>
      </c>
      <c r="BV46" s="92" t="n">
        <v>0</v>
      </c>
      <c r="BW46" s="92" t="n">
        <v>0</v>
      </c>
      <c r="BX46" s="92" t="n">
        <v>0</v>
      </c>
      <c r="BY46" s="92" t="n">
        <v>0</v>
      </c>
      <c r="BZ46" s="92" t="n">
        <v>0</v>
      </c>
      <c r="CA46" s="92" t="n">
        <v>0</v>
      </c>
      <c r="CB46" s="92" t="n">
        <v>0</v>
      </c>
      <c r="CC46" s="92" t="n">
        <v>0</v>
      </c>
      <c r="CD46" s="92">
        <f>-P10</f>
        <v/>
      </c>
      <c r="CE46" s="92">
        <f>FS_Annual!CE14</f>
        <v/>
      </c>
      <c r="CF46" s="92">
        <f>FS_Annual!CF14</f>
        <v/>
      </c>
      <c r="CG46" s="92">
        <f>FS_Annual!CG14</f>
        <v/>
      </c>
      <c r="CH46" s="92">
        <f>FS_Annual!CH14</f>
        <v/>
      </c>
      <c r="CI46" s="92">
        <f>FS_Annual!CI14</f>
        <v/>
      </c>
      <c r="CJ46" s="92">
        <f>FS_Annual!CJ14</f>
        <v/>
      </c>
      <c r="CK46" s="92">
        <f>FS_Annual!CK14</f>
        <v/>
      </c>
      <c r="CL46" s="92">
        <f>FS_Annual!CL14</f>
        <v/>
      </c>
      <c r="CM46" s="92">
        <f>FS_Annual!CM14</f>
        <v/>
      </c>
      <c r="CN46" s="92">
        <f>FS_Annual!CN14</f>
        <v/>
      </c>
      <c r="CO46" s="92">
        <f>FS_Annual!CO14</f>
        <v/>
      </c>
      <c r="CP46" s="92">
        <f>FS_Annual!CP14</f>
        <v/>
      </c>
      <c r="CQ46" s="92">
        <f>FS_Annual!CQ14</f>
        <v/>
      </c>
      <c r="CR46" s="92">
        <f>FS_Annual!CR14</f>
        <v/>
      </c>
      <c r="CS46" s="92">
        <f>FS_Annual!CS14</f>
        <v/>
      </c>
      <c r="CT46" s="92">
        <f>FS_Annual!CT14</f>
        <v/>
      </c>
      <c r="CU46" s="92">
        <f>FS_Annual!CU14</f>
        <v/>
      </c>
      <c r="CV46" s="92">
        <f>FS_Annual!CV14</f>
        <v/>
      </c>
      <c r="CW46" s="92">
        <f>FS_Annual!CW14</f>
        <v/>
      </c>
      <c r="CX46" s="92">
        <f>FS_Annual!CX14</f>
        <v/>
      </c>
      <c r="CY46" s="92">
        <f>FS_Annual!CY14</f>
        <v/>
      </c>
      <c r="CZ46" s="92">
        <f>FS_Annual!CZ14</f>
        <v/>
      </c>
      <c r="DA46" s="92">
        <f>FS_Annual!DA14</f>
        <v/>
      </c>
      <c r="DB46" s="92">
        <f>FS_Annual!DB14</f>
        <v/>
      </c>
    </row>
    <row r="47">
      <c r="A47" t="inlineStr">
        <is>
          <t>Yr 15 exit — Seller Equity CF</t>
        </is>
      </c>
      <c r="C47" s="92">
        <f>FS_Annual!C15</f>
        <v/>
      </c>
      <c r="D47" s="92">
        <f>FS_Annual!D15</f>
        <v/>
      </c>
      <c r="E47" s="92">
        <f>FS_Annual!E15</f>
        <v/>
      </c>
      <c r="F47" s="92">
        <f>FS_Annual!F15</f>
        <v/>
      </c>
      <c r="G47" s="92">
        <f>FS_Annual!G15</f>
        <v/>
      </c>
      <c r="H47" s="92">
        <f>FS_Annual!H15</f>
        <v/>
      </c>
      <c r="I47" s="92">
        <f>FS_Annual!I15</f>
        <v/>
      </c>
      <c r="J47" s="92">
        <f>FS_Annual!J15</f>
        <v/>
      </c>
      <c r="K47" s="92">
        <f>FS_Annual!K15</f>
        <v/>
      </c>
      <c r="L47" s="92">
        <f>FS_Annual!L15</f>
        <v/>
      </c>
      <c r="M47" s="92">
        <f>FS_Annual!M15</f>
        <v/>
      </c>
      <c r="N47" s="92">
        <f>FS_Annual!N15</f>
        <v/>
      </c>
      <c r="O47" s="92">
        <f>FS_Annual!O15</f>
        <v/>
      </c>
      <c r="P47" s="92">
        <f>FS_Annual!P15</f>
        <v/>
      </c>
      <c r="Q47" s="92">
        <f>FS_Annual!Q15</f>
        <v/>
      </c>
      <c r="R47" s="92">
        <f>FS_Annual!R15</f>
        <v/>
      </c>
      <c r="S47" s="92">
        <f>FS_Annual!S15</f>
        <v/>
      </c>
      <c r="T47" s="92">
        <f>FS_Annual!T15</f>
        <v/>
      </c>
      <c r="U47" s="92">
        <f>FS_Annual!U15</f>
        <v/>
      </c>
      <c r="V47" s="92">
        <f>FS_Annual!V15</f>
        <v/>
      </c>
      <c r="W47" s="92">
        <f>FS_Annual!W15</f>
        <v/>
      </c>
      <c r="X47" s="92">
        <f>FS_Annual!X15</f>
        <v/>
      </c>
      <c r="Y47" s="92">
        <f>FS_Annual!Y15</f>
        <v/>
      </c>
      <c r="Z47" s="92">
        <f>FS_Annual!Z15</f>
        <v/>
      </c>
      <c r="AA47" s="92">
        <f>FS_Annual!AA15</f>
        <v/>
      </c>
      <c r="AB47" s="92">
        <f>FS_Annual!AB15</f>
        <v/>
      </c>
      <c r="AC47" s="92">
        <f>FS_Annual!AC15</f>
        <v/>
      </c>
      <c r="AD47" s="92">
        <f>FS_Annual!AD15</f>
        <v/>
      </c>
      <c r="AE47" s="92">
        <f>FS_Annual!AE15</f>
        <v/>
      </c>
      <c r="AF47" s="92">
        <f>FS_Annual!AF15</f>
        <v/>
      </c>
      <c r="AG47" s="92">
        <f>FS_Annual!AG15</f>
        <v/>
      </c>
      <c r="AH47" s="92">
        <f>FS_Annual!AH15</f>
        <v/>
      </c>
      <c r="AI47" s="92">
        <f>FS_Annual!AI15</f>
        <v/>
      </c>
      <c r="AJ47" s="92">
        <f>FS_Annual!AJ15</f>
        <v/>
      </c>
      <c r="AK47" s="92">
        <f>FS_Annual!AK15</f>
        <v/>
      </c>
      <c r="AL47" s="92">
        <f>FS_Annual!AL15</f>
        <v/>
      </c>
      <c r="AM47" s="92">
        <f>FS_Annual!AM15</f>
        <v/>
      </c>
      <c r="AN47" s="92">
        <f>FS_Annual!AN15</f>
        <v/>
      </c>
      <c r="AO47" s="92">
        <f>FS_Annual!AO15</f>
        <v/>
      </c>
      <c r="AP47" s="92">
        <f>FS_Annual!AP15</f>
        <v/>
      </c>
      <c r="AQ47" s="92">
        <f>FS_Annual!AQ15</f>
        <v/>
      </c>
      <c r="AR47" s="92">
        <f>FS_Annual!AR15</f>
        <v/>
      </c>
      <c r="AS47" s="92">
        <f>FS_Annual!AS15</f>
        <v/>
      </c>
      <c r="AT47" s="92">
        <f>FS_Annual!AT15</f>
        <v/>
      </c>
      <c r="AU47" s="92">
        <f>FS_Annual!AU15</f>
        <v/>
      </c>
      <c r="AV47" s="92">
        <f>FS_Annual!AV15</f>
        <v/>
      </c>
      <c r="AW47" s="92">
        <f>FS_Annual!AW15</f>
        <v/>
      </c>
      <c r="AX47" s="92">
        <f>FS_Annual!AX15</f>
        <v/>
      </c>
      <c r="AY47" s="92">
        <f>FS_Annual!AY15</f>
        <v/>
      </c>
      <c r="AZ47" s="92">
        <f>FS_Annual!AZ15</f>
        <v/>
      </c>
      <c r="BA47" s="92">
        <f>FS_Annual!BA15</f>
        <v/>
      </c>
      <c r="BB47" s="92">
        <f>FS_Annual!BB15</f>
        <v/>
      </c>
      <c r="BC47" s="92">
        <f>FS_Annual!BC15</f>
        <v/>
      </c>
      <c r="BD47" s="92">
        <f>FS_Annual!BD15</f>
        <v/>
      </c>
      <c r="BE47" s="92">
        <f>FS_Annual!BE15</f>
        <v/>
      </c>
      <c r="BF47" s="92">
        <f>FS_Annual!BF15</f>
        <v/>
      </c>
      <c r="BG47" s="92">
        <f>FS_Annual!BG15</f>
        <v/>
      </c>
      <c r="BH47" s="92">
        <f>FS_Annual!BH15</f>
        <v/>
      </c>
      <c r="BI47" s="92">
        <f>FS_Annual!BI15</f>
        <v/>
      </c>
      <c r="BJ47" s="92">
        <f>FS_Annual!BJ15</f>
        <v/>
      </c>
      <c r="BK47" s="92">
        <f>FS_Annual!BK15</f>
        <v/>
      </c>
      <c r="BL47" s="92">
        <f>FS_Annual!BL15</f>
        <v/>
      </c>
      <c r="BM47" s="92">
        <f>FS_Annual!BM15</f>
        <v/>
      </c>
      <c r="BN47" s="92">
        <f>FS_Annual!BN15</f>
        <v/>
      </c>
      <c r="BO47" s="92">
        <f>FS_Annual!BO15</f>
        <v/>
      </c>
      <c r="BP47" s="92">
        <f>FS_Annual!BP15</f>
        <v/>
      </c>
      <c r="BQ47" s="92">
        <f>FS_Annual!BQ15</f>
        <v/>
      </c>
      <c r="BR47" s="92">
        <f>FS_Annual!BR15</f>
        <v/>
      </c>
      <c r="BS47" s="92">
        <f>FS_Annual!BS15</f>
        <v/>
      </c>
      <c r="BT47" s="92">
        <f>FS_Annual!BT15</f>
        <v/>
      </c>
      <c r="BU47" s="92">
        <f>FS_Annual!BU15</f>
        <v/>
      </c>
      <c r="BV47" s="92">
        <f>FS_Annual!BV15</f>
        <v/>
      </c>
      <c r="BW47" s="92">
        <f>FS_Annual!BW15</f>
        <v/>
      </c>
      <c r="BX47" s="92">
        <f>FS_Annual!BX15</f>
        <v/>
      </c>
      <c r="BY47" s="92">
        <f>FS_Annual!BY15</f>
        <v/>
      </c>
      <c r="BZ47" s="92">
        <f>FS_Annual!BZ15</f>
        <v/>
      </c>
      <c r="CA47" s="92">
        <f>FS_Annual!CA15</f>
        <v/>
      </c>
      <c r="CB47" s="92">
        <f>FS_Annual!CB15</f>
        <v/>
      </c>
      <c r="CC47" s="92">
        <f>FS_Annual!CC15</f>
        <v/>
      </c>
      <c r="CD47" s="92">
        <f>FS_Annual!CD15</f>
        <v/>
      </c>
      <c r="CE47" s="92">
        <f>FS_Annual!CE15</f>
        <v/>
      </c>
      <c r="CF47" s="92">
        <f>FS_Annual!CF15</f>
        <v/>
      </c>
      <c r="CG47" s="92">
        <f>FS_Annual!CG15</f>
        <v/>
      </c>
      <c r="CH47" s="92">
        <f>FS_Annual!CH15+Q8</f>
        <v/>
      </c>
      <c r="CI47" s="92" t="n">
        <v>0</v>
      </c>
      <c r="CJ47" s="92" t="n">
        <v>0</v>
      </c>
      <c r="CK47" s="92" t="n">
        <v>0</v>
      </c>
      <c r="CL47" s="92" t="n">
        <v>0</v>
      </c>
      <c r="CM47" s="92" t="n">
        <v>0</v>
      </c>
      <c r="CN47" s="92" t="n">
        <v>0</v>
      </c>
      <c r="CO47" s="92" t="n">
        <v>0</v>
      </c>
      <c r="CP47" s="92" t="n">
        <v>0</v>
      </c>
      <c r="CQ47" s="92" t="n">
        <v>0</v>
      </c>
      <c r="CR47" s="92" t="n">
        <v>0</v>
      </c>
      <c r="CS47" s="92" t="n">
        <v>0</v>
      </c>
      <c r="CT47" s="92" t="n">
        <v>0</v>
      </c>
      <c r="CU47" s="92" t="n">
        <v>0</v>
      </c>
      <c r="CV47" s="92" t="n">
        <v>0</v>
      </c>
      <c r="CW47" s="92" t="n">
        <v>0</v>
      </c>
      <c r="CX47" s="92" t="n">
        <v>0</v>
      </c>
      <c r="CY47" s="92" t="n">
        <v>0</v>
      </c>
      <c r="CZ47" s="92" t="n">
        <v>0</v>
      </c>
      <c r="DA47" s="92" t="n">
        <v>0</v>
      </c>
      <c r="DB47" s="92" t="n">
        <v>0</v>
      </c>
    </row>
    <row r="48">
      <c r="A48" t="inlineStr">
        <is>
          <t>Yr 15 exit — Buyer Project CF</t>
        </is>
      </c>
      <c r="C48" s="92" t="n">
        <v>0</v>
      </c>
      <c r="D48" s="92" t="n">
        <v>0</v>
      </c>
      <c r="E48" s="92" t="n">
        <v>0</v>
      </c>
      <c r="F48" s="92" t="n">
        <v>0</v>
      </c>
      <c r="G48" s="92" t="n">
        <v>0</v>
      </c>
      <c r="H48" s="92" t="n">
        <v>0</v>
      </c>
      <c r="I48" s="92" t="n">
        <v>0</v>
      </c>
      <c r="J48" s="92" t="n">
        <v>0</v>
      </c>
      <c r="K48" s="92" t="n">
        <v>0</v>
      </c>
      <c r="L48" s="92" t="n">
        <v>0</v>
      </c>
      <c r="M48" s="92" t="n">
        <v>0</v>
      </c>
      <c r="N48" s="92" t="n">
        <v>0</v>
      </c>
      <c r="O48" s="92" t="n">
        <v>0</v>
      </c>
      <c r="P48" s="92" t="n">
        <v>0</v>
      </c>
      <c r="Q48" s="92" t="n">
        <v>0</v>
      </c>
      <c r="R48" s="92" t="n">
        <v>0</v>
      </c>
      <c r="S48" s="92" t="n">
        <v>0</v>
      </c>
      <c r="T48" s="92" t="n">
        <v>0</v>
      </c>
      <c r="U48" s="92" t="n">
        <v>0</v>
      </c>
      <c r="V48" s="92" t="n">
        <v>0</v>
      </c>
      <c r="W48" s="92" t="n">
        <v>0</v>
      </c>
      <c r="X48" s="92" t="n">
        <v>0</v>
      </c>
      <c r="Y48" s="92" t="n">
        <v>0</v>
      </c>
      <c r="Z48" s="92" t="n">
        <v>0</v>
      </c>
      <c r="AA48" s="92" t="n">
        <v>0</v>
      </c>
      <c r="AB48" s="92" t="n">
        <v>0</v>
      </c>
      <c r="AC48" s="92" t="n">
        <v>0</v>
      </c>
      <c r="AD48" s="92" t="n">
        <v>0</v>
      </c>
      <c r="AE48" s="92" t="n">
        <v>0</v>
      </c>
      <c r="AF48" s="92" t="n">
        <v>0</v>
      </c>
      <c r="AG48" s="92" t="n">
        <v>0</v>
      </c>
      <c r="AH48" s="92" t="n">
        <v>0</v>
      </c>
      <c r="AI48" s="92" t="n">
        <v>0</v>
      </c>
      <c r="AJ48" s="92" t="n">
        <v>0</v>
      </c>
      <c r="AK48" s="92" t="n">
        <v>0</v>
      </c>
      <c r="AL48" s="92" t="n">
        <v>0</v>
      </c>
      <c r="AM48" s="92" t="n">
        <v>0</v>
      </c>
      <c r="AN48" s="92" t="n">
        <v>0</v>
      </c>
      <c r="AO48" s="92" t="n">
        <v>0</v>
      </c>
      <c r="AP48" s="92" t="n">
        <v>0</v>
      </c>
      <c r="AQ48" s="92" t="n">
        <v>0</v>
      </c>
      <c r="AR48" s="92" t="n">
        <v>0</v>
      </c>
      <c r="AS48" s="92" t="n">
        <v>0</v>
      </c>
      <c r="AT48" s="92" t="n">
        <v>0</v>
      </c>
      <c r="AU48" s="92" t="n">
        <v>0</v>
      </c>
      <c r="AV48" s="92" t="n">
        <v>0</v>
      </c>
      <c r="AW48" s="92" t="n">
        <v>0</v>
      </c>
      <c r="AX48" s="92" t="n">
        <v>0</v>
      </c>
      <c r="AY48" s="92" t="n">
        <v>0</v>
      </c>
      <c r="AZ48" s="92" t="n">
        <v>0</v>
      </c>
      <c r="BA48" s="92" t="n">
        <v>0</v>
      </c>
      <c r="BB48" s="92" t="n">
        <v>0</v>
      </c>
      <c r="BC48" s="92" t="n">
        <v>0</v>
      </c>
      <c r="BD48" s="92" t="n">
        <v>0</v>
      </c>
      <c r="BE48" s="92" t="n">
        <v>0</v>
      </c>
      <c r="BF48" s="92" t="n">
        <v>0</v>
      </c>
      <c r="BG48" s="92" t="n">
        <v>0</v>
      </c>
      <c r="BH48" s="92" t="n">
        <v>0</v>
      </c>
      <c r="BI48" s="92" t="n">
        <v>0</v>
      </c>
      <c r="BJ48" s="92" t="n">
        <v>0</v>
      </c>
      <c r="BK48" s="92" t="n">
        <v>0</v>
      </c>
      <c r="BL48" s="92" t="n">
        <v>0</v>
      </c>
      <c r="BM48" s="92" t="n">
        <v>0</v>
      </c>
      <c r="BN48" s="92" t="n">
        <v>0</v>
      </c>
      <c r="BO48" s="92" t="n">
        <v>0</v>
      </c>
      <c r="BP48" s="92" t="n">
        <v>0</v>
      </c>
      <c r="BQ48" s="92" t="n">
        <v>0</v>
      </c>
      <c r="BR48" s="92" t="n">
        <v>0</v>
      </c>
      <c r="BS48" s="92" t="n">
        <v>0</v>
      </c>
      <c r="BT48" s="92" t="n">
        <v>0</v>
      </c>
      <c r="BU48" s="92" t="n">
        <v>0</v>
      </c>
      <c r="BV48" s="92" t="n">
        <v>0</v>
      </c>
      <c r="BW48" s="92" t="n">
        <v>0</v>
      </c>
      <c r="BX48" s="92" t="n">
        <v>0</v>
      </c>
      <c r="BY48" s="92" t="n">
        <v>0</v>
      </c>
      <c r="BZ48" s="92" t="n">
        <v>0</v>
      </c>
      <c r="CA48" s="92" t="n">
        <v>0</v>
      </c>
      <c r="CB48" s="92" t="n">
        <v>0</v>
      </c>
      <c r="CC48" s="92" t="n">
        <v>0</v>
      </c>
      <c r="CD48" s="92" t="n">
        <v>0</v>
      </c>
      <c r="CE48" s="92" t="n">
        <v>0</v>
      </c>
      <c r="CF48" s="92" t="n">
        <v>0</v>
      </c>
      <c r="CG48" s="92" t="n">
        <v>0</v>
      </c>
      <c r="CH48" s="92">
        <f>-Q10</f>
        <v/>
      </c>
      <c r="CI48" s="92">
        <f>FS_Annual!CI14</f>
        <v/>
      </c>
      <c r="CJ48" s="92">
        <f>FS_Annual!CJ14</f>
        <v/>
      </c>
      <c r="CK48" s="92">
        <f>FS_Annual!CK14</f>
        <v/>
      </c>
      <c r="CL48" s="92">
        <f>FS_Annual!CL14</f>
        <v/>
      </c>
      <c r="CM48" s="92">
        <f>FS_Annual!CM14</f>
        <v/>
      </c>
      <c r="CN48" s="92">
        <f>FS_Annual!CN14</f>
        <v/>
      </c>
      <c r="CO48" s="92">
        <f>FS_Annual!CO14</f>
        <v/>
      </c>
      <c r="CP48" s="92">
        <f>FS_Annual!CP14</f>
        <v/>
      </c>
      <c r="CQ48" s="92">
        <f>FS_Annual!CQ14</f>
        <v/>
      </c>
      <c r="CR48" s="92">
        <f>FS_Annual!CR14</f>
        <v/>
      </c>
      <c r="CS48" s="92">
        <f>FS_Annual!CS14</f>
        <v/>
      </c>
      <c r="CT48" s="92">
        <f>FS_Annual!CT14</f>
        <v/>
      </c>
      <c r="CU48" s="92">
        <f>FS_Annual!CU14</f>
        <v/>
      </c>
      <c r="CV48" s="92">
        <f>FS_Annual!CV14</f>
        <v/>
      </c>
      <c r="CW48" s="92">
        <f>FS_Annual!CW14</f>
        <v/>
      </c>
      <c r="CX48" s="92">
        <f>FS_Annual!CX14</f>
        <v/>
      </c>
      <c r="CY48" s="92">
        <f>FS_Annual!CY14</f>
        <v/>
      </c>
      <c r="CZ48" s="92">
        <f>FS_Annual!CZ14</f>
        <v/>
      </c>
      <c r="DA48" s="92">
        <f>FS_Annual!DA14</f>
        <v/>
      </c>
      <c r="DB48" s="92">
        <f>FS_Annual!DB14</f>
        <v/>
      </c>
    </row>
    <row r="49">
      <c r="A49" t="inlineStr">
        <is>
          <t>Yr 16 exit — Seller Equity CF</t>
        </is>
      </c>
      <c r="C49" s="92">
        <f>FS_Annual!C15</f>
        <v/>
      </c>
      <c r="D49" s="92">
        <f>FS_Annual!D15</f>
        <v/>
      </c>
      <c r="E49" s="92">
        <f>FS_Annual!E15</f>
        <v/>
      </c>
      <c r="F49" s="92">
        <f>FS_Annual!F15</f>
        <v/>
      </c>
      <c r="G49" s="92">
        <f>FS_Annual!G15</f>
        <v/>
      </c>
      <c r="H49" s="92">
        <f>FS_Annual!H15</f>
        <v/>
      </c>
      <c r="I49" s="92">
        <f>FS_Annual!I15</f>
        <v/>
      </c>
      <c r="J49" s="92">
        <f>FS_Annual!J15</f>
        <v/>
      </c>
      <c r="K49" s="92">
        <f>FS_Annual!K15</f>
        <v/>
      </c>
      <c r="L49" s="92">
        <f>FS_Annual!L15</f>
        <v/>
      </c>
      <c r="M49" s="92">
        <f>FS_Annual!M15</f>
        <v/>
      </c>
      <c r="N49" s="92">
        <f>FS_Annual!N15</f>
        <v/>
      </c>
      <c r="O49" s="92">
        <f>FS_Annual!O15</f>
        <v/>
      </c>
      <c r="P49" s="92">
        <f>FS_Annual!P15</f>
        <v/>
      </c>
      <c r="Q49" s="92">
        <f>FS_Annual!Q15</f>
        <v/>
      </c>
      <c r="R49" s="92">
        <f>FS_Annual!R15</f>
        <v/>
      </c>
      <c r="S49" s="92">
        <f>FS_Annual!S15</f>
        <v/>
      </c>
      <c r="T49" s="92">
        <f>FS_Annual!T15</f>
        <v/>
      </c>
      <c r="U49" s="92">
        <f>FS_Annual!U15</f>
        <v/>
      </c>
      <c r="V49" s="92">
        <f>FS_Annual!V15</f>
        <v/>
      </c>
      <c r="W49" s="92">
        <f>FS_Annual!W15</f>
        <v/>
      </c>
      <c r="X49" s="92">
        <f>FS_Annual!X15</f>
        <v/>
      </c>
      <c r="Y49" s="92">
        <f>FS_Annual!Y15</f>
        <v/>
      </c>
      <c r="Z49" s="92">
        <f>FS_Annual!Z15</f>
        <v/>
      </c>
      <c r="AA49" s="92">
        <f>FS_Annual!AA15</f>
        <v/>
      </c>
      <c r="AB49" s="92">
        <f>FS_Annual!AB15</f>
        <v/>
      </c>
      <c r="AC49" s="92">
        <f>FS_Annual!AC15</f>
        <v/>
      </c>
      <c r="AD49" s="92">
        <f>FS_Annual!AD15</f>
        <v/>
      </c>
      <c r="AE49" s="92">
        <f>FS_Annual!AE15</f>
        <v/>
      </c>
      <c r="AF49" s="92">
        <f>FS_Annual!AF15</f>
        <v/>
      </c>
      <c r="AG49" s="92">
        <f>FS_Annual!AG15</f>
        <v/>
      </c>
      <c r="AH49" s="92">
        <f>FS_Annual!AH15</f>
        <v/>
      </c>
      <c r="AI49" s="92">
        <f>FS_Annual!AI15</f>
        <v/>
      </c>
      <c r="AJ49" s="92">
        <f>FS_Annual!AJ15</f>
        <v/>
      </c>
      <c r="AK49" s="92">
        <f>FS_Annual!AK15</f>
        <v/>
      </c>
      <c r="AL49" s="92">
        <f>FS_Annual!AL15</f>
        <v/>
      </c>
      <c r="AM49" s="92">
        <f>FS_Annual!AM15</f>
        <v/>
      </c>
      <c r="AN49" s="92">
        <f>FS_Annual!AN15</f>
        <v/>
      </c>
      <c r="AO49" s="92">
        <f>FS_Annual!AO15</f>
        <v/>
      </c>
      <c r="AP49" s="92">
        <f>FS_Annual!AP15</f>
        <v/>
      </c>
      <c r="AQ49" s="92">
        <f>FS_Annual!AQ15</f>
        <v/>
      </c>
      <c r="AR49" s="92">
        <f>FS_Annual!AR15</f>
        <v/>
      </c>
      <c r="AS49" s="92">
        <f>FS_Annual!AS15</f>
        <v/>
      </c>
      <c r="AT49" s="92">
        <f>FS_Annual!AT15</f>
        <v/>
      </c>
      <c r="AU49" s="92">
        <f>FS_Annual!AU15</f>
        <v/>
      </c>
      <c r="AV49" s="92">
        <f>FS_Annual!AV15</f>
        <v/>
      </c>
      <c r="AW49" s="92">
        <f>FS_Annual!AW15</f>
        <v/>
      </c>
      <c r="AX49" s="92">
        <f>FS_Annual!AX15</f>
        <v/>
      </c>
      <c r="AY49" s="92">
        <f>FS_Annual!AY15</f>
        <v/>
      </c>
      <c r="AZ49" s="92">
        <f>FS_Annual!AZ15</f>
        <v/>
      </c>
      <c r="BA49" s="92">
        <f>FS_Annual!BA15</f>
        <v/>
      </c>
      <c r="BB49" s="92">
        <f>FS_Annual!BB15</f>
        <v/>
      </c>
      <c r="BC49" s="92">
        <f>FS_Annual!BC15</f>
        <v/>
      </c>
      <c r="BD49" s="92">
        <f>FS_Annual!BD15</f>
        <v/>
      </c>
      <c r="BE49" s="92">
        <f>FS_Annual!BE15</f>
        <v/>
      </c>
      <c r="BF49" s="92">
        <f>FS_Annual!BF15</f>
        <v/>
      </c>
      <c r="BG49" s="92">
        <f>FS_Annual!BG15</f>
        <v/>
      </c>
      <c r="BH49" s="92">
        <f>FS_Annual!BH15</f>
        <v/>
      </c>
      <c r="BI49" s="92">
        <f>FS_Annual!BI15</f>
        <v/>
      </c>
      <c r="BJ49" s="92">
        <f>FS_Annual!BJ15</f>
        <v/>
      </c>
      <c r="BK49" s="92">
        <f>FS_Annual!BK15</f>
        <v/>
      </c>
      <c r="BL49" s="92">
        <f>FS_Annual!BL15</f>
        <v/>
      </c>
      <c r="BM49" s="92">
        <f>FS_Annual!BM15</f>
        <v/>
      </c>
      <c r="BN49" s="92">
        <f>FS_Annual!BN15</f>
        <v/>
      </c>
      <c r="BO49" s="92">
        <f>FS_Annual!BO15</f>
        <v/>
      </c>
      <c r="BP49" s="92">
        <f>FS_Annual!BP15</f>
        <v/>
      </c>
      <c r="BQ49" s="92">
        <f>FS_Annual!BQ15</f>
        <v/>
      </c>
      <c r="BR49" s="92">
        <f>FS_Annual!BR15</f>
        <v/>
      </c>
      <c r="BS49" s="92">
        <f>FS_Annual!BS15</f>
        <v/>
      </c>
      <c r="BT49" s="92">
        <f>FS_Annual!BT15</f>
        <v/>
      </c>
      <c r="BU49" s="92">
        <f>FS_Annual!BU15</f>
        <v/>
      </c>
      <c r="BV49" s="92">
        <f>FS_Annual!BV15</f>
        <v/>
      </c>
      <c r="BW49" s="92">
        <f>FS_Annual!BW15</f>
        <v/>
      </c>
      <c r="BX49" s="92">
        <f>FS_Annual!BX15</f>
        <v/>
      </c>
      <c r="BY49" s="92">
        <f>FS_Annual!BY15</f>
        <v/>
      </c>
      <c r="BZ49" s="92">
        <f>FS_Annual!BZ15</f>
        <v/>
      </c>
      <c r="CA49" s="92">
        <f>FS_Annual!CA15</f>
        <v/>
      </c>
      <c r="CB49" s="92">
        <f>FS_Annual!CB15</f>
        <v/>
      </c>
      <c r="CC49" s="92">
        <f>FS_Annual!CC15</f>
        <v/>
      </c>
      <c r="CD49" s="92">
        <f>FS_Annual!CD15</f>
        <v/>
      </c>
      <c r="CE49" s="92">
        <f>FS_Annual!CE15</f>
        <v/>
      </c>
      <c r="CF49" s="92">
        <f>FS_Annual!CF15</f>
        <v/>
      </c>
      <c r="CG49" s="92">
        <f>FS_Annual!CG15</f>
        <v/>
      </c>
      <c r="CH49" s="92">
        <f>FS_Annual!CH15</f>
        <v/>
      </c>
      <c r="CI49" s="92">
        <f>FS_Annual!CI15</f>
        <v/>
      </c>
      <c r="CJ49" s="92">
        <f>FS_Annual!CJ15</f>
        <v/>
      </c>
      <c r="CK49" s="92">
        <f>FS_Annual!CK15</f>
        <v/>
      </c>
      <c r="CL49" s="92">
        <f>FS_Annual!CL15+R8</f>
        <v/>
      </c>
      <c r="CM49" s="92" t="n">
        <v>0</v>
      </c>
      <c r="CN49" s="92" t="n">
        <v>0</v>
      </c>
      <c r="CO49" s="92" t="n">
        <v>0</v>
      </c>
      <c r="CP49" s="92" t="n">
        <v>0</v>
      </c>
      <c r="CQ49" s="92" t="n">
        <v>0</v>
      </c>
      <c r="CR49" s="92" t="n">
        <v>0</v>
      </c>
      <c r="CS49" s="92" t="n">
        <v>0</v>
      </c>
      <c r="CT49" s="92" t="n">
        <v>0</v>
      </c>
      <c r="CU49" s="92" t="n">
        <v>0</v>
      </c>
      <c r="CV49" s="92" t="n">
        <v>0</v>
      </c>
      <c r="CW49" s="92" t="n">
        <v>0</v>
      </c>
      <c r="CX49" s="92" t="n">
        <v>0</v>
      </c>
      <c r="CY49" s="92" t="n">
        <v>0</v>
      </c>
      <c r="CZ49" s="92" t="n">
        <v>0</v>
      </c>
      <c r="DA49" s="92" t="n">
        <v>0</v>
      </c>
      <c r="DB49" s="92" t="n">
        <v>0</v>
      </c>
    </row>
    <row r="50">
      <c r="A50" t="inlineStr">
        <is>
          <t>Yr 16 exit — Buyer Project CF</t>
        </is>
      </c>
      <c r="C50" s="92" t="n">
        <v>0</v>
      </c>
      <c r="D50" s="92" t="n">
        <v>0</v>
      </c>
      <c r="E50" s="92" t="n">
        <v>0</v>
      </c>
      <c r="F50" s="92" t="n">
        <v>0</v>
      </c>
      <c r="G50" s="92" t="n">
        <v>0</v>
      </c>
      <c r="H50" s="92" t="n">
        <v>0</v>
      </c>
      <c r="I50" s="92" t="n">
        <v>0</v>
      </c>
      <c r="J50" s="92" t="n">
        <v>0</v>
      </c>
      <c r="K50" s="92" t="n">
        <v>0</v>
      </c>
      <c r="L50" s="92" t="n">
        <v>0</v>
      </c>
      <c r="M50" s="92" t="n">
        <v>0</v>
      </c>
      <c r="N50" s="92" t="n">
        <v>0</v>
      </c>
      <c r="O50" s="92" t="n">
        <v>0</v>
      </c>
      <c r="P50" s="92" t="n">
        <v>0</v>
      </c>
      <c r="Q50" s="92" t="n">
        <v>0</v>
      </c>
      <c r="R50" s="92" t="n">
        <v>0</v>
      </c>
      <c r="S50" s="92" t="n">
        <v>0</v>
      </c>
      <c r="T50" s="92" t="n">
        <v>0</v>
      </c>
      <c r="U50" s="92" t="n">
        <v>0</v>
      </c>
      <c r="V50" s="92" t="n">
        <v>0</v>
      </c>
      <c r="W50" s="92" t="n">
        <v>0</v>
      </c>
      <c r="X50" s="92" t="n">
        <v>0</v>
      </c>
      <c r="Y50" s="92" t="n">
        <v>0</v>
      </c>
      <c r="Z50" s="92" t="n">
        <v>0</v>
      </c>
      <c r="AA50" s="92" t="n">
        <v>0</v>
      </c>
      <c r="AB50" s="92" t="n">
        <v>0</v>
      </c>
      <c r="AC50" s="92" t="n">
        <v>0</v>
      </c>
      <c r="AD50" s="92" t="n">
        <v>0</v>
      </c>
      <c r="AE50" s="92" t="n">
        <v>0</v>
      </c>
      <c r="AF50" s="92" t="n">
        <v>0</v>
      </c>
      <c r="AG50" s="92" t="n">
        <v>0</v>
      </c>
      <c r="AH50" s="92" t="n">
        <v>0</v>
      </c>
      <c r="AI50" s="92" t="n">
        <v>0</v>
      </c>
      <c r="AJ50" s="92" t="n">
        <v>0</v>
      </c>
      <c r="AK50" s="92" t="n">
        <v>0</v>
      </c>
      <c r="AL50" s="92" t="n">
        <v>0</v>
      </c>
      <c r="AM50" s="92" t="n">
        <v>0</v>
      </c>
      <c r="AN50" s="92" t="n">
        <v>0</v>
      </c>
      <c r="AO50" s="92" t="n">
        <v>0</v>
      </c>
      <c r="AP50" s="92" t="n">
        <v>0</v>
      </c>
      <c r="AQ50" s="92" t="n">
        <v>0</v>
      </c>
      <c r="AR50" s="92" t="n">
        <v>0</v>
      </c>
      <c r="AS50" s="92" t="n">
        <v>0</v>
      </c>
      <c r="AT50" s="92" t="n">
        <v>0</v>
      </c>
      <c r="AU50" s="92" t="n">
        <v>0</v>
      </c>
      <c r="AV50" s="92" t="n">
        <v>0</v>
      </c>
      <c r="AW50" s="92" t="n">
        <v>0</v>
      </c>
      <c r="AX50" s="92" t="n">
        <v>0</v>
      </c>
      <c r="AY50" s="92" t="n">
        <v>0</v>
      </c>
      <c r="AZ50" s="92" t="n">
        <v>0</v>
      </c>
      <c r="BA50" s="92" t="n">
        <v>0</v>
      </c>
      <c r="BB50" s="92" t="n">
        <v>0</v>
      </c>
      <c r="BC50" s="92" t="n">
        <v>0</v>
      </c>
      <c r="BD50" s="92" t="n">
        <v>0</v>
      </c>
      <c r="BE50" s="92" t="n">
        <v>0</v>
      </c>
      <c r="BF50" s="92" t="n">
        <v>0</v>
      </c>
      <c r="BG50" s="92" t="n">
        <v>0</v>
      </c>
      <c r="BH50" s="92" t="n">
        <v>0</v>
      </c>
      <c r="BI50" s="92" t="n">
        <v>0</v>
      </c>
      <c r="BJ50" s="92" t="n">
        <v>0</v>
      </c>
      <c r="BK50" s="92" t="n">
        <v>0</v>
      </c>
      <c r="BL50" s="92" t="n">
        <v>0</v>
      </c>
      <c r="BM50" s="92" t="n">
        <v>0</v>
      </c>
      <c r="BN50" s="92" t="n">
        <v>0</v>
      </c>
      <c r="BO50" s="92" t="n">
        <v>0</v>
      </c>
      <c r="BP50" s="92" t="n">
        <v>0</v>
      </c>
      <c r="BQ50" s="92" t="n">
        <v>0</v>
      </c>
      <c r="BR50" s="92" t="n">
        <v>0</v>
      </c>
      <c r="BS50" s="92" t="n">
        <v>0</v>
      </c>
      <c r="BT50" s="92" t="n">
        <v>0</v>
      </c>
      <c r="BU50" s="92" t="n">
        <v>0</v>
      </c>
      <c r="BV50" s="92" t="n">
        <v>0</v>
      </c>
      <c r="BW50" s="92" t="n">
        <v>0</v>
      </c>
      <c r="BX50" s="92" t="n">
        <v>0</v>
      </c>
      <c r="BY50" s="92" t="n">
        <v>0</v>
      </c>
      <c r="BZ50" s="92" t="n">
        <v>0</v>
      </c>
      <c r="CA50" s="92" t="n">
        <v>0</v>
      </c>
      <c r="CB50" s="92" t="n">
        <v>0</v>
      </c>
      <c r="CC50" s="92" t="n">
        <v>0</v>
      </c>
      <c r="CD50" s="92" t="n">
        <v>0</v>
      </c>
      <c r="CE50" s="92" t="n">
        <v>0</v>
      </c>
      <c r="CF50" s="92" t="n">
        <v>0</v>
      </c>
      <c r="CG50" s="92" t="n">
        <v>0</v>
      </c>
      <c r="CH50" s="92" t="n">
        <v>0</v>
      </c>
      <c r="CI50" s="92" t="n">
        <v>0</v>
      </c>
      <c r="CJ50" s="92" t="n">
        <v>0</v>
      </c>
      <c r="CK50" s="92" t="n">
        <v>0</v>
      </c>
      <c r="CL50" s="92">
        <f>-R10</f>
        <v/>
      </c>
      <c r="CM50" s="92">
        <f>FS_Annual!CM14</f>
        <v/>
      </c>
      <c r="CN50" s="92">
        <f>FS_Annual!CN14</f>
        <v/>
      </c>
      <c r="CO50" s="92">
        <f>FS_Annual!CO14</f>
        <v/>
      </c>
      <c r="CP50" s="92">
        <f>FS_Annual!CP14</f>
        <v/>
      </c>
      <c r="CQ50" s="92">
        <f>FS_Annual!CQ14</f>
        <v/>
      </c>
      <c r="CR50" s="92">
        <f>FS_Annual!CR14</f>
        <v/>
      </c>
      <c r="CS50" s="92">
        <f>FS_Annual!CS14</f>
        <v/>
      </c>
      <c r="CT50" s="92">
        <f>FS_Annual!CT14</f>
        <v/>
      </c>
      <c r="CU50" s="92">
        <f>FS_Annual!CU14</f>
        <v/>
      </c>
      <c r="CV50" s="92">
        <f>FS_Annual!CV14</f>
        <v/>
      </c>
      <c r="CW50" s="92">
        <f>FS_Annual!CW14</f>
        <v/>
      </c>
      <c r="CX50" s="92">
        <f>FS_Annual!CX14</f>
        <v/>
      </c>
      <c r="CY50" s="92">
        <f>FS_Annual!CY14</f>
        <v/>
      </c>
      <c r="CZ50" s="92">
        <f>FS_Annual!CZ14</f>
        <v/>
      </c>
      <c r="DA50" s="92">
        <f>FS_Annual!DA14</f>
        <v/>
      </c>
      <c r="DB50" s="92">
        <f>FS_Annual!DB14</f>
        <v/>
      </c>
    </row>
    <row r="51">
      <c r="A51" t="inlineStr">
        <is>
          <t>Yr 17 exit — Seller Equity CF</t>
        </is>
      </c>
      <c r="C51" s="92">
        <f>FS_Annual!C15</f>
        <v/>
      </c>
      <c r="D51" s="92">
        <f>FS_Annual!D15</f>
        <v/>
      </c>
      <c r="E51" s="92">
        <f>FS_Annual!E15</f>
        <v/>
      </c>
      <c r="F51" s="92">
        <f>FS_Annual!F15</f>
        <v/>
      </c>
      <c r="G51" s="92">
        <f>FS_Annual!G15</f>
        <v/>
      </c>
      <c r="H51" s="92">
        <f>FS_Annual!H15</f>
        <v/>
      </c>
      <c r="I51" s="92">
        <f>FS_Annual!I15</f>
        <v/>
      </c>
      <c r="J51" s="92">
        <f>FS_Annual!J15</f>
        <v/>
      </c>
      <c r="K51" s="92">
        <f>FS_Annual!K15</f>
        <v/>
      </c>
      <c r="L51" s="92">
        <f>FS_Annual!L15</f>
        <v/>
      </c>
      <c r="M51" s="92">
        <f>FS_Annual!M15</f>
        <v/>
      </c>
      <c r="N51" s="92">
        <f>FS_Annual!N15</f>
        <v/>
      </c>
      <c r="O51" s="92">
        <f>FS_Annual!O15</f>
        <v/>
      </c>
      <c r="P51" s="92">
        <f>FS_Annual!P15</f>
        <v/>
      </c>
      <c r="Q51" s="92">
        <f>FS_Annual!Q15</f>
        <v/>
      </c>
      <c r="R51" s="92">
        <f>FS_Annual!R15</f>
        <v/>
      </c>
      <c r="S51" s="92">
        <f>FS_Annual!S15</f>
        <v/>
      </c>
      <c r="T51" s="92">
        <f>FS_Annual!T15</f>
        <v/>
      </c>
      <c r="U51" s="92">
        <f>FS_Annual!U15</f>
        <v/>
      </c>
      <c r="V51" s="92">
        <f>FS_Annual!V15</f>
        <v/>
      </c>
      <c r="W51" s="92">
        <f>FS_Annual!W15</f>
        <v/>
      </c>
      <c r="X51" s="92">
        <f>FS_Annual!X15</f>
        <v/>
      </c>
      <c r="Y51" s="92">
        <f>FS_Annual!Y15</f>
        <v/>
      </c>
      <c r="Z51" s="92">
        <f>FS_Annual!Z15</f>
        <v/>
      </c>
      <c r="AA51" s="92">
        <f>FS_Annual!AA15</f>
        <v/>
      </c>
      <c r="AB51" s="92">
        <f>FS_Annual!AB15</f>
        <v/>
      </c>
      <c r="AC51" s="92">
        <f>FS_Annual!AC15</f>
        <v/>
      </c>
      <c r="AD51" s="92">
        <f>FS_Annual!AD15</f>
        <v/>
      </c>
      <c r="AE51" s="92">
        <f>FS_Annual!AE15</f>
        <v/>
      </c>
      <c r="AF51" s="92">
        <f>FS_Annual!AF15</f>
        <v/>
      </c>
      <c r="AG51" s="92">
        <f>FS_Annual!AG15</f>
        <v/>
      </c>
      <c r="AH51" s="92">
        <f>FS_Annual!AH15</f>
        <v/>
      </c>
      <c r="AI51" s="92">
        <f>FS_Annual!AI15</f>
        <v/>
      </c>
      <c r="AJ51" s="92">
        <f>FS_Annual!AJ15</f>
        <v/>
      </c>
      <c r="AK51" s="92">
        <f>FS_Annual!AK15</f>
        <v/>
      </c>
      <c r="AL51" s="92">
        <f>FS_Annual!AL15</f>
        <v/>
      </c>
      <c r="AM51" s="92">
        <f>FS_Annual!AM15</f>
        <v/>
      </c>
      <c r="AN51" s="92">
        <f>FS_Annual!AN15</f>
        <v/>
      </c>
      <c r="AO51" s="92">
        <f>FS_Annual!AO15</f>
        <v/>
      </c>
      <c r="AP51" s="92">
        <f>FS_Annual!AP15</f>
        <v/>
      </c>
      <c r="AQ51" s="92">
        <f>FS_Annual!AQ15</f>
        <v/>
      </c>
      <c r="AR51" s="92">
        <f>FS_Annual!AR15</f>
        <v/>
      </c>
      <c r="AS51" s="92">
        <f>FS_Annual!AS15</f>
        <v/>
      </c>
      <c r="AT51" s="92">
        <f>FS_Annual!AT15</f>
        <v/>
      </c>
      <c r="AU51" s="92">
        <f>FS_Annual!AU15</f>
        <v/>
      </c>
      <c r="AV51" s="92">
        <f>FS_Annual!AV15</f>
        <v/>
      </c>
      <c r="AW51" s="92">
        <f>FS_Annual!AW15</f>
        <v/>
      </c>
      <c r="AX51" s="92">
        <f>FS_Annual!AX15</f>
        <v/>
      </c>
      <c r="AY51" s="92">
        <f>FS_Annual!AY15</f>
        <v/>
      </c>
      <c r="AZ51" s="92">
        <f>FS_Annual!AZ15</f>
        <v/>
      </c>
      <c r="BA51" s="92">
        <f>FS_Annual!BA15</f>
        <v/>
      </c>
      <c r="BB51" s="92">
        <f>FS_Annual!BB15</f>
        <v/>
      </c>
      <c r="BC51" s="92">
        <f>FS_Annual!BC15</f>
        <v/>
      </c>
      <c r="BD51" s="92">
        <f>FS_Annual!BD15</f>
        <v/>
      </c>
      <c r="BE51" s="92">
        <f>FS_Annual!BE15</f>
        <v/>
      </c>
      <c r="BF51" s="92">
        <f>FS_Annual!BF15</f>
        <v/>
      </c>
      <c r="BG51" s="92">
        <f>FS_Annual!BG15</f>
        <v/>
      </c>
      <c r="BH51" s="92">
        <f>FS_Annual!BH15</f>
        <v/>
      </c>
      <c r="BI51" s="92">
        <f>FS_Annual!BI15</f>
        <v/>
      </c>
      <c r="BJ51" s="92">
        <f>FS_Annual!BJ15</f>
        <v/>
      </c>
      <c r="BK51" s="92">
        <f>FS_Annual!BK15</f>
        <v/>
      </c>
      <c r="BL51" s="92">
        <f>FS_Annual!BL15</f>
        <v/>
      </c>
      <c r="BM51" s="92">
        <f>FS_Annual!BM15</f>
        <v/>
      </c>
      <c r="BN51" s="92">
        <f>FS_Annual!BN15</f>
        <v/>
      </c>
      <c r="BO51" s="92">
        <f>FS_Annual!BO15</f>
        <v/>
      </c>
      <c r="BP51" s="92">
        <f>FS_Annual!BP15</f>
        <v/>
      </c>
      <c r="BQ51" s="92">
        <f>FS_Annual!BQ15</f>
        <v/>
      </c>
      <c r="BR51" s="92">
        <f>FS_Annual!BR15</f>
        <v/>
      </c>
      <c r="BS51" s="92">
        <f>FS_Annual!BS15</f>
        <v/>
      </c>
      <c r="BT51" s="92">
        <f>FS_Annual!BT15</f>
        <v/>
      </c>
      <c r="BU51" s="92">
        <f>FS_Annual!BU15</f>
        <v/>
      </c>
      <c r="BV51" s="92">
        <f>FS_Annual!BV15</f>
        <v/>
      </c>
      <c r="BW51" s="92">
        <f>FS_Annual!BW15</f>
        <v/>
      </c>
      <c r="BX51" s="92">
        <f>FS_Annual!BX15</f>
        <v/>
      </c>
      <c r="BY51" s="92">
        <f>FS_Annual!BY15</f>
        <v/>
      </c>
      <c r="BZ51" s="92">
        <f>FS_Annual!BZ15</f>
        <v/>
      </c>
      <c r="CA51" s="92">
        <f>FS_Annual!CA15</f>
        <v/>
      </c>
      <c r="CB51" s="92">
        <f>FS_Annual!CB15</f>
        <v/>
      </c>
      <c r="CC51" s="92">
        <f>FS_Annual!CC15</f>
        <v/>
      </c>
      <c r="CD51" s="92">
        <f>FS_Annual!CD15</f>
        <v/>
      </c>
      <c r="CE51" s="92">
        <f>FS_Annual!CE15</f>
        <v/>
      </c>
      <c r="CF51" s="92">
        <f>FS_Annual!CF15</f>
        <v/>
      </c>
      <c r="CG51" s="92">
        <f>FS_Annual!CG15</f>
        <v/>
      </c>
      <c r="CH51" s="92">
        <f>FS_Annual!CH15</f>
        <v/>
      </c>
      <c r="CI51" s="92">
        <f>FS_Annual!CI15</f>
        <v/>
      </c>
      <c r="CJ51" s="92">
        <f>FS_Annual!CJ15</f>
        <v/>
      </c>
      <c r="CK51" s="92">
        <f>FS_Annual!CK15</f>
        <v/>
      </c>
      <c r="CL51" s="92">
        <f>FS_Annual!CL15</f>
        <v/>
      </c>
      <c r="CM51" s="92">
        <f>FS_Annual!CM15</f>
        <v/>
      </c>
      <c r="CN51" s="92">
        <f>FS_Annual!CN15</f>
        <v/>
      </c>
      <c r="CO51" s="92">
        <f>FS_Annual!CO15</f>
        <v/>
      </c>
      <c r="CP51" s="92">
        <f>FS_Annual!CP15+S8</f>
        <v/>
      </c>
      <c r="CQ51" s="92" t="n">
        <v>0</v>
      </c>
      <c r="CR51" s="92" t="n">
        <v>0</v>
      </c>
      <c r="CS51" s="92" t="n">
        <v>0</v>
      </c>
      <c r="CT51" s="92" t="n">
        <v>0</v>
      </c>
      <c r="CU51" s="92" t="n">
        <v>0</v>
      </c>
      <c r="CV51" s="92" t="n">
        <v>0</v>
      </c>
      <c r="CW51" s="92" t="n">
        <v>0</v>
      </c>
      <c r="CX51" s="92" t="n">
        <v>0</v>
      </c>
      <c r="CY51" s="92" t="n">
        <v>0</v>
      </c>
      <c r="CZ51" s="92" t="n">
        <v>0</v>
      </c>
      <c r="DA51" s="92" t="n">
        <v>0</v>
      </c>
      <c r="DB51" s="92" t="n">
        <v>0</v>
      </c>
    </row>
    <row r="52">
      <c r="A52" t="inlineStr">
        <is>
          <t>Yr 17 exit — Buyer Project CF</t>
        </is>
      </c>
      <c r="C52" s="92" t="n">
        <v>0</v>
      </c>
      <c r="D52" s="92" t="n">
        <v>0</v>
      </c>
      <c r="E52" s="92" t="n">
        <v>0</v>
      </c>
      <c r="F52" s="92" t="n">
        <v>0</v>
      </c>
      <c r="G52" s="92" t="n">
        <v>0</v>
      </c>
      <c r="H52" s="92" t="n">
        <v>0</v>
      </c>
      <c r="I52" s="92" t="n">
        <v>0</v>
      </c>
      <c r="J52" s="92" t="n">
        <v>0</v>
      </c>
      <c r="K52" s="92" t="n">
        <v>0</v>
      </c>
      <c r="L52" s="92" t="n">
        <v>0</v>
      </c>
      <c r="M52" s="92" t="n">
        <v>0</v>
      </c>
      <c r="N52" s="92" t="n">
        <v>0</v>
      </c>
      <c r="O52" s="92" t="n">
        <v>0</v>
      </c>
      <c r="P52" s="92" t="n">
        <v>0</v>
      </c>
      <c r="Q52" s="92" t="n">
        <v>0</v>
      </c>
      <c r="R52" s="92" t="n">
        <v>0</v>
      </c>
      <c r="S52" s="92" t="n">
        <v>0</v>
      </c>
      <c r="T52" s="92" t="n">
        <v>0</v>
      </c>
      <c r="U52" s="92" t="n">
        <v>0</v>
      </c>
      <c r="V52" s="92" t="n">
        <v>0</v>
      </c>
      <c r="W52" s="92" t="n">
        <v>0</v>
      </c>
      <c r="X52" s="92" t="n">
        <v>0</v>
      </c>
      <c r="Y52" s="92" t="n">
        <v>0</v>
      </c>
      <c r="Z52" s="92" t="n">
        <v>0</v>
      </c>
      <c r="AA52" s="92" t="n">
        <v>0</v>
      </c>
      <c r="AB52" s="92" t="n">
        <v>0</v>
      </c>
      <c r="AC52" s="92" t="n">
        <v>0</v>
      </c>
      <c r="AD52" s="92" t="n">
        <v>0</v>
      </c>
      <c r="AE52" s="92" t="n">
        <v>0</v>
      </c>
      <c r="AF52" s="92" t="n">
        <v>0</v>
      </c>
      <c r="AG52" s="92" t="n">
        <v>0</v>
      </c>
      <c r="AH52" s="92" t="n">
        <v>0</v>
      </c>
      <c r="AI52" s="92" t="n">
        <v>0</v>
      </c>
      <c r="AJ52" s="92" t="n">
        <v>0</v>
      </c>
      <c r="AK52" s="92" t="n">
        <v>0</v>
      </c>
      <c r="AL52" s="92" t="n">
        <v>0</v>
      </c>
      <c r="AM52" s="92" t="n">
        <v>0</v>
      </c>
      <c r="AN52" s="92" t="n">
        <v>0</v>
      </c>
      <c r="AO52" s="92" t="n">
        <v>0</v>
      </c>
      <c r="AP52" s="92" t="n">
        <v>0</v>
      </c>
      <c r="AQ52" s="92" t="n">
        <v>0</v>
      </c>
      <c r="AR52" s="92" t="n">
        <v>0</v>
      </c>
      <c r="AS52" s="92" t="n">
        <v>0</v>
      </c>
      <c r="AT52" s="92" t="n">
        <v>0</v>
      </c>
      <c r="AU52" s="92" t="n">
        <v>0</v>
      </c>
      <c r="AV52" s="92" t="n">
        <v>0</v>
      </c>
      <c r="AW52" s="92" t="n">
        <v>0</v>
      </c>
      <c r="AX52" s="92" t="n">
        <v>0</v>
      </c>
      <c r="AY52" s="92" t="n">
        <v>0</v>
      </c>
      <c r="AZ52" s="92" t="n">
        <v>0</v>
      </c>
      <c r="BA52" s="92" t="n">
        <v>0</v>
      </c>
      <c r="BB52" s="92" t="n">
        <v>0</v>
      </c>
      <c r="BC52" s="92" t="n">
        <v>0</v>
      </c>
      <c r="BD52" s="92" t="n">
        <v>0</v>
      </c>
      <c r="BE52" s="92" t="n">
        <v>0</v>
      </c>
      <c r="BF52" s="92" t="n">
        <v>0</v>
      </c>
      <c r="BG52" s="92" t="n">
        <v>0</v>
      </c>
      <c r="BH52" s="92" t="n">
        <v>0</v>
      </c>
      <c r="BI52" s="92" t="n">
        <v>0</v>
      </c>
      <c r="BJ52" s="92" t="n">
        <v>0</v>
      </c>
      <c r="BK52" s="92" t="n">
        <v>0</v>
      </c>
      <c r="BL52" s="92" t="n">
        <v>0</v>
      </c>
      <c r="BM52" s="92" t="n">
        <v>0</v>
      </c>
      <c r="BN52" s="92" t="n">
        <v>0</v>
      </c>
      <c r="BO52" s="92" t="n">
        <v>0</v>
      </c>
      <c r="BP52" s="92" t="n">
        <v>0</v>
      </c>
      <c r="BQ52" s="92" t="n">
        <v>0</v>
      </c>
      <c r="BR52" s="92" t="n">
        <v>0</v>
      </c>
      <c r="BS52" s="92" t="n">
        <v>0</v>
      </c>
      <c r="BT52" s="92" t="n">
        <v>0</v>
      </c>
      <c r="BU52" s="92" t="n">
        <v>0</v>
      </c>
      <c r="BV52" s="92" t="n">
        <v>0</v>
      </c>
      <c r="BW52" s="92" t="n">
        <v>0</v>
      </c>
      <c r="BX52" s="92" t="n">
        <v>0</v>
      </c>
      <c r="BY52" s="92" t="n">
        <v>0</v>
      </c>
      <c r="BZ52" s="92" t="n">
        <v>0</v>
      </c>
      <c r="CA52" s="92" t="n">
        <v>0</v>
      </c>
      <c r="CB52" s="92" t="n">
        <v>0</v>
      </c>
      <c r="CC52" s="92" t="n">
        <v>0</v>
      </c>
      <c r="CD52" s="92" t="n">
        <v>0</v>
      </c>
      <c r="CE52" s="92" t="n">
        <v>0</v>
      </c>
      <c r="CF52" s="92" t="n">
        <v>0</v>
      </c>
      <c r="CG52" s="92" t="n">
        <v>0</v>
      </c>
      <c r="CH52" s="92" t="n">
        <v>0</v>
      </c>
      <c r="CI52" s="92" t="n">
        <v>0</v>
      </c>
      <c r="CJ52" s="92" t="n">
        <v>0</v>
      </c>
      <c r="CK52" s="92" t="n">
        <v>0</v>
      </c>
      <c r="CL52" s="92" t="n">
        <v>0</v>
      </c>
      <c r="CM52" s="92" t="n">
        <v>0</v>
      </c>
      <c r="CN52" s="92" t="n">
        <v>0</v>
      </c>
      <c r="CO52" s="92" t="n">
        <v>0</v>
      </c>
      <c r="CP52" s="92">
        <f>-S10</f>
        <v/>
      </c>
      <c r="CQ52" s="92">
        <f>FS_Annual!CQ14</f>
        <v/>
      </c>
      <c r="CR52" s="92">
        <f>FS_Annual!CR14</f>
        <v/>
      </c>
      <c r="CS52" s="92">
        <f>FS_Annual!CS14</f>
        <v/>
      </c>
      <c r="CT52" s="92">
        <f>FS_Annual!CT14</f>
        <v/>
      </c>
      <c r="CU52" s="92">
        <f>FS_Annual!CU14</f>
        <v/>
      </c>
      <c r="CV52" s="92">
        <f>FS_Annual!CV14</f>
        <v/>
      </c>
      <c r="CW52" s="92">
        <f>FS_Annual!CW14</f>
        <v/>
      </c>
      <c r="CX52" s="92">
        <f>FS_Annual!CX14</f>
        <v/>
      </c>
      <c r="CY52" s="92">
        <f>FS_Annual!CY14</f>
        <v/>
      </c>
      <c r="CZ52" s="92">
        <f>FS_Annual!CZ14</f>
        <v/>
      </c>
      <c r="DA52" s="92">
        <f>FS_Annual!DA14</f>
        <v/>
      </c>
      <c r="DB52" s="92">
        <f>FS_Annual!DB14</f>
        <v/>
      </c>
    </row>
    <row r="53">
      <c r="A53" t="inlineStr">
        <is>
          <t>Yr 18 exit — Seller Equity CF</t>
        </is>
      </c>
      <c r="C53" s="92">
        <f>FS_Annual!C15</f>
        <v/>
      </c>
      <c r="D53" s="92">
        <f>FS_Annual!D15</f>
        <v/>
      </c>
      <c r="E53" s="92">
        <f>FS_Annual!E15</f>
        <v/>
      </c>
      <c r="F53" s="92">
        <f>FS_Annual!F15</f>
        <v/>
      </c>
      <c r="G53" s="92">
        <f>FS_Annual!G15</f>
        <v/>
      </c>
      <c r="H53" s="92">
        <f>FS_Annual!H15</f>
        <v/>
      </c>
      <c r="I53" s="92">
        <f>FS_Annual!I15</f>
        <v/>
      </c>
      <c r="J53" s="92">
        <f>FS_Annual!J15</f>
        <v/>
      </c>
      <c r="K53" s="92">
        <f>FS_Annual!K15</f>
        <v/>
      </c>
      <c r="L53" s="92">
        <f>FS_Annual!L15</f>
        <v/>
      </c>
      <c r="M53" s="92">
        <f>FS_Annual!M15</f>
        <v/>
      </c>
      <c r="N53" s="92">
        <f>FS_Annual!N15</f>
        <v/>
      </c>
      <c r="O53" s="92">
        <f>FS_Annual!O15</f>
        <v/>
      </c>
      <c r="P53" s="92">
        <f>FS_Annual!P15</f>
        <v/>
      </c>
      <c r="Q53" s="92">
        <f>FS_Annual!Q15</f>
        <v/>
      </c>
      <c r="R53" s="92">
        <f>FS_Annual!R15</f>
        <v/>
      </c>
      <c r="S53" s="92">
        <f>FS_Annual!S15</f>
        <v/>
      </c>
      <c r="T53" s="92">
        <f>FS_Annual!T15</f>
        <v/>
      </c>
      <c r="U53" s="92">
        <f>FS_Annual!U15</f>
        <v/>
      </c>
      <c r="V53" s="92">
        <f>FS_Annual!V15</f>
        <v/>
      </c>
      <c r="W53" s="92">
        <f>FS_Annual!W15</f>
        <v/>
      </c>
      <c r="X53" s="92">
        <f>FS_Annual!X15</f>
        <v/>
      </c>
      <c r="Y53" s="92">
        <f>FS_Annual!Y15</f>
        <v/>
      </c>
      <c r="Z53" s="92">
        <f>FS_Annual!Z15</f>
        <v/>
      </c>
      <c r="AA53" s="92">
        <f>FS_Annual!AA15</f>
        <v/>
      </c>
      <c r="AB53" s="92">
        <f>FS_Annual!AB15</f>
        <v/>
      </c>
      <c r="AC53" s="92">
        <f>FS_Annual!AC15</f>
        <v/>
      </c>
      <c r="AD53" s="92">
        <f>FS_Annual!AD15</f>
        <v/>
      </c>
      <c r="AE53" s="92">
        <f>FS_Annual!AE15</f>
        <v/>
      </c>
      <c r="AF53" s="92">
        <f>FS_Annual!AF15</f>
        <v/>
      </c>
      <c r="AG53" s="92">
        <f>FS_Annual!AG15</f>
        <v/>
      </c>
      <c r="AH53" s="92">
        <f>FS_Annual!AH15</f>
        <v/>
      </c>
      <c r="AI53" s="92">
        <f>FS_Annual!AI15</f>
        <v/>
      </c>
      <c r="AJ53" s="92">
        <f>FS_Annual!AJ15</f>
        <v/>
      </c>
      <c r="AK53" s="92">
        <f>FS_Annual!AK15</f>
        <v/>
      </c>
      <c r="AL53" s="92">
        <f>FS_Annual!AL15</f>
        <v/>
      </c>
      <c r="AM53" s="92">
        <f>FS_Annual!AM15</f>
        <v/>
      </c>
      <c r="AN53" s="92">
        <f>FS_Annual!AN15</f>
        <v/>
      </c>
      <c r="AO53" s="92">
        <f>FS_Annual!AO15</f>
        <v/>
      </c>
      <c r="AP53" s="92">
        <f>FS_Annual!AP15</f>
        <v/>
      </c>
      <c r="AQ53" s="92">
        <f>FS_Annual!AQ15</f>
        <v/>
      </c>
      <c r="AR53" s="92">
        <f>FS_Annual!AR15</f>
        <v/>
      </c>
      <c r="AS53" s="92">
        <f>FS_Annual!AS15</f>
        <v/>
      </c>
      <c r="AT53" s="92">
        <f>FS_Annual!AT15</f>
        <v/>
      </c>
      <c r="AU53" s="92">
        <f>FS_Annual!AU15</f>
        <v/>
      </c>
      <c r="AV53" s="92">
        <f>FS_Annual!AV15</f>
        <v/>
      </c>
      <c r="AW53" s="92">
        <f>FS_Annual!AW15</f>
        <v/>
      </c>
      <c r="AX53" s="92">
        <f>FS_Annual!AX15</f>
        <v/>
      </c>
      <c r="AY53" s="92">
        <f>FS_Annual!AY15</f>
        <v/>
      </c>
      <c r="AZ53" s="92">
        <f>FS_Annual!AZ15</f>
        <v/>
      </c>
      <c r="BA53" s="92">
        <f>FS_Annual!BA15</f>
        <v/>
      </c>
      <c r="BB53" s="92">
        <f>FS_Annual!BB15</f>
        <v/>
      </c>
      <c r="BC53" s="92">
        <f>FS_Annual!BC15</f>
        <v/>
      </c>
      <c r="BD53" s="92">
        <f>FS_Annual!BD15</f>
        <v/>
      </c>
      <c r="BE53" s="92">
        <f>FS_Annual!BE15</f>
        <v/>
      </c>
      <c r="BF53" s="92">
        <f>FS_Annual!BF15</f>
        <v/>
      </c>
      <c r="BG53" s="92">
        <f>FS_Annual!BG15</f>
        <v/>
      </c>
      <c r="BH53" s="92">
        <f>FS_Annual!BH15</f>
        <v/>
      </c>
      <c r="BI53" s="92">
        <f>FS_Annual!BI15</f>
        <v/>
      </c>
      <c r="BJ53" s="92">
        <f>FS_Annual!BJ15</f>
        <v/>
      </c>
      <c r="BK53" s="92">
        <f>FS_Annual!BK15</f>
        <v/>
      </c>
      <c r="BL53" s="92">
        <f>FS_Annual!BL15</f>
        <v/>
      </c>
      <c r="BM53" s="92">
        <f>FS_Annual!BM15</f>
        <v/>
      </c>
      <c r="BN53" s="92">
        <f>FS_Annual!BN15</f>
        <v/>
      </c>
      <c r="BO53" s="92">
        <f>FS_Annual!BO15</f>
        <v/>
      </c>
      <c r="BP53" s="92">
        <f>FS_Annual!BP15</f>
        <v/>
      </c>
      <c r="BQ53" s="92">
        <f>FS_Annual!BQ15</f>
        <v/>
      </c>
      <c r="BR53" s="92">
        <f>FS_Annual!BR15</f>
        <v/>
      </c>
      <c r="BS53" s="92">
        <f>FS_Annual!BS15</f>
        <v/>
      </c>
      <c r="BT53" s="92">
        <f>FS_Annual!BT15</f>
        <v/>
      </c>
      <c r="BU53" s="92">
        <f>FS_Annual!BU15</f>
        <v/>
      </c>
      <c r="BV53" s="92">
        <f>FS_Annual!BV15</f>
        <v/>
      </c>
      <c r="BW53" s="92">
        <f>FS_Annual!BW15</f>
        <v/>
      </c>
      <c r="BX53" s="92">
        <f>FS_Annual!BX15</f>
        <v/>
      </c>
      <c r="BY53" s="92">
        <f>FS_Annual!BY15</f>
        <v/>
      </c>
      <c r="BZ53" s="92">
        <f>FS_Annual!BZ15</f>
        <v/>
      </c>
      <c r="CA53" s="92">
        <f>FS_Annual!CA15</f>
        <v/>
      </c>
      <c r="CB53" s="92">
        <f>FS_Annual!CB15</f>
        <v/>
      </c>
      <c r="CC53" s="92">
        <f>FS_Annual!CC15</f>
        <v/>
      </c>
      <c r="CD53" s="92">
        <f>FS_Annual!CD15</f>
        <v/>
      </c>
      <c r="CE53" s="92">
        <f>FS_Annual!CE15</f>
        <v/>
      </c>
      <c r="CF53" s="92">
        <f>FS_Annual!CF15</f>
        <v/>
      </c>
      <c r="CG53" s="92">
        <f>FS_Annual!CG15</f>
        <v/>
      </c>
      <c r="CH53" s="92">
        <f>FS_Annual!CH15</f>
        <v/>
      </c>
      <c r="CI53" s="92">
        <f>FS_Annual!CI15</f>
        <v/>
      </c>
      <c r="CJ53" s="92">
        <f>FS_Annual!CJ15</f>
        <v/>
      </c>
      <c r="CK53" s="92">
        <f>FS_Annual!CK15</f>
        <v/>
      </c>
      <c r="CL53" s="92">
        <f>FS_Annual!CL15</f>
        <v/>
      </c>
      <c r="CM53" s="92">
        <f>FS_Annual!CM15</f>
        <v/>
      </c>
      <c r="CN53" s="92">
        <f>FS_Annual!CN15</f>
        <v/>
      </c>
      <c r="CO53" s="92">
        <f>FS_Annual!CO15</f>
        <v/>
      </c>
      <c r="CP53" s="92">
        <f>FS_Annual!CP15</f>
        <v/>
      </c>
      <c r="CQ53" s="92">
        <f>FS_Annual!CQ15</f>
        <v/>
      </c>
      <c r="CR53" s="92">
        <f>FS_Annual!CR15</f>
        <v/>
      </c>
      <c r="CS53" s="92">
        <f>FS_Annual!CS15</f>
        <v/>
      </c>
      <c r="CT53" s="92">
        <f>FS_Annual!CT15+T8</f>
        <v/>
      </c>
      <c r="CU53" s="92" t="n">
        <v>0</v>
      </c>
      <c r="CV53" s="92" t="n">
        <v>0</v>
      </c>
      <c r="CW53" s="92" t="n">
        <v>0</v>
      </c>
      <c r="CX53" s="92" t="n">
        <v>0</v>
      </c>
      <c r="CY53" s="92" t="n">
        <v>0</v>
      </c>
      <c r="CZ53" s="92" t="n">
        <v>0</v>
      </c>
      <c r="DA53" s="92" t="n">
        <v>0</v>
      </c>
      <c r="DB53" s="92" t="n">
        <v>0</v>
      </c>
    </row>
    <row r="54">
      <c r="A54" t="inlineStr">
        <is>
          <t>Yr 18 exit — Buyer Project CF</t>
        </is>
      </c>
      <c r="C54" s="92" t="n">
        <v>0</v>
      </c>
      <c r="D54" s="92" t="n">
        <v>0</v>
      </c>
      <c r="E54" s="92" t="n">
        <v>0</v>
      </c>
      <c r="F54" s="92" t="n">
        <v>0</v>
      </c>
      <c r="G54" s="92" t="n">
        <v>0</v>
      </c>
      <c r="H54" s="92" t="n">
        <v>0</v>
      </c>
      <c r="I54" s="92" t="n">
        <v>0</v>
      </c>
      <c r="J54" s="92" t="n">
        <v>0</v>
      </c>
      <c r="K54" s="92" t="n">
        <v>0</v>
      </c>
      <c r="L54" s="92" t="n">
        <v>0</v>
      </c>
      <c r="M54" s="92" t="n">
        <v>0</v>
      </c>
      <c r="N54" s="92" t="n">
        <v>0</v>
      </c>
      <c r="O54" s="92" t="n">
        <v>0</v>
      </c>
      <c r="P54" s="92" t="n">
        <v>0</v>
      </c>
      <c r="Q54" s="92" t="n">
        <v>0</v>
      </c>
      <c r="R54" s="92" t="n">
        <v>0</v>
      </c>
      <c r="S54" s="92" t="n">
        <v>0</v>
      </c>
      <c r="T54" s="92" t="n">
        <v>0</v>
      </c>
      <c r="U54" s="92" t="n">
        <v>0</v>
      </c>
      <c r="V54" s="92" t="n">
        <v>0</v>
      </c>
      <c r="W54" s="92" t="n">
        <v>0</v>
      </c>
      <c r="X54" s="92" t="n">
        <v>0</v>
      </c>
      <c r="Y54" s="92" t="n">
        <v>0</v>
      </c>
      <c r="Z54" s="92" t="n">
        <v>0</v>
      </c>
      <c r="AA54" s="92" t="n">
        <v>0</v>
      </c>
      <c r="AB54" s="92" t="n">
        <v>0</v>
      </c>
      <c r="AC54" s="92" t="n">
        <v>0</v>
      </c>
      <c r="AD54" s="92" t="n">
        <v>0</v>
      </c>
      <c r="AE54" s="92" t="n">
        <v>0</v>
      </c>
      <c r="AF54" s="92" t="n">
        <v>0</v>
      </c>
      <c r="AG54" s="92" t="n">
        <v>0</v>
      </c>
      <c r="AH54" s="92" t="n">
        <v>0</v>
      </c>
      <c r="AI54" s="92" t="n">
        <v>0</v>
      </c>
      <c r="AJ54" s="92" t="n">
        <v>0</v>
      </c>
      <c r="AK54" s="92" t="n">
        <v>0</v>
      </c>
      <c r="AL54" s="92" t="n">
        <v>0</v>
      </c>
      <c r="AM54" s="92" t="n">
        <v>0</v>
      </c>
      <c r="AN54" s="92" t="n">
        <v>0</v>
      </c>
      <c r="AO54" s="92" t="n">
        <v>0</v>
      </c>
      <c r="AP54" s="92" t="n">
        <v>0</v>
      </c>
      <c r="AQ54" s="92" t="n">
        <v>0</v>
      </c>
      <c r="AR54" s="92" t="n">
        <v>0</v>
      </c>
      <c r="AS54" s="92" t="n">
        <v>0</v>
      </c>
      <c r="AT54" s="92" t="n">
        <v>0</v>
      </c>
      <c r="AU54" s="92" t="n">
        <v>0</v>
      </c>
      <c r="AV54" s="92" t="n">
        <v>0</v>
      </c>
      <c r="AW54" s="92" t="n">
        <v>0</v>
      </c>
      <c r="AX54" s="92" t="n">
        <v>0</v>
      </c>
      <c r="AY54" s="92" t="n">
        <v>0</v>
      </c>
      <c r="AZ54" s="92" t="n">
        <v>0</v>
      </c>
      <c r="BA54" s="92" t="n">
        <v>0</v>
      </c>
      <c r="BB54" s="92" t="n">
        <v>0</v>
      </c>
      <c r="BC54" s="92" t="n">
        <v>0</v>
      </c>
      <c r="BD54" s="92" t="n">
        <v>0</v>
      </c>
      <c r="BE54" s="92" t="n">
        <v>0</v>
      </c>
      <c r="BF54" s="92" t="n">
        <v>0</v>
      </c>
      <c r="BG54" s="92" t="n">
        <v>0</v>
      </c>
      <c r="BH54" s="92" t="n">
        <v>0</v>
      </c>
      <c r="BI54" s="92" t="n">
        <v>0</v>
      </c>
      <c r="BJ54" s="92" t="n">
        <v>0</v>
      </c>
      <c r="BK54" s="92" t="n">
        <v>0</v>
      </c>
      <c r="BL54" s="92" t="n">
        <v>0</v>
      </c>
      <c r="BM54" s="92" t="n">
        <v>0</v>
      </c>
      <c r="BN54" s="92" t="n">
        <v>0</v>
      </c>
      <c r="BO54" s="92" t="n">
        <v>0</v>
      </c>
      <c r="BP54" s="92" t="n">
        <v>0</v>
      </c>
      <c r="BQ54" s="92" t="n">
        <v>0</v>
      </c>
      <c r="BR54" s="92" t="n">
        <v>0</v>
      </c>
      <c r="BS54" s="92" t="n">
        <v>0</v>
      </c>
      <c r="BT54" s="92" t="n">
        <v>0</v>
      </c>
      <c r="BU54" s="92" t="n">
        <v>0</v>
      </c>
      <c r="BV54" s="92" t="n">
        <v>0</v>
      </c>
      <c r="BW54" s="92" t="n">
        <v>0</v>
      </c>
      <c r="BX54" s="92" t="n">
        <v>0</v>
      </c>
      <c r="BY54" s="92" t="n">
        <v>0</v>
      </c>
      <c r="BZ54" s="92" t="n">
        <v>0</v>
      </c>
      <c r="CA54" s="92" t="n">
        <v>0</v>
      </c>
      <c r="CB54" s="92" t="n">
        <v>0</v>
      </c>
      <c r="CC54" s="92" t="n">
        <v>0</v>
      </c>
      <c r="CD54" s="92" t="n">
        <v>0</v>
      </c>
      <c r="CE54" s="92" t="n">
        <v>0</v>
      </c>
      <c r="CF54" s="92" t="n">
        <v>0</v>
      </c>
      <c r="CG54" s="92" t="n">
        <v>0</v>
      </c>
      <c r="CH54" s="92" t="n">
        <v>0</v>
      </c>
      <c r="CI54" s="92" t="n">
        <v>0</v>
      </c>
      <c r="CJ54" s="92" t="n">
        <v>0</v>
      </c>
      <c r="CK54" s="92" t="n">
        <v>0</v>
      </c>
      <c r="CL54" s="92" t="n">
        <v>0</v>
      </c>
      <c r="CM54" s="92" t="n">
        <v>0</v>
      </c>
      <c r="CN54" s="92" t="n">
        <v>0</v>
      </c>
      <c r="CO54" s="92" t="n">
        <v>0</v>
      </c>
      <c r="CP54" s="92" t="n">
        <v>0</v>
      </c>
      <c r="CQ54" s="92" t="n">
        <v>0</v>
      </c>
      <c r="CR54" s="92" t="n">
        <v>0</v>
      </c>
      <c r="CS54" s="92" t="n">
        <v>0</v>
      </c>
      <c r="CT54" s="92">
        <f>-T10</f>
        <v/>
      </c>
      <c r="CU54" s="92">
        <f>FS_Annual!CU14</f>
        <v/>
      </c>
      <c r="CV54" s="92">
        <f>FS_Annual!CV14</f>
        <v/>
      </c>
      <c r="CW54" s="92">
        <f>FS_Annual!CW14</f>
        <v/>
      </c>
      <c r="CX54" s="92">
        <f>FS_Annual!CX14</f>
        <v/>
      </c>
      <c r="CY54" s="92">
        <f>FS_Annual!CY14</f>
        <v/>
      </c>
      <c r="CZ54" s="92">
        <f>FS_Annual!CZ14</f>
        <v/>
      </c>
      <c r="DA54" s="92">
        <f>FS_Annual!DA14</f>
        <v/>
      </c>
      <c r="DB54" s="92">
        <f>FS_Annual!DB14</f>
        <v/>
      </c>
    </row>
    <row r="55">
      <c r="A55" t="inlineStr">
        <is>
          <t>Yr 19 exit — Seller Equity CF</t>
        </is>
      </c>
      <c r="C55" s="92">
        <f>FS_Annual!C15</f>
        <v/>
      </c>
      <c r="D55" s="92">
        <f>FS_Annual!D15</f>
        <v/>
      </c>
      <c r="E55" s="92">
        <f>FS_Annual!E15</f>
        <v/>
      </c>
      <c r="F55" s="92">
        <f>FS_Annual!F15</f>
        <v/>
      </c>
      <c r="G55" s="92">
        <f>FS_Annual!G15</f>
        <v/>
      </c>
      <c r="H55" s="92">
        <f>FS_Annual!H15</f>
        <v/>
      </c>
      <c r="I55" s="92">
        <f>FS_Annual!I15</f>
        <v/>
      </c>
      <c r="J55" s="92">
        <f>FS_Annual!J15</f>
        <v/>
      </c>
      <c r="K55" s="92">
        <f>FS_Annual!K15</f>
        <v/>
      </c>
      <c r="L55" s="92">
        <f>FS_Annual!L15</f>
        <v/>
      </c>
      <c r="M55" s="92">
        <f>FS_Annual!M15</f>
        <v/>
      </c>
      <c r="N55" s="92">
        <f>FS_Annual!N15</f>
        <v/>
      </c>
      <c r="O55" s="92">
        <f>FS_Annual!O15</f>
        <v/>
      </c>
      <c r="P55" s="92">
        <f>FS_Annual!P15</f>
        <v/>
      </c>
      <c r="Q55" s="92">
        <f>FS_Annual!Q15</f>
        <v/>
      </c>
      <c r="R55" s="92">
        <f>FS_Annual!R15</f>
        <v/>
      </c>
      <c r="S55" s="92">
        <f>FS_Annual!S15</f>
        <v/>
      </c>
      <c r="T55" s="92">
        <f>FS_Annual!T15</f>
        <v/>
      </c>
      <c r="U55" s="92">
        <f>FS_Annual!U15</f>
        <v/>
      </c>
      <c r="V55" s="92">
        <f>FS_Annual!V15</f>
        <v/>
      </c>
      <c r="W55" s="92">
        <f>FS_Annual!W15</f>
        <v/>
      </c>
      <c r="X55" s="92">
        <f>FS_Annual!X15</f>
        <v/>
      </c>
      <c r="Y55" s="92">
        <f>FS_Annual!Y15</f>
        <v/>
      </c>
      <c r="Z55" s="92">
        <f>FS_Annual!Z15</f>
        <v/>
      </c>
      <c r="AA55" s="92">
        <f>FS_Annual!AA15</f>
        <v/>
      </c>
      <c r="AB55" s="92">
        <f>FS_Annual!AB15</f>
        <v/>
      </c>
      <c r="AC55" s="92">
        <f>FS_Annual!AC15</f>
        <v/>
      </c>
      <c r="AD55" s="92">
        <f>FS_Annual!AD15</f>
        <v/>
      </c>
      <c r="AE55" s="92">
        <f>FS_Annual!AE15</f>
        <v/>
      </c>
      <c r="AF55" s="92">
        <f>FS_Annual!AF15</f>
        <v/>
      </c>
      <c r="AG55" s="92">
        <f>FS_Annual!AG15</f>
        <v/>
      </c>
      <c r="AH55" s="92">
        <f>FS_Annual!AH15</f>
        <v/>
      </c>
      <c r="AI55" s="92">
        <f>FS_Annual!AI15</f>
        <v/>
      </c>
      <c r="AJ55" s="92">
        <f>FS_Annual!AJ15</f>
        <v/>
      </c>
      <c r="AK55" s="92">
        <f>FS_Annual!AK15</f>
        <v/>
      </c>
      <c r="AL55" s="92">
        <f>FS_Annual!AL15</f>
        <v/>
      </c>
      <c r="AM55" s="92">
        <f>FS_Annual!AM15</f>
        <v/>
      </c>
      <c r="AN55" s="92">
        <f>FS_Annual!AN15</f>
        <v/>
      </c>
      <c r="AO55" s="92">
        <f>FS_Annual!AO15</f>
        <v/>
      </c>
      <c r="AP55" s="92">
        <f>FS_Annual!AP15</f>
        <v/>
      </c>
      <c r="AQ55" s="92">
        <f>FS_Annual!AQ15</f>
        <v/>
      </c>
      <c r="AR55" s="92">
        <f>FS_Annual!AR15</f>
        <v/>
      </c>
      <c r="AS55" s="92">
        <f>FS_Annual!AS15</f>
        <v/>
      </c>
      <c r="AT55" s="92">
        <f>FS_Annual!AT15</f>
        <v/>
      </c>
      <c r="AU55" s="92">
        <f>FS_Annual!AU15</f>
        <v/>
      </c>
      <c r="AV55" s="92">
        <f>FS_Annual!AV15</f>
        <v/>
      </c>
      <c r="AW55" s="92">
        <f>FS_Annual!AW15</f>
        <v/>
      </c>
      <c r="AX55" s="92">
        <f>FS_Annual!AX15</f>
        <v/>
      </c>
      <c r="AY55" s="92">
        <f>FS_Annual!AY15</f>
        <v/>
      </c>
      <c r="AZ55" s="92">
        <f>FS_Annual!AZ15</f>
        <v/>
      </c>
      <c r="BA55" s="92">
        <f>FS_Annual!BA15</f>
        <v/>
      </c>
      <c r="BB55" s="92">
        <f>FS_Annual!BB15</f>
        <v/>
      </c>
      <c r="BC55" s="92">
        <f>FS_Annual!BC15</f>
        <v/>
      </c>
      <c r="BD55" s="92">
        <f>FS_Annual!BD15</f>
        <v/>
      </c>
      <c r="BE55" s="92">
        <f>FS_Annual!BE15</f>
        <v/>
      </c>
      <c r="BF55" s="92">
        <f>FS_Annual!BF15</f>
        <v/>
      </c>
      <c r="BG55" s="92">
        <f>FS_Annual!BG15</f>
        <v/>
      </c>
      <c r="BH55" s="92">
        <f>FS_Annual!BH15</f>
        <v/>
      </c>
      <c r="BI55" s="92">
        <f>FS_Annual!BI15</f>
        <v/>
      </c>
      <c r="BJ55" s="92">
        <f>FS_Annual!BJ15</f>
        <v/>
      </c>
      <c r="BK55" s="92">
        <f>FS_Annual!BK15</f>
        <v/>
      </c>
      <c r="BL55" s="92">
        <f>FS_Annual!BL15</f>
        <v/>
      </c>
      <c r="BM55" s="92">
        <f>FS_Annual!BM15</f>
        <v/>
      </c>
      <c r="BN55" s="92">
        <f>FS_Annual!BN15</f>
        <v/>
      </c>
      <c r="BO55" s="92">
        <f>FS_Annual!BO15</f>
        <v/>
      </c>
      <c r="BP55" s="92">
        <f>FS_Annual!BP15</f>
        <v/>
      </c>
      <c r="BQ55" s="92">
        <f>FS_Annual!BQ15</f>
        <v/>
      </c>
      <c r="BR55" s="92">
        <f>FS_Annual!BR15</f>
        <v/>
      </c>
      <c r="BS55" s="92">
        <f>FS_Annual!BS15</f>
        <v/>
      </c>
      <c r="BT55" s="92">
        <f>FS_Annual!BT15</f>
        <v/>
      </c>
      <c r="BU55" s="92">
        <f>FS_Annual!BU15</f>
        <v/>
      </c>
      <c r="BV55" s="92">
        <f>FS_Annual!BV15</f>
        <v/>
      </c>
      <c r="BW55" s="92">
        <f>FS_Annual!BW15</f>
        <v/>
      </c>
      <c r="BX55" s="92">
        <f>FS_Annual!BX15</f>
        <v/>
      </c>
      <c r="BY55" s="92">
        <f>FS_Annual!BY15</f>
        <v/>
      </c>
      <c r="BZ55" s="92">
        <f>FS_Annual!BZ15</f>
        <v/>
      </c>
      <c r="CA55" s="92">
        <f>FS_Annual!CA15</f>
        <v/>
      </c>
      <c r="CB55" s="92">
        <f>FS_Annual!CB15</f>
        <v/>
      </c>
      <c r="CC55" s="92">
        <f>FS_Annual!CC15</f>
        <v/>
      </c>
      <c r="CD55" s="92">
        <f>FS_Annual!CD15</f>
        <v/>
      </c>
      <c r="CE55" s="92">
        <f>FS_Annual!CE15</f>
        <v/>
      </c>
      <c r="CF55" s="92">
        <f>FS_Annual!CF15</f>
        <v/>
      </c>
      <c r="CG55" s="92">
        <f>FS_Annual!CG15</f>
        <v/>
      </c>
      <c r="CH55" s="92">
        <f>FS_Annual!CH15</f>
        <v/>
      </c>
      <c r="CI55" s="92">
        <f>FS_Annual!CI15</f>
        <v/>
      </c>
      <c r="CJ55" s="92">
        <f>FS_Annual!CJ15</f>
        <v/>
      </c>
      <c r="CK55" s="92">
        <f>FS_Annual!CK15</f>
        <v/>
      </c>
      <c r="CL55" s="92">
        <f>FS_Annual!CL15</f>
        <v/>
      </c>
      <c r="CM55" s="92">
        <f>FS_Annual!CM15</f>
        <v/>
      </c>
      <c r="CN55" s="92">
        <f>FS_Annual!CN15</f>
        <v/>
      </c>
      <c r="CO55" s="92">
        <f>FS_Annual!CO15</f>
        <v/>
      </c>
      <c r="CP55" s="92">
        <f>FS_Annual!CP15</f>
        <v/>
      </c>
      <c r="CQ55" s="92">
        <f>FS_Annual!CQ15</f>
        <v/>
      </c>
      <c r="CR55" s="92">
        <f>FS_Annual!CR15</f>
        <v/>
      </c>
      <c r="CS55" s="92">
        <f>FS_Annual!CS15</f>
        <v/>
      </c>
      <c r="CT55" s="92">
        <f>FS_Annual!CT15</f>
        <v/>
      </c>
      <c r="CU55" s="92">
        <f>FS_Annual!CU15</f>
        <v/>
      </c>
      <c r="CV55" s="92">
        <f>FS_Annual!CV15</f>
        <v/>
      </c>
      <c r="CW55" s="92">
        <f>FS_Annual!CW15</f>
        <v/>
      </c>
      <c r="CX55" s="92">
        <f>FS_Annual!CX15+U8</f>
        <v/>
      </c>
      <c r="CY55" s="92" t="n">
        <v>0</v>
      </c>
      <c r="CZ55" s="92" t="n">
        <v>0</v>
      </c>
      <c r="DA55" s="92" t="n">
        <v>0</v>
      </c>
      <c r="DB55" s="92" t="n">
        <v>0</v>
      </c>
    </row>
    <row r="56">
      <c r="A56" t="inlineStr">
        <is>
          <t>Yr 19 exit — Buyer Project CF</t>
        </is>
      </c>
      <c r="C56" s="92" t="n">
        <v>0</v>
      </c>
      <c r="D56" s="92" t="n">
        <v>0</v>
      </c>
      <c r="E56" s="92" t="n">
        <v>0</v>
      </c>
      <c r="F56" s="92" t="n">
        <v>0</v>
      </c>
      <c r="G56" s="92" t="n">
        <v>0</v>
      </c>
      <c r="H56" s="92" t="n">
        <v>0</v>
      </c>
      <c r="I56" s="92" t="n">
        <v>0</v>
      </c>
      <c r="J56" s="92" t="n">
        <v>0</v>
      </c>
      <c r="K56" s="92" t="n">
        <v>0</v>
      </c>
      <c r="L56" s="92" t="n">
        <v>0</v>
      </c>
      <c r="M56" s="92" t="n">
        <v>0</v>
      </c>
      <c r="N56" s="92" t="n">
        <v>0</v>
      </c>
      <c r="O56" s="92" t="n">
        <v>0</v>
      </c>
      <c r="P56" s="92" t="n">
        <v>0</v>
      </c>
      <c r="Q56" s="92" t="n">
        <v>0</v>
      </c>
      <c r="R56" s="92" t="n">
        <v>0</v>
      </c>
      <c r="S56" s="92" t="n">
        <v>0</v>
      </c>
      <c r="T56" s="92" t="n">
        <v>0</v>
      </c>
      <c r="U56" s="92" t="n">
        <v>0</v>
      </c>
      <c r="V56" s="92" t="n">
        <v>0</v>
      </c>
      <c r="W56" s="92" t="n">
        <v>0</v>
      </c>
      <c r="X56" s="92" t="n">
        <v>0</v>
      </c>
      <c r="Y56" s="92" t="n">
        <v>0</v>
      </c>
      <c r="Z56" s="92" t="n">
        <v>0</v>
      </c>
      <c r="AA56" s="92" t="n">
        <v>0</v>
      </c>
      <c r="AB56" s="92" t="n">
        <v>0</v>
      </c>
      <c r="AC56" s="92" t="n">
        <v>0</v>
      </c>
      <c r="AD56" s="92" t="n">
        <v>0</v>
      </c>
      <c r="AE56" s="92" t="n">
        <v>0</v>
      </c>
      <c r="AF56" s="92" t="n">
        <v>0</v>
      </c>
      <c r="AG56" s="92" t="n">
        <v>0</v>
      </c>
      <c r="AH56" s="92" t="n">
        <v>0</v>
      </c>
      <c r="AI56" s="92" t="n">
        <v>0</v>
      </c>
      <c r="AJ56" s="92" t="n">
        <v>0</v>
      </c>
      <c r="AK56" s="92" t="n">
        <v>0</v>
      </c>
      <c r="AL56" s="92" t="n">
        <v>0</v>
      </c>
      <c r="AM56" s="92" t="n">
        <v>0</v>
      </c>
      <c r="AN56" s="92" t="n">
        <v>0</v>
      </c>
      <c r="AO56" s="92" t="n">
        <v>0</v>
      </c>
      <c r="AP56" s="92" t="n">
        <v>0</v>
      </c>
      <c r="AQ56" s="92" t="n">
        <v>0</v>
      </c>
      <c r="AR56" s="92" t="n">
        <v>0</v>
      </c>
      <c r="AS56" s="92" t="n">
        <v>0</v>
      </c>
      <c r="AT56" s="92" t="n">
        <v>0</v>
      </c>
      <c r="AU56" s="92" t="n">
        <v>0</v>
      </c>
      <c r="AV56" s="92" t="n">
        <v>0</v>
      </c>
      <c r="AW56" s="92" t="n">
        <v>0</v>
      </c>
      <c r="AX56" s="92" t="n">
        <v>0</v>
      </c>
      <c r="AY56" s="92" t="n">
        <v>0</v>
      </c>
      <c r="AZ56" s="92" t="n">
        <v>0</v>
      </c>
      <c r="BA56" s="92" t="n">
        <v>0</v>
      </c>
      <c r="BB56" s="92" t="n">
        <v>0</v>
      </c>
      <c r="BC56" s="92" t="n">
        <v>0</v>
      </c>
      <c r="BD56" s="92" t="n">
        <v>0</v>
      </c>
      <c r="BE56" s="92" t="n">
        <v>0</v>
      </c>
      <c r="BF56" s="92" t="n">
        <v>0</v>
      </c>
      <c r="BG56" s="92" t="n">
        <v>0</v>
      </c>
      <c r="BH56" s="92" t="n">
        <v>0</v>
      </c>
      <c r="BI56" s="92" t="n">
        <v>0</v>
      </c>
      <c r="BJ56" s="92" t="n">
        <v>0</v>
      </c>
      <c r="BK56" s="92" t="n">
        <v>0</v>
      </c>
      <c r="BL56" s="92" t="n">
        <v>0</v>
      </c>
      <c r="BM56" s="92" t="n">
        <v>0</v>
      </c>
      <c r="BN56" s="92" t="n">
        <v>0</v>
      </c>
      <c r="BO56" s="92" t="n">
        <v>0</v>
      </c>
      <c r="BP56" s="92" t="n">
        <v>0</v>
      </c>
      <c r="BQ56" s="92" t="n">
        <v>0</v>
      </c>
      <c r="BR56" s="92" t="n">
        <v>0</v>
      </c>
      <c r="BS56" s="92" t="n">
        <v>0</v>
      </c>
      <c r="BT56" s="92" t="n">
        <v>0</v>
      </c>
      <c r="BU56" s="92" t="n">
        <v>0</v>
      </c>
      <c r="BV56" s="92" t="n">
        <v>0</v>
      </c>
      <c r="BW56" s="92" t="n">
        <v>0</v>
      </c>
      <c r="BX56" s="92" t="n">
        <v>0</v>
      </c>
      <c r="BY56" s="92" t="n">
        <v>0</v>
      </c>
      <c r="BZ56" s="92" t="n">
        <v>0</v>
      </c>
      <c r="CA56" s="92" t="n">
        <v>0</v>
      </c>
      <c r="CB56" s="92" t="n">
        <v>0</v>
      </c>
      <c r="CC56" s="92" t="n">
        <v>0</v>
      </c>
      <c r="CD56" s="92" t="n">
        <v>0</v>
      </c>
      <c r="CE56" s="92" t="n">
        <v>0</v>
      </c>
      <c r="CF56" s="92" t="n">
        <v>0</v>
      </c>
      <c r="CG56" s="92" t="n">
        <v>0</v>
      </c>
      <c r="CH56" s="92" t="n">
        <v>0</v>
      </c>
      <c r="CI56" s="92" t="n">
        <v>0</v>
      </c>
      <c r="CJ56" s="92" t="n">
        <v>0</v>
      </c>
      <c r="CK56" s="92" t="n">
        <v>0</v>
      </c>
      <c r="CL56" s="92" t="n">
        <v>0</v>
      </c>
      <c r="CM56" s="92" t="n">
        <v>0</v>
      </c>
      <c r="CN56" s="92" t="n">
        <v>0</v>
      </c>
      <c r="CO56" s="92" t="n">
        <v>0</v>
      </c>
      <c r="CP56" s="92" t="n">
        <v>0</v>
      </c>
      <c r="CQ56" s="92" t="n">
        <v>0</v>
      </c>
      <c r="CR56" s="92" t="n">
        <v>0</v>
      </c>
      <c r="CS56" s="92" t="n">
        <v>0</v>
      </c>
      <c r="CT56" s="92" t="n">
        <v>0</v>
      </c>
      <c r="CU56" s="92" t="n">
        <v>0</v>
      </c>
      <c r="CV56" s="92" t="n">
        <v>0</v>
      </c>
      <c r="CW56" s="92" t="n">
        <v>0</v>
      </c>
      <c r="CX56" s="92">
        <f>-U10</f>
        <v/>
      </c>
      <c r="CY56" s="92">
        <f>FS_Annual!CY14</f>
        <v/>
      </c>
      <c r="CZ56" s="92">
        <f>FS_Annual!CZ14</f>
        <v/>
      </c>
      <c r="DA56" s="92">
        <f>FS_Annual!DA14</f>
        <v/>
      </c>
      <c r="DB56" s="92">
        <f>FS_Annual!DB14</f>
        <v/>
      </c>
    </row>
    <row r="57">
      <c r="A57" t="inlineStr">
        <is>
          <t>Yr 20 exit — Seller Equity CF</t>
        </is>
      </c>
      <c r="C57" s="92">
        <f>FS_Annual!C15</f>
        <v/>
      </c>
      <c r="D57" s="92">
        <f>FS_Annual!D15</f>
        <v/>
      </c>
      <c r="E57" s="92">
        <f>FS_Annual!E15</f>
        <v/>
      </c>
      <c r="F57" s="92">
        <f>FS_Annual!F15</f>
        <v/>
      </c>
      <c r="G57" s="92">
        <f>FS_Annual!G15</f>
        <v/>
      </c>
      <c r="H57" s="92">
        <f>FS_Annual!H15</f>
        <v/>
      </c>
      <c r="I57" s="92">
        <f>FS_Annual!I15</f>
        <v/>
      </c>
      <c r="J57" s="92">
        <f>FS_Annual!J15</f>
        <v/>
      </c>
      <c r="K57" s="92">
        <f>FS_Annual!K15</f>
        <v/>
      </c>
      <c r="L57" s="92">
        <f>FS_Annual!L15</f>
        <v/>
      </c>
      <c r="M57" s="92">
        <f>FS_Annual!M15</f>
        <v/>
      </c>
      <c r="N57" s="92">
        <f>FS_Annual!N15</f>
        <v/>
      </c>
      <c r="O57" s="92">
        <f>FS_Annual!O15</f>
        <v/>
      </c>
      <c r="P57" s="92">
        <f>FS_Annual!P15</f>
        <v/>
      </c>
      <c r="Q57" s="92">
        <f>FS_Annual!Q15</f>
        <v/>
      </c>
      <c r="R57" s="92">
        <f>FS_Annual!R15</f>
        <v/>
      </c>
      <c r="S57" s="92">
        <f>FS_Annual!S15</f>
        <v/>
      </c>
      <c r="T57" s="92">
        <f>FS_Annual!T15</f>
        <v/>
      </c>
      <c r="U57" s="92">
        <f>FS_Annual!U15</f>
        <v/>
      </c>
      <c r="V57" s="92">
        <f>FS_Annual!V15</f>
        <v/>
      </c>
      <c r="W57" s="92">
        <f>FS_Annual!W15</f>
        <v/>
      </c>
      <c r="X57" s="92">
        <f>FS_Annual!X15</f>
        <v/>
      </c>
      <c r="Y57" s="92">
        <f>FS_Annual!Y15</f>
        <v/>
      </c>
      <c r="Z57" s="92">
        <f>FS_Annual!Z15</f>
        <v/>
      </c>
      <c r="AA57" s="92">
        <f>FS_Annual!AA15</f>
        <v/>
      </c>
      <c r="AB57" s="92">
        <f>FS_Annual!AB15</f>
        <v/>
      </c>
      <c r="AC57" s="92">
        <f>FS_Annual!AC15</f>
        <v/>
      </c>
      <c r="AD57" s="92">
        <f>FS_Annual!AD15</f>
        <v/>
      </c>
      <c r="AE57" s="92">
        <f>FS_Annual!AE15</f>
        <v/>
      </c>
      <c r="AF57" s="92">
        <f>FS_Annual!AF15</f>
        <v/>
      </c>
      <c r="AG57" s="92">
        <f>FS_Annual!AG15</f>
        <v/>
      </c>
      <c r="AH57" s="92">
        <f>FS_Annual!AH15</f>
        <v/>
      </c>
      <c r="AI57" s="92">
        <f>FS_Annual!AI15</f>
        <v/>
      </c>
      <c r="AJ57" s="92">
        <f>FS_Annual!AJ15</f>
        <v/>
      </c>
      <c r="AK57" s="92">
        <f>FS_Annual!AK15</f>
        <v/>
      </c>
      <c r="AL57" s="92">
        <f>FS_Annual!AL15</f>
        <v/>
      </c>
      <c r="AM57" s="92">
        <f>FS_Annual!AM15</f>
        <v/>
      </c>
      <c r="AN57" s="92">
        <f>FS_Annual!AN15</f>
        <v/>
      </c>
      <c r="AO57" s="92">
        <f>FS_Annual!AO15</f>
        <v/>
      </c>
      <c r="AP57" s="92">
        <f>FS_Annual!AP15</f>
        <v/>
      </c>
      <c r="AQ57" s="92">
        <f>FS_Annual!AQ15</f>
        <v/>
      </c>
      <c r="AR57" s="92">
        <f>FS_Annual!AR15</f>
        <v/>
      </c>
      <c r="AS57" s="92">
        <f>FS_Annual!AS15</f>
        <v/>
      </c>
      <c r="AT57" s="92">
        <f>FS_Annual!AT15</f>
        <v/>
      </c>
      <c r="AU57" s="92">
        <f>FS_Annual!AU15</f>
        <v/>
      </c>
      <c r="AV57" s="92">
        <f>FS_Annual!AV15</f>
        <v/>
      </c>
      <c r="AW57" s="92">
        <f>FS_Annual!AW15</f>
        <v/>
      </c>
      <c r="AX57" s="92">
        <f>FS_Annual!AX15</f>
        <v/>
      </c>
      <c r="AY57" s="92">
        <f>FS_Annual!AY15</f>
        <v/>
      </c>
      <c r="AZ57" s="92">
        <f>FS_Annual!AZ15</f>
        <v/>
      </c>
      <c r="BA57" s="92">
        <f>FS_Annual!BA15</f>
        <v/>
      </c>
      <c r="BB57" s="92">
        <f>FS_Annual!BB15</f>
        <v/>
      </c>
      <c r="BC57" s="92">
        <f>FS_Annual!BC15</f>
        <v/>
      </c>
      <c r="BD57" s="92">
        <f>FS_Annual!BD15</f>
        <v/>
      </c>
      <c r="BE57" s="92">
        <f>FS_Annual!BE15</f>
        <v/>
      </c>
      <c r="BF57" s="92">
        <f>FS_Annual!BF15</f>
        <v/>
      </c>
      <c r="BG57" s="92">
        <f>FS_Annual!BG15</f>
        <v/>
      </c>
      <c r="BH57" s="92">
        <f>FS_Annual!BH15</f>
        <v/>
      </c>
      <c r="BI57" s="92">
        <f>FS_Annual!BI15</f>
        <v/>
      </c>
      <c r="BJ57" s="92">
        <f>FS_Annual!BJ15</f>
        <v/>
      </c>
      <c r="BK57" s="92">
        <f>FS_Annual!BK15</f>
        <v/>
      </c>
      <c r="BL57" s="92">
        <f>FS_Annual!BL15</f>
        <v/>
      </c>
      <c r="BM57" s="92">
        <f>FS_Annual!BM15</f>
        <v/>
      </c>
      <c r="BN57" s="92">
        <f>FS_Annual!BN15</f>
        <v/>
      </c>
      <c r="BO57" s="92">
        <f>FS_Annual!BO15</f>
        <v/>
      </c>
      <c r="BP57" s="92">
        <f>FS_Annual!BP15</f>
        <v/>
      </c>
      <c r="BQ57" s="92">
        <f>FS_Annual!BQ15</f>
        <v/>
      </c>
      <c r="BR57" s="92">
        <f>FS_Annual!BR15</f>
        <v/>
      </c>
      <c r="BS57" s="92">
        <f>FS_Annual!BS15</f>
        <v/>
      </c>
      <c r="BT57" s="92">
        <f>FS_Annual!BT15</f>
        <v/>
      </c>
      <c r="BU57" s="92">
        <f>FS_Annual!BU15</f>
        <v/>
      </c>
      <c r="BV57" s="92">
        <f>FS_Annual!BV15</f>
        <v/>
      </c>
      <c r="BW57" s="92">
        <f>FS_Annual!BW15</f>
        <v/>
      </c>
      <c r="BX57" s="92">
        <f>FS_Annual!BX15</f>
        <v/>
      </c>
      <c r="BY57" s="92">
        <f>FS_Annual!BY15</f>
        <v/>
      </c>
      <c r="BZ57" s="92">
        <f>FS_Annual!BZ15</f>
        <v/>
      </c>
      <c r="CA57" s="92">
        <f>FS_Annual!CA15</f>
        <v/>
      </c>
      <c r="CB57" s="92">
        <f>FS_Annual!CB15</f>
        <v/>
      </c>
      <c r="CC57" s="92">
        <f>FS_Annual!CC15</f>
        <v/>
      </c>
      <c r="CD57" s="92">
        <f>FS_Annual!CD15</f>
        <v/>
      </c>
      <c r="CE57" s="92">
        <f>FS_Annual!CE15</f>
        <v/>
      </c>
      <c r="CF57" s="92">
        <f>FS_Annual!CF15</f>
        <v/>
      </c>
      <c r="CG57" s="92">
        <f>FS_Annual!CG15</f>
        <v/>
      </c>
      <c r="CH57" s="92">
        <f>FS_Annual!CH15</f>
        <v/>
      </c>
      <c r="CI57" s="92">
        <f>FS_Annual!CI15</f>
        <v/>
      </c>
      <c r="CJ57" s="92">
        <f>FS_Annual!CJ15</f>
        <v/>
      </c>
      <c r="CK57" s="92">
        <f>FS_Annual!CK15</f>
        <v/>
      </c>
      <c r="CL57" s="92">
        <f>FS_Annual!CL15</f>
        <v/>
      </c>
      <c r="CM57" s="92">
        <f>FS_Annual!CM15</f>
        <v/>
      </c>
      <c r="CN57" s="92">
        <f>FS_Annual!CN15</f>
        <v/>
      </c>
      <c r="CO57" s="92">
        <f>FS_Annual!CO15</f>
        <v/>
      </c>
      <c r="CP57" s="92">
        <f>FS_Annual!CP15</f>
        <v/>
      </c>
      <c r="CQ57" s="92">
        <f>FS_Annual!CQ15</f>
        <v/>
      </c>
      <c r="CR57" s="92">
        <f>FS_Annual!CR15</f>
        <v/>
      </c>
      <c r="CS57" s="92">
        <f>FS_Annual!CS15</f>
        <v/>
      </c>
      <c r="CT57" s="92">
        <f>FS_Annual!CT15</f>
        <v/>
      </c>
      <c r="CU57" s="92">
        <f>FS_Annual!CU15</f>
        <v/>
      </c>
      <c r="CV57" s="92">
        <f>FS_Annual!CV15</f>
        <v/>
      </c>
      <c r="CW57" s="92">
        <f>FS_Annual!CW15</f>
        <v/>
      </c>
      <c r="CX57" s="92">
        <f>FS_Annual!CX15</f>
        <v/>
      </c>
      <c r="CY57" s="92">
        <f>FS_Annual!CY15</f>
        <v/>
      </c>
      <c r="CZ57" s="92">
        <f>FS_Annual!CZ15</f>
        <v/>
      </c>
      <c r="DA57" s="92">
        <f>FS_Annual!DA15</f>
        <v/>
      </c>
      <c r="DB57" s="92">
        <f>FS_Annual!DB15+V8</f>
        <v/>
      </c>
    </row>
    <row r="58">
      <c r="A58" t="inlineStr">
        <is>
          <t>Yr 20 exit — Buyer Project CF</t>
        </is>
      </c>
      <c r="C58" s="92" t="n">
        <v>0</v>
      </c>
      <c r="D58" s="92" t="n">
        <v>0</v>
      </c>
      <c r="E58" s="92" t="n">
        <v>0</v>
      </c>
      <c r="F58" s="92" t="n">
        <v>0</v>
      </c>
      <c r="G58" s="92" t="n">
        <v>0</v>
      </c>
      <c r="H58" s="92" t="n">
        <v>0</v>
      </c>
      <c r="I58" s="92" t="n">
        <v>0</v>
      </c>
      <c r="J58" s="92" t="n">
        <v>0</v>
      </c>
      <c r="K58" s="92" t="n">
        <v>0</v>
      </c>
      <c r="L58" s="92" t="n">
        <v>0</v>
      </c>
      <c r="M58" s="92" t="n">
        <v>0</v>
      </c>
      <c r="N58" s="92" t="n">
        <v>0</v>
      </c>
      <c r="O58" s="92" t="n">
        <v>0</v>
      </c>
      <c r="P58" s="92" t="n">
        <v>0</v>
      </c>
      <c r="Q58" s="92" t="n">
        <v>0</v>
      </c>
      <c r="R58" s="92" t="n">
        <v>0</v>
      </c>
      <c r="S58" s="92" t="n">
        <v>0</v>
      </c>
      <c r="T58" s="92" t="n">
        <v>0</v>
      </c>
      <c r="U58" s="92" t="n">
        <v>0</v>
      </c>
      <c r="V58" s="92" t="n">
        <v>0</v>
      </c>
      <c r="W58" s="92" t="n">
        <v>0</v>
      </c>
      <c r="X58" s="92" t="n">
        <v>0</v>
      </c>
      <c r="Y58" s="92" t="n">
        <v>0</v>
      </c>
      <c r="Z58" s="92" t="n">
        <v>0</v>
      </c>
      <c r="AA58" s="92" t="n">
        <v>0</v>
      </c>
      <c r="AB58" s="92" t="n">
        <v>0</v>
      </c>
      <c r="AC58" s="92" t="n">
        <v>0</v>
      </c>
      <c r="AD58" s="92" t="n">
        <v>0</v>
      </c>
      <c r="AE58" s="92" t="n">
        <v>0</v>
      </c>
      <c r="AF58" s="92" t="n">
        <v>0</v>
      </c>
      <c r="AG58" s="92" t="n">
        <v>0</v>
      </c>
      <c r="AH58" s="92" t="n">
        <v>0</v>
      </c>
      <c r="AI58" s="92" t="n">
        <v>0</v>
      </c>
      <c r="AJ58" s="92" t="n">
        <v>0</v>
      </c>
      <c r="AK58" s="92" t="n">
        <v>0</v>
      </c>
      <c r="AL58" s="92" t="n">
        <v>0</v>
      </c>
      <c r="AM58" s="92" t="n">
        <v>0</v>
      </c>
      <c r="AN58" s="92" t="n">
        <v>0</v>
      </c>
      <c r="AO58" s="92" t="n">
        <v>0</v>
      </c>
      <c r="AP58" s="92" t="n">
        <v>0</v>
      </c>
      <c r="AQ58" s="92" t="n">
        <v>0</v>
      </c>
      <c r="AR58" s="92" t="n">
        <v>0</v>
      </c>
      <c r="AS58" s="92" t="n">
        <v>0</v>
      </c>
      <c r="AT58" s="92" t="n">
        <v>0</v>
      </c>
      <c r="AU58" s="92" t="n">
        <v>0</v>
      </c>
      <c r="AV58" s="92" t="n">
        <v>0</v>
      </c>
      <c r="AW58" s="92" t="n">
        <v>0</v>
      </c>
      <c r="AX58" s="92" t="n">
        <v>0</v>
      </c>
      <c r="AY58" s="92" t="n">
        <v>0</v>
      </c>
      <c r="AZ58" s="92" t="n">
        <v>0</v>
      </c>
      <c r="BA58" s="92" t="n">
        <v>0</v>
      </c>
      <c r="BB58" s="92" t="n">
        <v>0</v>
      </c>
      <c r="BC58" s="92" t="n">
        <v>0</v>
      </c>
      <c r="BD58" s="92" t="n">
        <v>0</v>
      </c>
      <c r="BE58" s="92" t="n">
        <v>0</v>
      </c>
      <c r="BF58" s="92" t="n">
        <v>0</v>
      </c>
      <c r="BG58" s="92" t="n">
        <v>0</v>
      </c>
      <c r="BH58" s="92" t="n">
        <v>0</v>
      </c>
      <c r="BI58" s="92" t="n">
        <v>0</v>
      </c>
      <c r="BJ58" s="92" t="n">
        <v>0</v>
      </c>
      <c r="BK58" s="92" t="n">
        <v>0</v>
      </c>
      <c r="BL58" s="92" t="n">
        <v>0</v>
      </c>
      <c r="BM58" s="92" t="n">
        <v>0</v>
      </c>
      <c r="BN58" s="92" t="n">
        <v>0</v>
      </c>
      <c r="BO58" s="92" t="n">
        <v>0</v>
      </c>
      <c r="BP58" s="92" t="n">
        <v>0</v>
      </c>
      <c r="BQ58" s="92" t="n">
        <v>0</v>
      </c>
      <c r="BR58" s="92" t="n">
        <v>0</v>
      </c>
      <c r="BS58" s="92" t="n">
        <v>0</v>
      </c>
      <c r="BT58" s="92" t="n">
        <v>0</v>
      </c>
      <c r="BU58" s="92" t="n">
        <v>0</v>
      </c>
      <c r="BV58" s="92" t="n">
        <v>0</v>
      </c>
      <c r="BW58" s="92" t="n">
        <v>0</v>
      </c>
      <c r="BX58" s="92" t="n">
        <v>0</v>
      </c>
      <c r="BY58" s="92" t="n">
        <v>0</v>
      </c>
      <c r="BZ58" s="92" t="n">
        <v>0</v>
      </c>
      <c r="CA58" s="92" t="n">
        <v>0</v>
      </c>
      <c r="CB58" s="92" t="n">
        <v>0</v>
      </c>
      <c r="CC58" s="92" t="n">
        <v>0</v>
      </c>
      <c r="CD58" s="92" t="n">
        <v>0</v>
      </c>
      <c r="CE58" s="92" t="n">
        <v>0</v>
      </c>
      <c r="CF58" s="92" t="n">
        <v>0</v>
      </c>
      <c r="CG58" s="92" t="n">
        <v>0</v>
      </c>
      <c r="CH58" s="92" t="n">
        <v>0</v>
      </c>
      <c r="CI58" s="92" t="n">
        <v>0</v>
      </c>
      <c r="CJ58" s="92" t="n">
        <v>0</v>
      </c>
      <c r="CK58" s="92" t="n">
        <v>0</v>
      </c>
      <c r="CL58" s="92" t="n">
        <v>0</v>
      </c>
      <c r="CM58" s="92" t="n">
        <v>0</v>
      </c>
      <c r="CN58" s="92" t="n">
        <v>0</v>
      </c>
      <c r="CO58" s="92" t="n">
        <v>0</v>
      </c>
      <c r="CP58" s="92" t="n">
        <v>0</v>
      </c>
      <c r="CQ58" s="92" t="n">
        <v>0</v>
      </c>
      <c r="CR58" s="92" t="n">
        <v>0</v>
      </c>
      <c r="CS58" s="92" t="n">
        <v>0</v>
      </c>
      <c r="CT58" s="92" t="n">
        <v>0</v>
      </c>
      <c r="CU58" s="92" t="n">
        <v>0</v>
      </c>
      <c r="CV58" s="92" t="n">
        <v>0</v>
      </c>
      <c r="CW58" s="92" t="n">
        <v>0</v>
      </c>
      <c r="CX58" s="92" t="n">
        <v>0</v>
      </c>
      <c r="CY58" s="92" t="n">
        <v>0</v>
      </c>
      <c r="CZ58" s="92" t="n">
        <v>0</v>
      </c>
      <c r="DA58" s="92" t="n">
        <v>0</v>
      </c>
      <c r="DB58" s="92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3" t="inlineStr">
        <is>
          <t>Batch_Results — written by Run All 10 Scenarios</t>
        </is>
      </c>
    </row>
    <row r="3">
      <c r="A3" t="inlineStr">
        <is>
          <t>Last Batch Run</t>
        </is>
      </c>
      <c r="B3" s="61" t="inlineStr">
        <is>
          <t>(never)</t>
        </is>
      </c>
    </row>
    <row r="4">
      <c r="A4" t="inlineStr">
        <is>
          <t>Mode Used</t>
        </is>
      </c>
      <c r="B4" s="61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2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3" t="inlineStr">
        <is>
          <t>Check_Control — Master Audit Aggregator</t>
        </is>
      </c>
    </row>
    <row r="3">
      <c r="A3" s="51" t="inlineStr">
        <is>
          <t>MASTER STATUS</t>
        </is>
      </c>
      <c r="B3" s="93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2">
        <f>'Cover'!D87</f>
        <v/>
      </c>
      <c r="E6" s="82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2">
        <f>'Calc_Capex'!Z21</f>
        <v/>
      </c>
      <c r="E7" s="82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2">
        <f>'Calc_Capex'!Z22</f>
        <v/>
      </c>
      <c r="E8" s="82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2">
        <f>'Calc_Financing_Cons'!Z29</f>
        <v/>
      </c>
      <c r="E9" s="82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2">
        <f>'Calc_Financing_Cons'!Z30</f>
        <v/>
      </c>
      <c r="E10" s="82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2">
        <f>'Calc_Financing_Cons'!Z31</f>
        <v/>
      </c>
      <c r="E11" s="82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2">
        <f>'Calc_Financing_Cons'!Z32</f>
        <v/>
      </c>
      <c r="E12" s="82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2">
        <f>'Calc_Financing_Cons'!Z33</f>
        <v/>
      </c>
      <c r="E13" s="82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2">
        <f>'Assumptions_Constant'!B24</f>
        <v/>
      </c>
      <c r="E14" s="82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2">
        <f>'Assumptions_Constant'!B25</f>
        <v/>
      </c>
      <c r="E15" s="82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2">
        <f>'Assumptions_Periodic_Capex'!B34</f>
        <v/>
      </c>
      <c r="E16" s="82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2">
        <f>'Assumptions_Periodic_Capex'!B35</f>
        <v/>
      </c>
      <c r="E17" s="82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2">
        <f>'Assumptions_Periodic_Ops'!B62</f>
        <v/>
      </c>
      <c r="E18" s="82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2">
        <f>'Assumptions_Periodic_Ops'!B63</f>
        <v/>
      </c>
      <c r="E19" s="82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2">
        <f>'Assumptions_Periodic_Ops'!B64</f>
        <v/>
      </c>
      <c r="E20" s="82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2">
        <f>'Calc_Revenue_Opex'!F20</f>
        <v/>
      </c>
      <c r="E21" s="82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2">
        <f>'Calc_Revenue_Opex'!CD21</f>
        <v/>
      </c>
      <c r="E22" s="82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2">
        <f>'Calc_Revenue_Opex'!CD22</f>
        <v/>
      </c>
      <c r="E23" s="82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2">
        <f>'Calc_Tax'!CD30</f>
        <v/>
      </c>
      <c r="E24" s="82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2">
        <f>'Calc_Tax'!CD31</f>
        <v/>
      </c>
      <c r="E25" s="82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2">
        <f>'Calc_Tax'!CD32</f>
        <v/>
      </c>
      <c r="E26" s="82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2">
        <f>'Calc_Tax'!CD33</f>
        <v/>
      </c>
      <c r="E27" s="82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2">
        <f>'Calc_Financing_Ops'!CD37</f>
        <v/>
      </c>
      <c r="E28" s="82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2">
        <f>'Calc_Financing_Ops'!CD38</f>
        <v/>
      </c>
      <c r="E29" s="82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2">
        <f>'Calc_Financing_Ops'!CD39</f>
        <v/>
      </c>
      <c r="E30" s="82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2">
        <f>'Calc_Financing_Ops'!CD40</f>
        <v/>
      </c>
      <c r="E31" s="82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2">
        <f>'Calc_Financing_Ops'!CD41</f>
        <v/>
      </c>
      <c r="E32" s="82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2">
        <f>'Calc_Financing_Ops'!CD42</f>
        <v/>
      </c>
      <c r="E33" s="82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2">
        <f>'Calc_Financing_Ops'!CD43</f>
        <v/>
      </c>
      <c r="E34" s="82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2">
        <f>'Calc_CFADS'!CD31</f>
        <v/>
      </c>
      <c r="E35" s="82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2">
        <f>'Calc_CFADS'!CD32</f>
        <v/>
      </c>
      <c r="E36" s="82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2">
        <f>'Calc_CFADS'!CD33</f>
        <v/>
      </c>
      <c r="E37" s="82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2">
        <f>'Calc_CFADS'!CD34</f>
        <v/>
      </c>
      <c r="E38" s="82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2">
        <f>'Calc_CFADS'!CD35</f>
        <v/>
      </c>
      <c r="E39" s="82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2">
        <f>'Calc_CFADS'!CD36</f>
        <v/>
      </c>
      <c r="E40" s="82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2">
        <f>'FS_Quarterly'!CD43</f>
        <v/>
      </c>
      <c r="E41" s="82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2">
        <f>'FS_Quarterly'!CD44</f>
        <v/>
      </c>
      <c r="E42" s="82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2">
        <f>'Valuation_SellDown'!B15</f>
        <v/>
      </c>
      <c r="E43" s="82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2026-07-31T16:49:18Z</dcterms:modified>
  <cp:lastModifiedBy>mirza zilan</cp:lastModifiedBy>
</cp:coreProperties>
</file>